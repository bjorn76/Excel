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" yWindow="285" windowWidth="15480" windowHeight="6345"/>
  </bookViews>
  <sheets>
    <sheet name="Gantt-Ongoing" sheetId="1" r:id="rId1"/>
    <sheet name="Template&amp;Proposed" sheetId="5" r:id="rId2"/>
    <sheet name="User Guide &amp; Utils" sheetId="2" r:id="rId3"/>
    <sheet name="DropDown" sheetId="4" r:id="rId4"/>
  </sheets>
  <functionGroups builtInGroupCount="17"/>
  <definedNames>
    <definedName name="_xlnm._FilterDatabase" localSheetId="0" hidden="1">'Gantt-Ongoing'!$A$6:$N$32</definedName>
    <definedName name="_xlnm._FilterDatabase" localSheetId="1" hidden="1">'Template&amp;Proposed'!$A$6:$N$47</definedName>
    <definedName name="ddlPrio">DropDown!$A$2:$A$6</definedName>
    <definedName name="ddlStatus">DropDown!$B$2:$B$6</definedName>
    <definedName name="Z_A0D0EC56_6E96_4433_90B6_A9BC5A7E3615_.wvu.FilterData" localSheetId="0" hidden="1">'Gantt-Ongoing'!$A$6:$N$21</definedName>
    <definedName name="Z_A0D0EC56_6E96_4433_90B6_A9BC5A7E3615_.wvu.FilterData" localSheetId="1" hidden="1">'Template&amp;Proposed'!$A$6:$N$47</definedName>
  </definedNames>
  <calcPr calcId="145621"/>
  <customWorkbookViews>
    <customWorkbookView name="Björn Johansson - Personal View" guid="{A0D0EC56-6E96-4433-90B6-A9BC5A7E3615}" mergeInterval="0" personalView="1" maximized="1" windowWidth="1916" windowHeight="955" activeSheetId="1"/>
  </customWorkbookViews>
</workbook>
</file>

<file path=xl/calcChain.xml><?xml version="1.0" encoding="utf-8"?>
<calcChain xmlns="http://schemas.openxmlformats.org/spreadsheetml/2006/main">
  <c r="J2" i="1" l="1"/>
  <c r="I29" i="1" l="1"/>
  <c r="O7" i="1"/>
  <c r="L7" i="1"/>
  <c r="L14" i="1" l="1"/>
  <c r="I19" i="1"/>
  <c r="I20" i="1" s="1"/>
  <c r="I21" i="1" s="1"/>
  <c r="L30" i="1" l="1"/>
  <c r="P30" i="1" s="1"/>
  <c r="Q30" i="1" s="1"/>
  <c r="L31" i="1"/>
  <c r="P31" i="1" s="1"/>
  <c r="Q31" i="1" s="1"/>
  <c r="L32" i="1"/>
  <c r="P32" i="1" s="1"/>
  <c r="Q32" i="1" s="1"/>
  <c r="L29" i="1"/>
  <c r="P29" i="1" s="1"/>
  <c r="Q29" i="1" s="1"/>
  <c r="B32" i="1"/>
  <c r="B31" i="1"/>
  <c r="B30" i="1"/>
  <c r="A30" i="1"/>
  <c r="A31" i="1" s="1"/>
  <c r="A32" i="1" s="1"/>
  <c r="L26" i="1"/>
  <c r="B26" i="1"/>
  <c r="B27" i="1"/>
  <c r="L27" i="1"/>
  <c r="P27" i="1" s="1"/>
  <c r="J32" i="1"/>
  <c r="J31" i="1"/>
  <c r="J30" i="1"/>
  <c r="K31" i="1" l="1"/>
  <c r="O31" i="1" s="1"/>
  <c r="K30" i="1"/>
  <c r="J29" i="1"/>
  <c r="K32" i="1"/>
  <c r="O32" i="1" s="1"/>
  <c r="P26" i="1"/>
  <c r="Q26" i="1" s="1"/>
  <c r="Q27" i="1"/>
  <c r="L13" i="1"/>
  <c r="L12" i="1"/>
  <c r="L17" i="1"/>
  <c r="L18" i="1"/>
  <c r="L19" i="1"/>
  <c r="L20" i="1"/>
  <c r="L21" i="1"/>
  <c r="L16" i="1"/>
  <c r="L24" i="1"/>
  <c r="L25" i="1"/>
  <c r="L28" i="1"/>
  <c r="L23" i="1"/>
  <c r="K29" i="1" l="1"/>
  <c r="O29" i="1" s="1"/>
  <c r="O30" i="1"/>
  <c r="L9" i="1"/>
  <c r="L8" i="1"/>
  <c r="N7" i="1" l="1"/>
  <c r="P7" i="1" s="1"/>
  <c r="Q7" i="1" s="1"/>
  <c r="P25" i="1"/>
  <c r="Q25" i="1" s="1"/>
  <c r="B25" i="1"/>
  <c r="P24" i="1"/>
  <c r="Q24" i="1" s="1"/>
  <c r="B24" i="1"/>
  <c r="J24" i="1"/>
  <c r="K24" i="1" l="1"/>
  <c r="P28" i="1"/>
  <c r="Q28" i="1" s="1"/>
  <c r="B28" i="1"/>
  <c r="P23" i="1"/>
  <c r="Q23" i="1" s="1"/>
  <c r="B23" i="1"/>
  <c r="A23" i="1"/>
  <c r="N22" i="1"/>
  <c r="I22" i="1"/>
  <c r="J23" i="1"/>
  <c r="O24" i="1" l="1"/>
  <c r="J25" i="1"/>
  <c r="K25" i="1" s="1"/>
  <c r="J26" i="1" s="1"/>
  <c r="K26" i="1" s="1"/>
  <c r="K23" i="1"/>
  <c r="O23" i="1" s="1"/>
  <c r="P47" i="5"/>
  <c r="Q47" i="5" s="1"/>
  <c r="P46" i="5"/>
  <c r="Q46" i="5" s="1"/>
  <c r="P45" i="5"/>
  <c r="Q45" i="5" s="1"/>
  <c r="P44" i="5"/>
  <c r="Q44" i="5" s="1"/>
  <c r="A44" i="5"/>
  <c r="A45" i="5" s="1"/>
  <c r="A46" i="5" s="1"/>
  <c r="A47" i="5" s="1"/>
  <c r="N43" i="5"/>
  <c r="P42" i="5"/>
  <c r="Q42" i="5" s="1"/>
  <c r="P41" i="5"/>
  <c r="Q41" i="5" s="1"/>
  <c r="P40" i="5"/>
  <c r="Q40" i="5" s="1"/>
  <c r="P39" i="5"/>
  <c r="Q39" i="5" s="1"/>
  <c r="A39" i="5"/>
  <c r="A40" i="5" s="1"/>
  <c r="A41" i="5" s="1"/>
  <c r="A42" i="5" s="1"/>
  <c r="P37" i="5"/>
  <c r="Q37" i="5" s="1"/>
  <c r="P36" i="5"/>
  <c r="Q36" i="5" s="1"/>
  <c r="P35" i="5"/>
  <c r="Q35" i="5" s="1"/>
  <c r="P34" i="5"/>
  <c r="Q34" i="5" s="1"/>
  <c r="P33" i="5"/>
  <c r="Q33" i="5" s="1"/>
  <c r="A33" i="5"/>
  <c r="A34" i="5" s="1"/>
  <c r="A35" i="5" s="1"/>
  <c r="A36" i="5" s="1"/>
  <c r="A37" i="5" s="1"/>
  <c r="N32" i="5"/>
  <c r="I32" i="5"/>
  <c r="H32" i="5"/>
  <c r="P31" i="5"/>
  <c r="Q31" i="5" s="1"/>
  <c r="P30" i="5"/>
  <c r="Q30" i="5" s="1"/>
  <c r="P29" i="5"/>
  <c r="Q29" i="5" s="1"/>
  <c r="P28" i="5"/>
  <c r="Q28" i="5" s="1"/>
  <c r="P27" i="5"/>
  <c r="Q27" i="5" s="1"/>
  <c r="A27" i="5"/>
  <c r="A28" i="5" s="1"/>
  <c r="A29" i="5" s="1"/>
  <c r="A30" i="5" s="1"/>
  <c r="A31" i="5" s="1"/>
  <c r="N26" i="5"/>
  <c r="I26" i="5"/>
  <c r="H26" i="5"/>
  <c r="P25" i="5"/>
  <c r="Q25" i="5" s="1"/>
  <c r="B25" i="5"/>
  <c r="P24" i="5"/>
  <c r="Q24" i="5" s="1"/>
  <c r="B24" i="5"/>
  <c r="P23" i="5"/>
  <c r="Q23" i="5" s="1"/>
  <c r="B23" i="5"/>
  <c r="P22" i="5"/>
  <c r="Q22" i="5" s="1"/>
  <c r="B22" i="5"/>
  <c r="P21" i="5"/>
  <c r="Q21" i="5" s="1"/>
  <c r="B21" i="5"/>
  <c r="A21" i="5"/>
  <c r="A22" i="5" s="1"/>
  <c r="A23" i="5" s="1"/>
  <c r="A24" i="5" s="1"/>
  <c r="A25" i="5" s="1"/>
  <c r="N20" i="5"/>
  <c r="I20" i="5"/>
  <c r="H20" i="5"/>
  <c r="P19" i="5"/>
  <c r="Q19" i="5" s="1"/>
  <c r="B19" i="5"/>
  <c r="P18" i="5"/>
  <c r="Q18" i="5" s="1"/>
  <c r="B18" i="5"/>
  <c r="P17" i="5"/>
  <c r="Q17" i="5" s="1"/>
  <c r="B17" i="5"/>
  <c r="P16" i="5"/>
  <c r="Q16" i="5" s="1"/>
  <c r="B16" i="5"/>
  <c r="P15" i="5"/>
  <c r="Q15" i="5" s="1"/>
  <c r="B15" i="5"/>
  <c r="P14" i="5"/>
  <c r="Q14" i="5" s="1"/>
  <c r="B14" i="5"/>
  <c r="A14" i="5"/>
  <c r="A15" i="5" s="1"/>
  <c r="A16" i="5" s="1"/>
  <c r="A17" i="5" s="1"/>
  <c r="A18" i="5" s="1"/>
  <c r="A19" i="5" s="1"/>
  <c r="N13" i="5"/>
  <c r="I13" i="5"/>
  <c r="H13" i="5"/>
  <c r="P12" i="5"/>
  <c r="Q12" i="5" s="1"/>
  <c r="B12" i="5"/>
  <c r="P11" i="5"/>
  <c r="Q11" i="5" s="1"/>
  <c r="B11" i="5"/>
  <c r="P10" i="5"/>
  <c r="Q10" i="5" s="1"/>
  <c r="B10" i="5"/>
  <c r="P9" i="5"/>
  <c r="Q9" i="5" s="1"/>
  <c r="B9" i="5"/>
  <c r="P8" i="5"/>
  <c r="Q8" i="5" s="1"/>
  <c r="B8" i="5"/>
  <c r="A8" i="5"/>
  <c r="A9" i="5" s="1"/>
  <c r="A10" i="5" s="1"/>
  <c r="A11" i="5" s="1"/>
  <c r="A12" i="5" s="1"/>
  <c r="N7" i="5"/>
  <c r="I7" i="5"/>
  <c r="C3" i="5"/>
  <c r="J3" i="5" s="1"/>
  <c r="J2" i="5"/>
  <c r="J12" i="5"/>
  <c r="J17" i="5"/>
  <c r="J29" i="5"/>
  <c r="J34" i="5"/>
  <c r="J46" i="5"/>
  <c r="J30" i="5"/>
  <c r="J8" i="5"/>
  <c r="J19" i="5"/>
  <c r="J18" i="5"/>
  <c r="J47" i="5"/>
  <c r="J33" i="5"/>
  <c r="J35" i="5"/>
  <c r="J23" i="5"/>
  <c r="J15" i="5"/>
  <c r="J28" i="5"/>
  <c r="J42" i="5"/>
  <c r="J45" i="5"/>
  <c r="J31" i="5"/>
  <c r="J37" i="5"/>
  <c r="J14" i="5"/>
  <c r="J24" i="5"/>
  <c r="J36" i="5"/>
  <c r="J25" i="5"/>
  <c r="J44" i="5"/>
  <c r="J27" i="5"/>
  <c r="J16" i="5"/>
  <c r="J40" i="5"/>
  <c r="J39" i="5"/>
  <c r="J22" i="5"/>
  <c r="J11" i="5"/>
  <c r="J21" i="5"/>
  <c r="J9" i="5"/>
  <c r="J10" i="5"/>
  <c r="J41" i="5"/>
  <c r="O25" i="1" l="1"/>
  <c r="O26" i="1"/>
  <c r="J27" i="1"/>
  <c r="A24" i="1"/>
  <c r="K8" i="5"/>
  <c r="O8" i="5" s="1"/>
  <c r="J7" i="5"/>
  <c r="K12" i="5"/>
  <c r="O12" i="5" s="1"/>
  <c r="K14" i="5"/>
  <c r="O14" i="5" s="1"/>
  <c r="K18" i="5"/>
  <c r="O18" i="5" s="1"/>
  <c r="K10" i="5"/>
  <c r="O10" i="5" s="1"/>
  <c r="K22" i="5"/>
  <c r="O22" i="5" s="1"/>
  <c r="K9" i="5"/>
  <c r="O9" i="5" s="1"/>
  <c r="K11" i="5"/>
  <c r="O11" i="5" s="1"/>
  <c r="K16" i="5"/>
  <c r="O16" i="5" s="1"/>
  <c r="J13" i="5"/>
  <c r="K15" i="5"/>
  <c r="K17" i="5"/>
  <c r="O17" i="5" s="1"/>
  <c r="K24" i="5"/>
  <c r="O24" i="5" s="1"/>
  <c r="K19" i="5"/>
  <c r="O19" i="5" s="1"/>
  <c r="J20" i="5"/>
  <c r="K21" i="5"/>
  <c r="K23" i="5"/>
  <c r="O23" i="5" s="1"/>
  <c r="K25" i="5"/>
  <c r="O25" i="5" s="1"/>
  <c r="K27" i="5"/>
  <c r="O27" i="5" s="1"/>
  <c r="J26" i="5"/>
  <c r="K28" i="5"/>
  <c r="O28" i="5" s="1"/>
  <c r="K29" i="5"/>
  <c r="O29" i="5" s="1"/>
  <c r="K30" i="5"/>
  <c r="O30" i="5" s="1"/>
  <c r="K31" i="5"/>
  <c r="O31" i="5" s="1"/>
  <c r="K39" i="5"/>
  <c r="J38" i="5"/>
  <c r="K40" i="5"/>
  <c r="O40" i="5" s="1"/>
  <c r="K41" i="5"/>
  <c r="O41" i="5" s="1"/>
  <c r="K42" i="5"/>
  <c r="O42" i="5" s="1"/>
  <c r="J32" i="5"/>
  <c r="K33" i="5"/>
  <c r="K34" i="5"/>
  <c r="O34" i="5" s="1"/>
  <c r="K35" i="5"/>
  <c r="O35" i="5" s="1"/>
  <c r="K36" i="5"/>
  <c r="O36" i="5" s="1"/>
  <c r="K37" i="5"/>
  <c r="O37" i="5" s="1"/>
  <c r="J43" i="5"/>
  <c r="K44" i="5"/>
  <c r="O44" i="5" s="1"/>
  <c r="K45" i="5"/>
  <c r="O45" i="5" s="1"/>
  <c r="K46" i="5"/>
  <c r="O46" i="5" s="1"/>
  <c r="K47" i="5"/>
  <c r="O47" i="5" s="1"/>
  <c r="K27" i="1" l="1"/>
  <c r="A25" i="1"/>
  <c r="K38" i="5"/>
  <c r="L38" i="5" s="1"/>
  <c r="K43" i="5"/>
  <c r="L43" i="5" s="1"/>
  <c r="K32" i="5"/>
  <c r="L32" i="5" s="1"/>
  <c r="O33" i="5"/>
  <c r="O39" i="5"/>
  <c r="K26" i="5"/>
  <c r="L26" i="5" s="1"/>
  <c r="K20" i="5"/>
  <c r="L20" i="5" s="1"/>
  <c r="O21" i="5"/>
  <c r="K13" i="5"/>
  <c r="L13" i="5" s="1"/>
  <c r="O15" i="5"/>
  <c r="K7" i="5"/>
  <c r="L7" i="5" s="1"/>
  <c r="P17" i="1"/>
  <c r="Q17" i="1" s="1"/>
  <c r="B17" i="1"/>
  <c r="J17" i="1"/>
  <c r="J18" i="1"/>
  <c r="J19" i="1"/>
  <c r="O43" i="5" l="1"/>
  <c r="O27" i="1"/>
  <c r="J28" i="1"/>
  <c r="A26" i="1"/>
  <c r="A27" i="1" s="1"/>
  <c r="A28" i="1" s="1"/>
  <c r="O38" i="5"/>
  <c r="P13" i="5"/>
  <c r="Q13" i="5" s="1"/>
  <c r="O26" i="5"/>
  <c r="O7" i="5"/>
  <c r="P7" i="5"/>
  <c r="Q7" i="5" s="1"/>
  <c r="P20" i="5"/>
  <c r="Q20" i="5" s="1"/>
  <c r="P26" i="5"/>
  <c r="Q26" i="5" s="1"/>
  <c r="P32" i="5"/>
  <c r="Q32" i="5" s="1"/>
  <c r="N38" i="5"/>
  <c r="P38" i="5" s="1"/>
  <c r="Q38" i="5" s="1"/>
  <c r="P43" i="5"/>
  <c r="Q43" i="5" s="1"/>
  <c r="O13" i="5"/>
  <c r="O20" i="5"/>
  <c r="O32" i="5"/>
  <c r="K18" i="1"/>
  <c r="K17" i="1"/>
  <c r="K28" i="1" l="1"/>
  <c r="J22" i="1"/>
  <c r="O17" i="1"/>
  <c r="N15" i="1"/>
  <c r="N11" i="1"/>
  <c r="J14" i="1"/>
  <c r="J16" i="1"/>
  <c r="J20" i="1"/>
  <c r="J9" i="1"/>
  <c r="D5" i="2"/>
  <c r="J8" i="1"/>
  <c r="J21" i="1"/>
  <c r="J13" i="1"/>
  <c r="J12" i="1"/>
  <c r="O28" i="1" l="1"/>
  <c r="K22" i="1"/>
  <c r="K12" i="1"/>
  <c r="B18" i="1"/>
  <c r="B19" i="1"/>
  <c r="B20" i="1"/>
  <c r="B21" i="1"/>
  <c r="B16" i="1"/>
  <c r="B13" i="1"/>
  <c r="B14" i="1"/>
  <c r="B12" i="1"/>
  <c r="L22" i="1" l="1"/>
  <c r="P22" i="1" s="1"/>
  <c r="Q22" i="1" s="1"/>
  <c r="O22" i="1"/>
  <c r="P21" i="1" l="1"/>
  <c r="Q21" i="1" s="1"/>
  <c r="P20" i="1"/>
  <c r="Q20" i="1" s="1"/>
  <c r="P19" i="1"/>
  <c r="Q19" i="1" s="1"/>
  <c r="P18" i="1"/>
  <c r="Q18" i="1" s="1"/>
  <c r="P16" i="1"/>
  <c r="Q16" i="1" s="1"/>
  <c r="J15" i="1"/>
  <c r="A16" i="1"/>
  <c r="I15" i="1"/>
  <c r="H15" i="1"/>
  <c r="A17" i="1" l="1"/>
  <c r="A18" i="1" s="1"/>
  <c r="A19" i="1" s="1"/>
  <c r="A20" i="1" s="1"/>
  <c r="A21" i="1" s="1"/>
  <c r="K16" i="1"/>
  <c r="O18" i="1"/>
  <c r="K19" i="1"/>
  <c r="O19" i="1" s="1"/>
  <c r="K20" i="1"/>
  <c r="O20" i="1" s="1"/>
  <c r="K21" i="1"/>
  <c r="O21" i="1" s="1"/>
  <c r="K15" i="1" l="1"/>
  <c r="O16" i="1"/>
  <c r="L15" i="1" l="1"/>
  <c r="O15" i="1"/>
  <c r="P15" i="1" l="1"/>
  <c r="Q15" i="1" s="1"/>
  <c r="K14" i="1" l="1"/>
  <c r="P14" i="1"/>
  <c r="Q14" i="1" s="1"/>
  <c r="P13" i="1"/>
  <c r="Q13" i="1" s="1"/>
  <c r="K13" i="1"/>
  <c r="P12" i="1" l="1"/>
  <c r="Q12" i="1" s="1"/>
  <c r="O14" i="1" l="1"/>
  <c r="O13" i="1"/>
  <c r="H10" i="1"/>
  <c r="H11" i="1"/>
  <c r="I11" i="1"/>
  <c r="I10" i="1"/>
  <c r="O12" i="1" l="1"/>
  <c r="K10" i="1"/>
  <c r="K9" i="1" l="1"/>
  <c r="K8" i="1" l="1"/>
  <c r="C3" i="1"/>
  <c r="J3" i="1" s="1"/>
  <c r="J11" i="1" l="1"/>
  <c r="S3" i="1"/>
  <c r="S6" i="1"/>
  <c r="S4" i="1" l="1"/>
  <c r="T3" i="1"/>
  <c r="S5" i="1"/>
  <c r="U3" i="1" l="1"/>
  <c r="V3" i="1" l="1"/>
  <c r="W3" i="1" l="1"/>
  <c r="K11" i="1" l="1"/>
  <c r="O10" i="1"/>
  <c r="S10" i="1"/>
  <c r="T10" i="1"/>
  <c r="U10" i="1"/>
  <c r="V10" i="1"/>
  <c r="W10" i="1"/>
  <c r="X3" i="1"/>
  <c r="O11" i="1" l="1"/>
  <c r="L11" i="1"/>
  <c r="X9" i="1"/>
  <c r="X10" i="1"/>
  <c r="A8" i="1"/>
  <c r="Y3" i="1"/>
  <c r="O9" i="1" l="1"/>
  <c r="S9" i="1"/>
  <c r="T9" i="1"/>
  <c r="U9" i="1"/>
  <c r="V9" i="1"/>
  <c r="W9" i="1"/>
  <c r="Y9" i="1"/>
  <c r="Y10" i="1"/>
  <c r="Y8" i="1"/>
  <c r="Z3" i="1"/>
  <c r="Z6" i="1"/>
  <c r="O8" i="1" l="1"/>
  <c r="S8" i="1"/>
  <c r="S7" i="1" s="1"/>
  <c r="T8" i="1"/>
  <c r="T7" i="1" s="1"/>
  <c r="U8" i="1"/>
  <c r="U7" i="1" s="1"/>
  <c r="V8" i="1"/>
  <c r="V7" i="1" s="1"/>
  <c r="W8" i="1"/>
  <c r="W7" i="1" s="1"/>
  <c r="X8" i="1"/>
  <c r="X7" i="1" s="1"/>
  <c r="Z9" i="1"/>
  <c r="Z10" i="1"/>
  <c r="Z8" i="1"/>
  <c r="Y7" i="1"/>
  <c r="Z4" i="1"/>
  <c r="AA3" i="1"/>
  <c r="Z5" i="1"/>
  <c r="AA9" i="1" l="1"/>
  <c r="AA10" i="1"/>
  <c r="AA8" i="1"/>
  <c r="Z7" i="1"/>
  <c r="AB3" i="1"/>
  <c r="A9" i="1" l="1"/>
  <c r="AB9" i="1"/>
  <c r="AB10" i="1"/>
  <c r="AB8" i="1"/>
  <c r="AA7" i="1"/>
  <c r="AC3" i="1"/>
  <c r="AC9" i="1" l="1"/>
  <c r="AC10" i="1"/>
  <c r="AC8" i="1"/>
  <c r="AB7" i="1"/>
  <c r="AD3" i="1"/>
  <c r="AD9" i="1" l="1"/>
  <c r="AC7" i="1"/>
  <c r="AD10" i="1"/>
  <c r="AD8" i="1"/>
  <c r="AE3" i="1"/>
  <c r="AE9" i="1" l="1"/>
  <c r="AE10" i="1"/>
  <c r="AE8" i="1"/>
  <c r="AD7" i="1"/>
  <c r="AF3" i="1"/>
  <c r="AF9" i="1" l="1"/>
  <c r="AF10" i="1"/>
  <c r="AF8" i="1"/>
  <c r="AE7" i="1"/>
  <c r="AG3" i="1"/>
  <c r="AG6" i="1"/>
  <c r="AG9" i="1" l="1"/>
  <c r="AG10" i="1"/>
  <c r="AG8" i="1"/>
  <c r="AF7" i="1"/>
  <c r="AG5" i="1"/>
  <c r="AG4" i="1"/>
  <c r="AH3" i="1"/>
  <c r="AH9" i="1" l="1"/>
  <c r="AG7" i="1"/>
  <c r="AH10" i="1"/>
  <c r="AH8" i="1"/>
  <c r="AI3" i="1"/>
  <c r="AI9" i="1" l="1"/>
  <c r="AI10" i="1"/>
  <c r="AI8" i="1"/>
  <c r="AH7" i="1"/>
  <c r="AJ3" i="1"/>
  <c r="AJ9" i="1" l="1"/>
  <c r="AI7" i="1"/>
  <c r="AJ10" i="1"/>
  <c r="AJ8" i="1"/>
  <c r="AK3" i="1"/>
  <c r="AK9" i="1" l="1"/>
  <c r="AK10" i="1"/>
  <c r="AK8" i="1"/>
  <c r="AJ7" i="1"/>
  <c r="AL3" i="1"/>
  <c r="AL9" i="1" l="1"/>
  <c r="AK7" i="1"/>
  <c r="AL10" i="1"/>
  <c r="AL8" i="1"/>
  <c r="AM3" i="1"/>
  <c r="AM9" i="1" l="1"/>
  <c r="AM10" i="1"/>
  <c r="AM8" i="1"/>
  <c r="AL7" i="1"/>
  <c r="AN3" i="1"/>
  <c r="AN6" i="1"/>
  <c r="AN9" i="1" l="1"/>
  <c r="AM7" i="1"/>
  <c r="AN10" i="1"/>
  <c r="AN8" i="1"/>
  <c r="AO3" i="1"/>
  <c r="AN5" i="1"/>
  <c r="AN4" i="1"/>
  <c r="AO9" i="1" l="1"/>
  <c r="AO10" i="1"/>
  <c r="AO8" i="1"/>
  <c r="AN7" i="1"/>
  <c r="AP3" i="1"/>
  <c r="AP9" i="1" l="1"/>
  <c r="AO7" i="1"/>
  <c r="AP10" i="1"/>
  <c r="AP8" i="1"/>
  <c r="AQ3" i="1"/>
  <c r="AQ9" i="1" l="1"/>
  <c r="AQ10" i="1"/>
  <c r="AQ8" i="1"/>
  <c r="AP7" i="1"/>
  <c r="AR3" i="1"/>
  <c r="AR9" i="1" l="1"/>
  <c r="AQ7" i="1"/>
  <c r="AR10" i="1"/>
  <c r="AR8" i="1"/>
  <c r="AS3" i="1"/>
  <c r="AS9" i="1" l="1"/>
  <c r="AS10" i="1"/>
  <c r="AS8" i="1"/>
  <c r="AR7" i="1"/>
  <c r="AT3" i="1"/>
  <c r="AT9" i="1" l="1"/>
  <c r="AS7" i="1"/>
  <c r="AT10" i="1"/>
  <c r="AT8" i="1"/>
  <c r="AU3" i="1"/>
  <c r="AU6" i="1"/>
  <c r="AT7" i="1" l="1"/>
  <c r="AU9" i="1"/>
  <c r="AU10" i="1"/>
  <c r="AU8" i="1"/>
  <c r="AU4" i="1"/>
  <c r="AV3" i="1"/>
  <c r="AU5" i="1"/>
  <c r="AV9" i="1" l="1"/>
  <c r="AV10" i="1"/>
  <c r="AV8" i="1"/>
  <c r="AU7" i="1"/>
  <c r="AW3" i="1"/>
  <c r="AW9" i="1" l="1"/>
  <c r="AV7" i="1"/>
  <c r="AW10" i="1"/>
  <c r="AW8" i="1"/>
  <c r="AX3" i="1"/>
  <c r="AX9" i="1" l="1"/>
  <c r="AX10" i="1"/>
  <c r="AX8" i="1"/>
  <c r="AW7" i="1"/>
  <c r="AY3" i="1"/>
  <c r="AY9" i="1" l="1"/>
  <c r="AX7" i="1"/>
  <c r="AY10" i="1"/>
  <c r="AY8" i="1"/>
  <c r="AZ3" i="1"/>
  <c r="AZ9" i="1" l="1"/>
  <c r="AZ10" i="1"/>
  <c r="AZ8" i="1"/>
  <c r="AY7" i="1"/>
  <c r="BA3" i="1"/>
  <c r="BA9" i="1" l="1"/>
  <c r="AZ7" i="1"/>
  <c r="BA10" i="1"/>
  <c r="BA8" i="1"/>
  <c r="BB3" i="1"/>
  <c r="BB6" i="1"/>
  <c r="BB9" i="1" l="1"/>
  <c r="BB10" i="1"/>
  <c r="BB8" i="1"/>
  <c r="BA7" i="1"/>
  <c r="BC3" i="1"/>
  <c r="BB4" i="1"/>
  <c r="BB5" i="1"/>
  <c r="BC9" i="1" l="1"/>
  <c r="BB7" i="1"/>
  <c r="BC10" i="1"/>
  <c r="BC8" i="1"/>
  <c r="BD3" i="1"/>
  <c r="BD9" i="1" l="1"/>
  <c r="BD10" i="1"/>
  <c r="BD8" i="1"/>
  <c r="BC7" i="1"/>
  <c r="BE3" i="1"/>
  <c r="BE9" i="1" l="1"/>
  <c r="BD7" i="1"/>
  <c r="BE10" i="1"/>
  <c r="BE8" i="1"/>
  <c r="BF3" i="1"/>
  <c r="BF9" i="1" l="1"/>
  <c r="BF10" i="1"/>
  <c r="BF8" i="1"/>
  <c r="BE7" i="1"/>
  <c r="BG3" i="1"/>
  <c r="BG9" i="1" l="1"/>
  <c r="BF7" i="1"/>
  <c r="BG10" i="1"/>
  <c r="BG8" i="1"/>
  <c r="BH3" i="1"/>
  <c r="BH9" i="1" l="1"/>
  <c r="BH10" i="1"/>
  <c r="BH8" i="1"/>
  <c r="BG7" i="1"/>
  <c r="BI3" i="1"/>
  <c r="BI6" i="1"/>
  <c r="BI9" i="1" l="1"/>
  <c r="BH7" i="1"/>
  <c r="BI10" i="1"/>
  <c r="BI8" i="1"/>
  <c r="BJ3" i="1"/>
  <c r="BI5" i="1"/>
  <c r="BI4" i="1"/>
  <c r="BJ9" i="1" l="1"/>
  <c r="BJ10" i="1"/>
  <c r="BJ8" i="1"/>
  <c r="BI7" i="1"/>
  <c r="BK3" i="1"/>
  <c r="BK9" i="1" l="1"/>
  <c r="BJ7" i="1"/>
  <c r="BK10" i="1"/>
  <c r="BK8" i="1"/>
  <c r="BL3" i="1"/>
  <c r="BL9" i="1" l="1"/>
  <c r="BK7" i="1"/>
  <c r="BL10" i="1"/>
  <c r="BL8" i="1"/>
  <c r="BM3" i="1"/>
  <c r="BM9" i="1" l="1"/>
  <c r="BM10" i="1"/>
  <c r="BM8" i="1"/>
  <c r="BL7" i="1"/>
  <c r="BN3" i="1"/>
  <c r="BN9" i="1" l="1"/>
  <c r="BM7" i="1"/>
  <c r="BN10" i="1"/>
  <c r="BN8" i="1"/>
  <c r="BO3" i="1"/>
  <c r="BO9" i="1" l="1"/>
  <c r="BO10" i="1"/>
  <c r="BO8" i="1"/>
  <c r="BN7" i="1"/>
  <c r="BP3" i="1"/>
  <c r="BP6" i="1"/>
  <c r="BP9" i="1" l="1"/>
  <c r="BO7" i="1"/>
  <c r="BP10" i="1"/>
  <c r="BP8" i="1"/>
  <c r="BP4" i="1"/>
  <c r="BQ3" i="1"/>
  <c r="BP5" i="1"/>
  <c r="BQ9" i="1" l="1"/>
  <c r="BP7" i="1"/>
  <c r="BQ10" i="1"/>
  <c r="BQ8" i="1"/>
  <c r="BR3" i="1"/>
  <c r="BR9" i="1" l="1"/>
  <c r="BR10" i="1"/>
  <c r="BR8" i="1"/>
  <c r="BQ7" i="1"/>
  <c r="BS3" i="1"/>
  <c r="BS9" i="1" l="1"/>
  <c r="BR7" i="1"/>
  <c r="BS10" i="1"/>
  <c r="BS8" i="1"/>
  <c r="BT3" i="1"/>
  <c r="BT9" i="1" l="1"/>
  <c r="BT10" i="1"/>
  <c r="BT8" i="1"/>
  <c r="BS7" i="1"/>
  <c r="BU3" i="1"/>
  <c r="BU9" i="1" l="1"/>
  <c r="BT7" i="1"/>
  <c r="BU10" i="1"/>
  <c r="BU8" i="1"/>
  <c r="BV3" i="1"/>
  <c r="BV9" i="1" l="1"/>
  <c r="BV10" i="1"/>
  <c r="BV8" i="1"/>
  <c r="BU7" i="1"/>
  <c r="BW3" i="1"/>
  <c r="BW6" i="1"/>
  <c r="BW9" i="1" l="1"/>
  <c r="BV7" i="1"/>
  <c r="BW10" i="1"/>
  <c r="BW8" i="1"/>
  <c r="BW5" i="1"/>
  <c r="BX3" i="1"/>
  <c r="BW4" i="1"/>
  <c r="BX9" i="1" l="1"/>
  <c r="BX10" i="1"/>
  <c r="BX8" i="1"/>
  <c r="BW7" i="1"/>
  <c r="BY3" i="1"/>
  <c r="BY9" i="1" l="1"/>
  <c r="BX7" i="1"/>
  <c r="BY10" i="1"/>
  <c r="BY8" i="1"/>
  <c r="BZ3" i="1"/>
  <c r="BZ9" i="1" l="1"/>
  <c r="BZ10" i="1"/>
  <c r="BZ8" i="1"/>
  <c r="BY7" i="1"/>
  <c r="CA3" i="1"/>
  <c r="CA9" i="1" l="1"/>
  <c r="BZ7" i="1"/>
  <c r="CA10" i="1"/>
  <c r="CA8" i="1"/>
  <c r="CB3" i="1"/>
  <c r="CB9" i="1" l="1"/>
  <c r="CA7" i="1"/>
  <c r="CB10" i="1"/>
  <c r="CB8" i="1"/>
  <c r="CC3" i="1"/>
  <c r="CC9" i="1" l="1"/>
  <c r="CC10" i="1"/>
  <c r="CC8" i="1"/>
  <c r="CB7" i="1"/>
  <c r="CD3" i="1"/>
  <c r="CD6" i="1"/>
  <c r="CD9" i="1" l="1"/>
  <c r="CD10" i="1"/>
  <c r="CD8" i="1"/>
  <c r="CC7" i="1"/>
  <c r="CD4" i="1"/>
  <c r="CD5" i="1"/>
  <c r="CE3" i="1"/>
  <c r="CE9" i="1" l="1"/>
  <c r="CD7" i="1"/>
  <c r="CE10" i="1"/>
  <c r="CE8" i="1"/>
  <c r="CF3" i="1"/>
  <c r="CF9" i="1" l="1"/>
  <c r="CF10" i="1"/>
  <c r="CF8" i="1"/>
  <c r="CE7" i="1"/>
  <c r="CG3" i="1"/>
  <c r="CG9" i="1" l="1"/>
  <c r="CF7" i="1"/>
  <c r="CG10" i="1"/>
  <c r="CG8" i="1"/>
  <c r="CH3" i="1"/>
  <c r="CH9" i="1" l="1"/>
  <c r="CH10" i="1"/>
  <c r="CH8" i="1"/>
  <c r="CG7" i="1"/>
  <c r="CI3" i="1"/>
  <c r="CI9" i="1" l="1"/>
  <c r="CH7" i="1"/>
  <c r="CI10" i="1"/>
  <c r="CI8" i="1"/>
  <c r="CJ3" i="1"/>
  <c r="CJ9" i="1" l="1"/>
  <c r="CJ10" i="1"/>
  <c r="CJ8" i="1"/>
  <c r="CI7" i="1"/>
  <c r="CK3" i="1"/>
  <c r="CK6" i="1"/>
  <c r="CK9" i="1" l="1"/>
  <c r="CK10" i="1"/>
  <c r="CK8" i="1"/>
  <c r="CJ7" i="1"/>
  <c r="CK4" i="1"/>
  <c r="CK5" i="1"/>
  <c r="CL3" i="1"/>
  <c r="CL9" i="1" l="1"/>
  <c r="CK7" i="1"/>
  <c r="CL10" i="1"/>
  <c r="CL8" i="1"/>
  <c r="CM3" i="1"/>
  <c r="CM9" i="1" l="1"/>
  <c r="CM10" i="1"/>
  <c r="CM8" i="1"/>
  <c r="CL7" i="1"/>
  <c r="CN3" i="1"/>
  <c r="CN9" i="1" l="1"/>
  <c r="CM7" i="1"/>
  <c r="CN10" i="1"/>
  <c r="CN8" i="1"/>
  <c r="CO3" i="1"/>
  <c r="CO9" i="1" l="1"/>
  <c r="CO10" i="1"/>
  <c r="CO8" i="1"/>
  <c r="CN7" i="1"/>
  <c r="CP3" i="1"/>
  <c r="CP9" i="1" l="1"/>
  <c r="CP10" i="1"/>
  <c r="CP8" i="1"/>
  <c r="CO7" i="1"/>
  <c r="CQ3" i="1"/>
  <c r="CQ9" i="1" l="1"/>
  <c r="CP7" i="1"/>
  <c r="CQ10" i="1"/>
  <c r="CQ8" i="1"/>
  <c r="CR3" i="1"/>
  <c r="CR6" i="1"/>
  <c r="CR9" i="1" l="1"/>
  <c r="CQ7" i="1"/>
  <c r="CR10" i="1"/>
  <c r="CR8" i="1"/>
  <c r="CR4" i="1"/>
  <c r="CS3" i="1"/>
  <c r="CR5" i="1"/>
  <c r="CS9" i="1" l="1"/>
  <c r="CS10" i="1"/>
  <c r="CS8" i="1"/>
  <c r="CR7" i="1"/>
  <c r="CT3" i="1"/>
  <c r="CT9" i="1" l="1"/>
  <c r="CS7" i="1"/>
  <c r="CT10" i="1"/>
  <c r="CT8" i="1"/>
  <c r="CU3" i="1"/>
  <c r="CU9" i="1" l="1"/>
  <c r="CU10" i="1"/>
  <c r="CU8" i="1"/>
  <c r="CT7" i="1"/>
  <c r="CV3" i="1"/>
  <c r="CV9" i="1" l="1"/>
  <c r="CU7" i="1"/>
  <c r="CV10" i="1"/>
  <c r="CV8" i="1"/>
  <c r="CW3" i="1"/>
  <c r="CW9" i="1" l="1"/>
  <c r="CW10" i="1"/>
  <c r="CW8" i="1"/>
  <c r="CV7" i="1"/>
  <c r="CX3" i="1"/>
  <c r="CX9" i="1" l="1"/>
  <c r="CX10" i="1"/>
  <c r="CX8" i="1"/>
  <c r="CW7" i="1"/>
  <c r="CY3" i="1"/>
  <c r="CY6" i="1"/>
  <c r="CY9" i="1" l="1"/>
  <c r="CX7" i="1"/>
  <c r="CY10" i="1"/>
  <c r="CY8" i="1"/>
  <c r="CY5" i="1"/>
  <c r="CY4" i="1"/>
  <c r="CZ3" i="1"/>
  <c r="CZ9" i="1" l="1"/>
  <c r="CZ10" i="1"/>
  <c r="CZ8" i="1"/>
  <c r="CY7" i="1"/>
  <c r="DA3" i="1"/>
  <c r="DA9" i="1" l="1"/>
  <c r="DA10" i="1"/>
  <c r="DA8" i="1"/>
  <c r="CZ7" i="1"/>
  <c r="DB3" i="1"/>
  <c r="DB9" i="1" l="1"/>
  <c r="DB10" i="1"/>
  <c r="DB8" i="1"/>
  <c r="DA7" i="1"/>
  <c r="DC3" i="1"/>
  <c r="DC9" i="1" l="1"/>
  <c r="DC10" i="1"/>
  <c r="DC8" i="1"/>
  <c r="DB7" i="1"/>
  <c r="DD3" i="1"/>
  <c r="DD9" i="1" l="1"/>
  <c r="DD10" i="1"/>
  <c r="DD8" i="1"/>
  <c r="DC7" i="1"/>
  <c r="DE3" i="1"/>
  <c r="DE9" i="1" l="1"/>
  <c r="DE10" i="1"/>
  <c r="DE8" i="1"/>
  <c r="DD7" i="1"/>
  <c r="DF3" i="1"/>
  <c r="DF6" i="1"/>
  <c r="DF9" i="1" l="1"/>
  <c r="DF10" i="1"/>
  <c r="DF8" i="1"/>
  <c r="DE7" i="1"/>
  <c r="DF4" i="1"/>
  <c r="DF5" i="1"/>
  <c r="DG3" i="1"/>
  <c r="DG9" i="1" l="1"/>
  <c r="DF7" i="1"/>
  <c r="DG10" i="1"/>
  <c r="DG8" i="1"/>
  <c r="DH3" i="1"/>
  <c r="DH9" i="1" l="1"/>
  <c r="DH10" i="1"/>
  <c r="DH8" i="1"/>
  <c r="DG7" i="1"/>
  <c r="DI3" i="1"/>
  <c r="DI9" i="1" l="1"/>
  <c r="DI10" i="1"/>
  <c r="DI8" i="1"/>
  <c r="DH7" i="1"/>
  <c r="DJ3" i="1"/>
  <c r="DJ9" i="1" l="1"/>
  <c r="DJ10" i="1"/>
  <c r="DJ8" i="1"/>
  <c r="DI7" i="1"/>
  <c r="DK3" i="1"/>
  <c r="DK9" i="1" l="1"/>
  <c r="DK10" i="1"/>
  <c r="DK8" i="1"/>
  <c r="DJ7" i="1"/>
  <c r="DL3" i="1"/>
  <c r="DL9" i="1" l="1"/>
  <c r="DL10" i="1"/>
  <c r="DL8" i="1"/>
  <c r="DK7" i="1"/>
  <c r="DM3" i="1"/>
  <c r="DM6" i="1"/>
  <c r="DM9" i="1" l="1"/>
  <c r="DM10" i="1"/>
  <c r="DM8" i="1"/>
  <c r="DL7" i="1"/>
  <c r="DM4" i="1"/>
  <c r="DM5" i="1"/>
  <c r="DN3" i="1"/>
  <c r="DN9" i="1" l="1"/>
  <c r="DN10" i="1"/>
  <c r="DN8" i="1"/>
  <c r="DM7" i="1"/>
  <c r="DO3" i="1"/>
  <c r="DO9" i="1" l="1"/>
  <c r="DN7" i="1"/>
  <c r="DO10" i="1"/>
  <c r="DO8" i="1"/>
  <c r="DP3" i="1"/>
  <c r="DP9" i="1" l="1"/>
  <c r="DP10" i="1"/>
  <c r="DP8" i="1"/>
  <c r="DO7" i="1"/>
  <c r="DQ3" i="1"/>
  <c r="DQ9" i="1" l="1"/>
  <c r="DQ10" i="1"/>
  <c r="DQ8" i="1"/>
  <c r="DP7" i="1"/>
  <c r="DR3" i="1"/>
  <c r="DR9" i="1" l="1"/>
  <c r="DR10" i="1"/>
  <c r="DR8" i="1"/>
  <c r="DQ7" i="1"/>
  <c r="DS3" i="1"/>
  <c r="DS9" i="1" l="1"/>
  <c r="DS10" i="1"/>
  <c r="DS8" i="1"/>
  <c r="DR7" i="1"/>
  <c r="DT3" i="1"/>
  <c r="DT6" i="1"/>
  <c r="DT9" i="1" l="1"/>
  <c r="DT10" i="1"/>
  <c r="DT8" i="1"/>
  <c r="DS7" i="1"/>
  <c r="DT4" i="1"/>
  <c r="DU3" i="1"/>
  <c r="DT5" i="1"/>
  <c r="DU9" i="1" l="1"/>
  <c r="DU10" i="1"/>
  <c r="DU8" i="1"/>
  <c r="DT7" i="1"/>
  <c r="DV3" i="1"/>
  <c r="DV9" i="1" l="1"/>
  <c r="DV10" i="1"/>
  <c r="DV8" i="1"/>
  <c r="DU7" i="1"/>
  <c r="DW3" i="1"/>
  <c r="DW9" i="1" l="1"/>
  <c r="DV7" i="1"/>
  <c r="DW10" i="1"/>
  <c r="DW8" i="1"/>
  <c r="DX3" i="1"/>
  <c r="DX9" i="1" l="1"/>
  <c r="DW7" i="1"/>
  <c r="DX10" i="1"/>
  <c r="DX8" i="1"/>
  <c r="DY3" i="1"/>
  <c r="DY9" i="1" l="1"/>
  <c r="DY10" i="1"/>
  <c r="DY8" i="1"/>
  <c r="DX7" i="1"/>
  <c r="DZ3" i="1"/>
  <c r="DZ9" i="1" l="1"/>
  <c r="DY7" i="1"/>
  <c r="DZ10" i="1"/>
  <c r="DZ8" i="1"/>
  <c r="EA3" i="1"/>
  <c r="EA6" i="1"/>
  <c r="EA9" i="1" l="1"/>
  <c r="EA10" i="1"/>
  <c r="EA8" i="1"/>
  <c r="DZ7" i="1"/>
  <c r="EB3" i="1"/>
  <c r="EA4" i="1"/>
  <c r="EA5" i="1"/>
  <c r="EB9" i="1" l="1"/>
  <c r="EA7" i="1"/>
  <c r="EB10" i="1"/>
  <c r="EB8" i="1"/>
  <c r="EC3" i="1"/>
  <c r="EC9" i="1" l="1"/>
  <c r="EC10" i="1"/>
  <c r="EC8" i="1"/>
  <c r="EB7" i="1"/>
  <c r="ED3" i="1"/>
  <c r="ED9" i="1" l="1"/>
  <c r="ED10" i="1"/>
  <c r="ED8" i="1"/>
  <c r="EC7" i="1"/>
  <c r="EE3" i="1"/>
  <c r="EE9" i="1" l="1"/>
  <c r="ED7" i="1"/>
  <c r="EE10" i="1"/>
  <c r="EE8" i="1"/>
  <c r="EF3" i="1"/>
  <c r="EF9" i="1" l="1"/>
  <c r="EF10" i="1"/>
  <c r="EF8" i="1"/>
  <c r="EE7" i="1"/>
  <c r="EG3" i="1"/>
  <c r="EG9" i="1" l="1"/>
  <c r="EF7" i="1"/>
  <c r="EG10" i="1"/>
  <c r="EG8" i="1"/>
  <c r="EH3" i="1"/>
  <c r="EH6" i="1"/>
  <c r="EH9" i="1" l="1"/>
  <c r="EH10" i="1"/>
  <c r="EH8" i="1"/>
  <c r="EG7" i="1"/>
  <c r="EH5" i="1"/>
  <c r="EH4" i="1"/>
  <c r="EI3" i="1"/>
  <c r="EI9" i="1" l="1"/>
  <c r="EI10" i="1"/>
  <c r="EI8" i="1"/>
  <c r="EH7" i="1"/>
  <c r="EJ3" i="1"/>
  <c r="EJ9" i="1" l="1"/>
  <c r="EJ10" i="1"/>
  <c r="EJ8" i="1"/>
  <c r="EI7" i="1"/>
  <c r="EK3" i="1"/>
  <c r="EK9" i="1" l="1"/>
  <c r="EK10" i="1"/>
  <c r="EK8" i="1"/>
  <c r="EJ7" i="1"/>
  <c r="EL3" i="1"/>
  <c r="EL9" i="1" l="1"/>
  <c r="EL10" i="1"/>
  <c r="EL8" i="1"/>
  <c r="EK7" i="1"/>
  <c r="EM3" i="1"/>
  <c r="EM9" i="1" l="1"/>
  <c r="EM10" i="1"/>
  <c r="EM8" i="1"/>
  <c r="EL7" i="1"/>
  <c r="EN3" i="1"/>
  <c r="EN9" i="1" l="1"/>
  <c r="EN10" i="1"/>
  <c r="EN8" i="1"/>
  <c r="EM7" i="1"/>
  <c r="EO3" i="1"/>
  <c r="EO6" i="1"/>
  <c r="EO9" i="1" l="1"/>
  <c r="EO10" i="1"/>
  <c r="EO8" i="1"/>
  <c r="EN7" i="1"/>
  <c r="EO5" i="1"/>
  <c r="EP3" i="1"/>
  <c r="EO4" i="1"/>
  <c r="EP9" i="1" l="1"/>
  <c r="EP10" i="1"/>
  <c r="EP8" i="1"/>
  <c r="EO7" i="1"/>
  <c r="EQ3" i="1"/>
  <c r="EQ9" i="1" l="1"/>
  <c r="EP7" i="1"/>
  <c r="EQ10" i="1"/>
  <c r="EQ8" i="1"/>
  <c r="ER3" i="1"/>
  <c r="ER9" i="1" l="1"/>
  <c r="ER10" i="1"/>
  <c r="ER8" i="1"/>
  <c r="EQ7" i="1"/>
  <c r="ES3" i="1"/>
  <c r="ES9" i="1" l="1"/>
  <c r="ER7" i="1"/>
  <c r="ES10" i="1"/>
  <c r="ES8" i="1"/>
  <c r="ET3" i="1"/>
  <c r="ET9" i="1" l="1"/>
  <c r="ET10" i="1"/>
  <c r="ET8" i="1"/>
  <c r="ES7" i="1"/>
  <c r="EU3" i="1"/>
  <c r="EU9" i="1" l="1"/>
  <c r="EU10" i="1"/>
  <c r="EU8" i="1"/>
  <c r="ET7" i="1"/>
  <c r="EV3" i="1"/>
  <c r="EV6" i="1"/>
  <c r="EV9" i="1" l="1"/>
  <c r="EU7" i="1"/>
  <c r="EV10" i="1"/>
  <c r="EV8" i="1"/>
  <c r="EV5" i="1"/>
  <c r="EV4" i="1"/>
  <c r="EW3" i="1"/>
  <c r="EW9" i="1" l="1"/>
  <c r="EV7" i="1"/>
  <c r="EW10" i="1"/>
  <c r="EW8" i="1"/>
  <c r="EX3" i="1"/>
  <c r="EX9" i="1" l="1"/>
  <c r="EW7" i="1"/>
  <c r="EX10" i="1"/>
  <c r="EX8" i="1"/>
  <c r="EY3" i="1"/>
  <c r="EY9" i="1" l="1"/>
  <c r="EX7" i="1"/>
  <c r="EY10" i="1"/>
  <c r="EY8" i="1"/>
  <c r="EZ3" i="1"/>
  <c r="EZ9" i="1" l="1"/>
  <c r="EZ10" i="1"/>
  <c r="EZ8" i="1"/>
  <c r="EY7" i="1"/>
  <c r="FA3" i="1"/>
  <c r="FA9" i="1" l="1"/>
  <c r="FA10" i="1"/>
  <c r="FA8" i="1"/>
  <c r="EZ7" i="1"/>
  <c r="FB3" i="1"/>
  <c r="FB9" i="1" l="1"/>
  <c r="FB10" i="1"/>
  <c r="FB8" i="1"/>
  <c r="FA7" i="1"/>
  <c r="FC3" i="1"/>
  <c r="FC6" i="1"/>
  <c r="FC9" i="1" l="1"/>
  <c r="FC10" i="1"/>
  <c r="FC8" i="1"/>
  <c r="FB7" i="1"/>
  <c r="FC4" i="1"/>
  <c r="FD3" i="1"/>
  <c r="FC5" i="1"/>
  <c r="FD9" i="1" l="1"/>
  <c r="FD10" i="1"/>
  <c r="FD8" i="1"/>
  <c r="FC7" i="1"/>
  <c r="FE3" i="1"/>
  <c r="FE9" i="1" l="1"/>
  <c r="FD7" i="1"/>
  <c r="FE10" i="1"/>
  <c r="FE8" i="1"/>
  <c r="FF3" i="1"/>
  <c r="FF9" i="1" l="1"/>
  <c r="FF10" i="1"/>
  <c r="FF8" i="1"/>
  <c r="FE7" i="1"/>
  <c r="FG3" i="1"/>
  <c r="FG9" i="1" l="1"/>
  <c r="FG10" i="1"/>
  <c r="FG8" i="1"/>
  <c r="FF7" i="1"/>
  <c r="FH3" i="1"/>
  <c r="FH9" i="1" l="1"/>
  <c r="FG7" i="1"/>
  <c r="FH10" i="1"/>
  <c r="FH8" i="1"/>
  <c r="FI3" i="1"/>
  <c r="FI9" i="1" l="1"/>
  <c r="FI10" i="1"/>
  <c r="FI8" i="1"/>
  <c r="FH7" i="1"/>
  <c r="FJ3" i="1"/>
  <c r="FJ6" i="1"/>
  <c r="FJ9" i="1" l="1"/>
  <c r="FI7" i="1"/>
  <c r="FJ10" i="1"/>
  <c r="FJ8" i="1"/>
  <c r="FJ4" i="1"/>
  <c r="FJ5" i="1"/>
  <c r="FK3" i="1"/>
  <c r="FK9" i="1" l="1"/>
  <c r="FK10" i="1"/>
  <c r="FK8" i="1"/>
  <c r="FJ7" i="1"/>
  <c r="FL3" i="1"/>
  <c r="FL9" i="1" l="1"/>
  <c r="FL10" i="1"/>
  <c r="FL8" i="1"/>
  <c r="FK7" i="1"/>
  <c r="FM3" i="1"/>
  <c r="FM9" i="1" l="1"/>
  <c r="FL7" i="1"/>
  <c r="FM10" i="1"/>
  <c r="FM8" i="1"/>
  <c r="FN3" i="1"/>
  <c r="FN9" i="1" l="1"/>
  <c r="FN10" i="1"/>
  <c r="FN8" i="1"/>
  <c r="FM7" i="1"/>
  <c r="FO3" i="1"/>
  <c r="FO9" i="1" l="1"/>
  <c r="FO10" i="1"/>
  <c r="FO8" i="1"/>
  <c r="FN7" i="1"/>
  <c r="FP3" i="1"/>
  <c r="FP9" i="1" l="1"/>
  <c r="FO7" i="1"/>
  <c r="FP10" i="1"/>
  <c r="FP8" i="1"/>
  <c r="FQ3" i="1"/>
  <c r="FQ6" i="1"/>
  <c r="FQ9" i="1" l="1"/>
  <c r="FQ10" i="1"/>
  <c r="FQ8" i="1"/>
  <c r="FP7" i="1"/>
  <c r="FR3" i="1"/>
  <c r="FQ5" i="1"/>
  <c r="FQ4" i="1"/>
  <c r="FR9" i="1" l="1"/>
  <c r="FQ7" i="1"/>
  <c r="FR10" i="1"/>
  <c r="FR8" i="1"/>
  <c r="FS3" i="1"/>
  <c r="FS9" i="1" l="1"/>
  <c r="FR7" i="1"/>
  <c r="FS10" i="1"/>
  <c r="FS8" i="1"/>
  <c r="FT3" i="1"/>
  <c r="FT9" i="1" l="1"/>
  <c r="FT10" i="1"/>
  <c r="FT8" i="1"/>
  <c r="FS7" i="1"/>
  <c r="FU3" i="1"/>
  <c r="FU9" i="1" l="1"/>
  <c r="FT7" i="1"/>
  <c r="FU10" i="1"/>
  <c r="FU8" i="1"/>
  <c r="FV3" i="1"/>
  <c r="FV9" i="1" l="1"/>
  <c r="FV10" i="1"/>
  <c r="FV8" i="1"/>
  <c r="FU7" i="1"/>
  <c r="FW3" i="1"/>
  <c r="FW9" i="1" l="1"/>
  <c r="FW10" i="1"/>
  <c r="FW8" i="1"/>
  <c r="FV7" i="1"/>
  <c r="FX3" i="1"/>
  <c r="FX6" i="1"/>
  <c r="FX9" i="1" l="1"/>
  <c r="FW7" i="1"/>
  <c r="FX10" i="1"/>
  <c r="FX8" i="1"/>
  <c r="FX4" i="1"/>
  <c r="FY3" i="1"/>
  <c r="FX5" i="1"/>
  <c r="FY9" i="1" l="1"/>
  <c r="FX7" i="1"/>
  <c r="FY10" i="1"/>
  <c r="FY8" i="1"/>
  <c r="FZ3" i="1"/>
  <c r="FZ9" i="1" l="1"/>
  <c r="FZ10" i="1"/>
  <c r="FZ8" i="1"/>
  <c r="FY7" i="1"/>
  <c r="GA3" i="1"/>
  <c r="GA9" i="1" l="1"/>
  <c r="FZ7" i="1"/>
  <c r="GA10" i="1"/>
  <c r="GA8" i="1"/>
  <c r="GB3" i="1"/>
  <c r="GB9" i="1" l="1"/>
  <c r="GA7" i="1"/>
  <c r="GB10" i="1"/>
  <c r="GB8" i="1"/>
  <c r="GC3" i="1"/>
  <c r="GC9" i="1" l="1"/>
  <c r="GC10" i="1"/>
  <c r="GC8" i="1"/>
  <c r="GB7" i="1"/>
  <c r="GD3" i="1"/>
  <c r="GD9" i="1" l="1"/>
  <c r="GD10" i="1"/>
  <c r="GD8" i="1"/>
  <c r="GC7" i="1"/>
  <c r="GE3" i="1"/>
  <c r="GE6" i="1"/>
  <c r="GE9" i="1" l="1"/>
  <c r="GE10" i="1"/>
  <c r="GE8" i="1"/>
  <c r="GD7" i="1"/>
  <c r="GF3" i="1"/>
  <c r="GE4" i="1"/>
  <c r="GE5" i="1"/>
  <c r="GF9" i="1" l="1"/>
  <c r="GE7" i="1"/>
  <c r="GF10" i="1"/>
  <c r="GF8" i="1"/>
  <c r="GG3" i="1"/>
  <c r="GG9" i="1" l="1"/>
  <c r="GG10" i="1"/>
  <c r="GG8" i="1"/>
  <c r="GF7" i="1"/>
  <c r="GH3" i="1"/>
  <c r="GH9" i="1" l="1"/>
  <c r="GG7" i="1"/>
  <c r="GH10" i="1"/>
  <c r="GH8" i="1"/>
  <c r="GI3" i="1"/>
  <c r="GI9" i="1" l="1"/>
  <c r="GH7" i="1"/>
  <c r="GI10" i="1"/>
  <c r="GI8" i="1"/>
  <c r="GJ3" i="1"/>
  <c r="GJ9" i="1" l="1"/>
  <c r="GJ10" i="1"/>
  <c r="GJ8" i="1"/>
  <c r="GI7" i="1"/>
  <c r="GK3" i="1"/>
  <c r="GK9" i="1" l="1"/>
  <c r="GJ7" i="1"/>
  <c r="GK10" i="1"/>
  <c r="GK8" i="1"/>
  <c r="GL3" i="1"/>
  <c r="GL6" i="1"/>
  <c r="GL9" i="1" l="1"/>
  <c r="GL10" i="1"/>
  <c r="GL8" i="1"/>
  <c r="GK7" i="1"/>
  <c r="GL5" i="1"/>
  <c r="GM3" i="1"/>
  <c r="GL4" i="1"/>
  <c r="GM9" i="1" l="1"/>
  <c r="GM10" i="1"/>
  <c r="GM8" i="1"/>
  <c r="GL7" i="1"/>
  <c r="GN3" i="1"/>
  <c r="GN9" i="1" l="1"/>
  <c r="GM7" i="1"/>
  <c r="GN10" i="1"/>
  <c r="GN8" i="1"/>
  <c r="GO3" i="1"/>
  <c r="GO9" i="1" l="1"/>
  <c r="GO10" i="1"/>
  <c r="GO8" i="1"/>
  <c r="GN7" i="1"/>
  <c r="GP3" i="1"/>
  <c r="GP9" i="1" l="1"/>
  <c r="GO7" i="1"/>
  <c r="GP10" i="1"/>
  <c r="GP8" i="1"/>
  <c r="GQ3" i="1"/>
  <c r="GQ9" i="1" l="1"/>
  <c r="GP7" i="1"/>
  <c r="GQ10" i="1"/>
  <c r="GQ8" i="1"/>
  <c r="GR3" i="1"/>
  <c r="GR9" i="1" l="1"/>
  <c r="GR10" i="1"/>
  <c r="GR8" i="1"/>
  <c r="GQ7" i="1"/>
  <c r="GS3" i="1"/>
  <c r="GS6" i="1"/>
  <c r="GS9" i="1" l="1"/>
  <c r="GR7" i="1"/>
  <c r="GS10" i="1"/>
  <c r="GS8" i="1"/>
  <c r="GS4" i="1"/>
  <c r="GS5" i="1"/>
  <c r="GT3" i="1"/>
  <c r="GT9" i="1" l="1"/>
  <c r="GS7" i="1"/>
  <c r="GT10" i="1"/>
  <c r="GT8" i="1"/>
  <c r="GU3" i="1"/>
  <c r="GU9" i="1" l="1"/>
  <c r="GT7" i="1"/>
  <c r="GU10" i="1"/>
  <c r="GU8" i="1"/>
  <c r="GV3" i="1"/>
  <c r="GV9" i="1" l="1"/>
  <c r="GV10" i="1"/>
  <c r="GV8" i="1"/>
  <c r="GU7" i="1"/>
  <c r="GW3" i="1"/>
  <c r="GW9" i="1" l="1"/>
  <c r="GV7" i="1"/>
  <c r="GW10" i="1"/>
  <c r="GW8" i="1"/>
  <c r="GX3" i="1"/>
  <c r="GX9" i="1" l="1"/>
  <c r="GX10" i="1"/>
  <c r="GX8" i="1"/>
  <c r="GW7" i="1"/>
  <c r="GY3" i="1"/>
  <c r="GY9" i="1" l="1"/>
  <c r="GY10" i="1"/>
  <c r="GY8" i="1"/>
  <c r="GX7" i="1"/>
  <c r="GZ3" i="1"/>
  <c r="GZ6" i="1"/>
  <c r="GZ9" i="1" l="1"/>
  <c r="GZ10" i="1"/>
  <c r="GZ8" i="1"/>
  <c r="GY7" i="1"/>
  <c r="GZ5" i="1"/>
  <c r="GZ4" i="1"/>
  <c r="HA3" i="1"/>
  <c r="HA9" i="1" l="1"/>
  <c r="GZ7" i="1"/>
  <c r="HA10" i="1"/>
  <c r="HA8" i="1"/>
  <c r="HB3" i="1"/>
  <c r="HB9" i="1" l="1"/>
  <c r="HB10" i="1"/>
  <c r="HB8" i="1"/>
  <c r="HA7" i="1"/>
  <c r="HC3" i="1"/>
  <c r="HC9" i="1" l="1"/>
  <c r="HC10" i="1"/>
  <c r="HC8" i="1"/>
  <c r="HB7" i="1"/>
  <c r="HD3" i="1"/>
  <c r="HD9" i="1" l="1"/>
  <c r="HC7" i="1"/>
  <c r="HD10" i="1"/>
  <c r="HD8" i="1"/>
  <c r="HE3" i="1"/>
  <c r="HE9" i="1" l="1"/>
  <c r="HE10" i="1"/>
  <c r="HE8" i="1"/>
  <c r="HD7" i="1"/>
  <c r="HF3" i="1"/>
  <c r="HF9" i="1" l="1"/>
  <c r="HE7" i="1"/>
  <c r="HF10" i="1"/>
  <c r="HF8" i="1"/>
  <c r="HG3" i="1"/>
  <c r="HG6" i="1"/>
  <c r="HG9" i="1" l="1"/>
  <c r="HF7" i="1"/>
  <c r="HG10" i="1"/>
  <c r="HG8" i="1"/>
  <c r="HH3" i="1"/>
  <c r="HG4" i="1"/>
  <c r="HG5" i="1"/>
  <c r="HH9" i="1" l="1"/>
  <c r="HH10" i="1"/>
  <c r="HH8" i="1"/>
  <c r="HG7" i="1"/>
  <c r="HI3" i="1"/>
  <c r="HI9" i="1" l="1"/>
  <c r="HH7" i="1"/>
  <c r="HI10" i="1"/>
  <c r="HI8" i="1"/>
  <c r="HJ3" i="1"/>
  <c r="HJ9" i="1" l="1"/>
  <c r="HI7" i="1"/>
  <c r="HJ10" i="1"/>
  <c r="HJ8" i="1"/>
  <c r="HK3" i="1"/>
  <c r="HK9" i="1" l="1"/>
  <c r="HJ7" i="1"/>
  <c r="HK10" i="1"/>
  <c r="HK8" i="1"/>
  <c r="HL3" i="1"/>
  <c r="HL9" i="1" l="1"/>
  <c r="HL10" i="1"/>
  <c r="HL8" i="1"/>
  <c r="HK7" i="1"/>
  <c r="HM3" i="1"/>
  <c r="HM9" i="1" l="1"/>
  <c r="HL7" i="1"/>
  <c r="HM10" i="1"/>
  <c r="HM8" i="1"/>
  <c r="HN3" i="1"/>
  <c r="HN6" i="1"/>
  <c r="HN9" i="1" l="1"/>
  <c r="HN10" i="1"/>
  <c r="HN8" i="1"/>
  <c r="HM7" i="1"/>
  <c r="HN4" i="1"/>
  <c r="HO3" i="1"/>
  <c r="HN5" i="1"/>
  <c r="HO9" i="1" l="1"/>
  <c r="HO10" i="1"/>
  <c r="HO8" i="1"/>
  <c r="HN7" i="1"/>
  <c r="HP3" i="1"/>
  <c r="HP9" i="1" l="1"/>
  <c r="HP10" i="1"/>
  <c r="HP8" i="1"/>
  <c r="HO7" i="1"/>
  <c r="HQ3" i="1"/>
  <c r="HQ9" i="1" l="1"/>
  <c r="HP7" i="1"/>
  <c r="HQ10" i="1"/>
  <c r="HQ8" i="1"/>
  <c r="HR3" i="1"/>
  <c r="HR9" i="1" l="1"/>
  <c r="HR10" i="1"/>
  <c r="HR8" i="1"/>
  <c r="HQ7" i="1"/>
  <c r="HS3" i="1"/>
  <c r="HS9" i="1" l="1"/>
  <c r="HS10" i="1"/>
  <c r="HS8" i="1"/>
  <c r="HR7" i="1"/>
  <c r="HT3" i="1"/>
  <c r="HT9" i="1" l="1"/>
  <c r="HS7" i="1"/>
  <c r="HT10" i="1"/>
  <c r="HT8" i="1"/>
  <c r="HU3" i="1"/>
  <c r="HU6" i="1"/>
  <c r="HU9" i="1" l="1"/>
  <c r="HU10" i="1"/>
  <c r="HU8" i="1"/>
  <c r="HT7" i="1"/>
  <c r="HU5" i="1"/>
  <c r="HV3" i="1"/>
  <c r="HU4" i="1"/>
  <c r="HV9" i="1" l="1"/>
  <c r="HV10" i="1"/>
  <c r="HV8" i="1"/>
  <c r="HU7" i="1"/>
  <c r="HW3" i="1"/>
  <c r="HW9" i="1" l="1"/>
  <c r="HW10" i="1"/>
  <c r="HW8" i="1"/>
  <c r="HV7" i="1"/>
  <c r="HX3" i="1"/>
  <c r="HX9" i="1" l="1"/>
  <c r="HX10" i="1"/>
  <c r="HX8" i="1"/>
  <c r="HW7" i="1"/>
  <c r="HY3" i="1"/>
  <c r="HY9" i="1" l="1"/>
  <c r="HX7" i="1"/>
  <c r="HY10" i="1"/>
  <c r="HY8" i="1"/>
  <c r="HZ3" i="1"/>
  <c r="HZ9" i="1" l="1"/>
  <c r="HY7" i="1"/>
  <c r="HZ10" i="1"/>
  <c r="HZ8" i="1"/>
  <c r="IA3" i="1"/>
  <c r="IA9" i="1" l="1"/>
  <c r="HZ7" i="1"/>
  <c r="IA10" i="1"/>
  <c r="IA8" i="1"/>
  <c r="IB3" i="1"/>
  <c r="IB6" i="1"/>
  <c r="IB9" i="1" l="1"/>
  <c r="IA7" i="1"/>
  <c r="IB10" i="1"/>
  <c r="IB8" i="1"/>
  <c r="IB4" i="1"/>
  <c r="IB5" i="1"/>
  <c r="IC3" i="1"/>
  <c r="IC9" i="1" l="1"/>
  <c r="IC10" i="1"/>
  <c r="IC8" i="1"/>
  <c r="IB7" i="1"/>
  <c r="ID3" i="1"/>
  <c r="ID9" i="1" l="1"/>
  <c r="IC7" i="1"/>
  <c r="ID10" i="1"/>
  <c r="ID8" i="1"/>
  <c r="IE3" i="1"/>
  <c r="IE9" i="1" l="1"/>
  <c r="ID7" i="1"/>
  <c r="IE10" i="1"/>
  <c r="IE8" i="1"/>
  <c r="IF3" i="1"/>
  <c r="IF9" i="1" l="1"/>
  <c r="IF10" i="1"/>
  <c r="IF8" i="1"/>
  <c r="IE7" i="1"/>
  <c r="IG3" i="1"/>
  <c r="IG9" i="1" l="1"/>
  <c r="IF7" i="1"/>
  <c r="IG10" i="1"/>
  <c r="IG8" i="1"/>
  <c r="IH3" i="1"/>
  <c r="IH9" i="1" l="1"/>
  <c r="IH10" i="1"/>
  <c r="IH8" i="1"/>
  <c r="IG7" i="1"/>
  <c r="II3" i="1"/>
  <c r="II6" i="1"/>
  <c r="II9" i="1" l="1"/>
  <c r="II10" i="1"/>
  <c r="II8" i="1"/>
  <c r="IH7" i="1"/>
  <c r="IJ3" i="1"/>
  <c r="II5" i="1"/>
  <c r="II4" i="1"/>
  <c r="IJ9" i="1" l="1"/>
  <c r="II7" i="1"/>
  <c r="IJ10" i="1"/>
  <c r="IJ8" i="1"/>
  <c r="IK3" i="1"/>
  <c r="IK9" i="1" l="1"/>
  <c r="IK10" i="1"/>
  <c r="IK8" i="1"/>
  <c r="IJ7" i="1"/>
  <c r="IL3" i="1"/>
  <c r="IL9" i="1" l="1"/>
  <c r="IK7" i="1"/>
  <c r="IL10" i="1"/>
  <c r="IL8" i="1"/>
  <c r="IM3" i="1"/>
  <c r="IM9" i="1" l="1"/>
  <c r="IL7" i="1"/>
  <c r="IM10" i="1"/>
  <c r="IM8" i="1"/>
  <c r="IN3" i="1"/>
  <c r="IN9" i="1" l="1"/>
  <c r="IN10" i="1"/>
  <c r="IN8" i="1"/>
  <c r="IM7" i="1"/>
  <c r="IO3" i="1"/>
  <c r="IO9" i="1" l="1"/>
  <c r="IN7" i="1"/>
  <c r="IO10" i="1"/>
  <c r="IO8" i="1"/>
  <c r="IP3" i="1"/>
  <c r="IP6" i="1"/>
  <c r="IP9" i="1" l="1"/>
  <c r="IP10" i="1"/>
  <c r="IP8" i="1"/>
  <c r="IO7" i="1"/>
  <c r="IQ3" i="1"/>
  <c r="IP4" i="1"/>
  <c r="IP5" i="1"/>
  <c r="IQ9" i="1" l="1"/>
  <c r="IQ10" i="1"/>
  <c r="IQ8" i="1"/>
  <c r="IP7" i="1"/>
  <c r="IR3" i="1"/>
  <c r="IR9" i="1" l="1"/>
  <c r="IQ7" i="1"/>
  <c r="IR10" i="1"/>
  <c r="IR8" i="1"/>
  <c r="IS3" i="1"/>
  <c r="IS9" i="1" l="1"/>
  <c r="IS10" i="1"/>
  <c r="IS8" i="1"/>
  <c r="IR7" i="1"/>
  <c r="IT3" i="1"/>
  <c r="IT9" i="1" l="1"/>
  <c r="IS7" i="1"/>
  <c r="IT10" i="1"/>
  <c r="IT8" i="1"/>
  <c r="IU3" i="1"/>
  <c r="IU9" i="1" l="1"/>
  <c r="IT7" i="1"/>
  <c r="IU10" i="1"/>
  <c r="IU8" i="1"/>
  <c r="IV3" i="1"/>
  <c r="IV9" i="1" l="1"/>
  <c r="IV10" i="1"/>
  <c r="IV8" i="1"/>
  <c r="IU7" i="1"/>
  <c r="IW3" i="1"/>
  <c r="IW6" i="1"/>
  <c r="IW9" i="1" l="1"/>
  <c r="IV7" i="1"/>
  <c r="IW10" i="1"/>
  <c r="IW8" i="1"/>
  <c r="IW5" i="1"/>
  <c r="IW4" i="1"/>
  <c r="IX3" i="1"/>
  <c r="IX9" i="1" l="1"/>
  <c r="IW7" i="1"/>
  <c r="IX10" i="1"/>
  <c r="IX8" i="1"/>
  <c r="IY3" i="1"/>
  <c r="IY9" i="1" l="1"/>
  <c r="IX7" i="1"/>
  <c r="IY10" i="1"/>
  <c r="IY8" i="1"/>
  <c r="IZ3" i="1"/>
  <c r="IZ9" i="1" l="1"/>
  <c r="IZ10" i="1"/>
  <c r="IZ8" i="1"/>
  <c r="IY7" i="1"/>
  <c r="JA3" i="1"/>
  <c r="JA9" i="1" l="1"/>
  <c r="JA10" i="1"/>
  <c r="JA8" i="1"/>
  <c r="IZ7" i="1"/>
  <c r="JB3" i="1"/>
  <c r="JB9" i="1" l="1"/>
  <c r="JB10" i="1"/>
  <c r="JB8" i="1"/>
  <c r="JA7" i="1"/>
  <c r="JC3" i="1"/>
  <c r="JC9" i="1" l="1"/>
  <c r="JB7" i="1"/>
  <c r="JC10" i="1"/>
  <c r="JC8" i="1"/>
  <c r="JD3" i="1"/>
  <c r="JD6" i="1"/>
  <c r="JD9" i="1" l="1"/>
  <c r="JC7" i="1"/>
  <c r="JD10" i="1"/>
  <c r="JD8" i="1"/>
  <c r="JE3" i="1"/>
  <c r="JD4" i="1"/>
  <c r="JD5" i="1"/>
  <c r="JE9" i="1" l="1"/>
  <c r="JE10" i="1"/>
  <c r="JE8" i="1"/>
  <c r="JD7" i="1"/>
  <c r="JF3" i="1"/>
  <c r="JF9" i="1" l="1"/>
  <c r="JF10" i="1"/>
  <c r="JF8" i="1"/>
  <c r="JE7" i="1"/>
  <c r="JG3" i="1"/>
  <c r="JG9" i="1" l="1"/>
  <c r="JF7" i="1"/>
  <c r="JG10" i="1"/>
  <c r="JG8" i="1"/>
  <c r="JH3" i="1"/>
  <c r="JH9" i="1" l="1"/>
  <c r="JH10" i="1"/>
  <c r="JH8" i="1"/>
  <c r="JG7" i="1"/>
  <c r="JI3" i="1"/>
  <c r="JI9" i="1" l="1"/>
  <c r="JI10" i="1"/>
  <c r="JI8" i="1"/>
  <c r="JH7" i="1"/>
  <c r="JJ3" i="1"/>
  <c r="JJ9" i="1" l="1"/>
  <c r="JJ10" i="1"/>
  <c r="JJ8" i="1"/>
  <c r="JI7" i="1"/>
  <c r="JK3" i="1"/>
  <c r="JK6" i="1"/>
  <c r="JK9" i="1" l="1"/>
  <c r="JJ7" i="1"/>
  <c r="JK10" i="1"/>
  <c r="JK8" i="1"/>
  <c r="JK4" i="1"/>
  <c r="JL3" i="1"/>
  <c r="JK5" i="1"/>
  <c r="JL9" i="1" l="1"/>
  <c r="JL10" i="1"/>
  <c r="JL8" i="1"/>
  <c r="JK7" i="1"/>
  <c r="JM3" i="1"/>
  <c r="JM9" i="1" l="1"/>
  <c r="JL7" i="1"/>
  <c r="JM10" i="1"/>
  <c r="JM8" i="1"/>
  <c r="JN3" i="1"/>
  <c r="JN9" i="1" l="1"/>
  <c r="JN10" i="1"/>
  <c r="JN8" i="1"/>
  <c r="JM7" i="1"/>
  <c r="JO3" i="1"/>
  <c r="JO9" i="1" l="1"/>
  <c r="JO10" i="1"/>
  <c r="JO8" i="1"/>
  <c r="JN7" i="1"/>
  <c r="JP3" i="1"/>
  <c r="JP9" i="1" l="1"/>
  <c r="JO7" i="1"/>
  <c r="JP10" i="1"/>
  <c r="JP8" i="1"/>
  <c r="JQ3" i="1"/>
  <c r="JQ9" i="1" l="1"/>
  <c r="JQ10" i="1"/>
  <c r="JQ8" i="1"/>
  <c r="JP7" i="1"/>
  <c r="JR3" i="1"/>
  <c r="JR6" i="1"/>
  <c r="JR9" i="1" l="1"/>
  <c r="JQ7" i="1"/>
  <c r="JR10" i="1"/>
  <c r="JR8" i="1"/>
  <c r="JS3" i="1"/>
  <c r="JR4" i="1"/>
  <c r="JR5" i="1"/>
  <c r="JS9" i="1" l="1"/>
  <c r="JR7" i="1"/>
  <c r="JS10" i="1"/>
  <c r="JS8" i="1"/>
  <c r="JT3" i="1"/>
  <c r="JT9" i="1" l="1"/>
  <c r="JT10" i="1"/>
  <c r="JT8" i="1"/>
  <c r="JS7" i="1"/>
  <c r="JU3" i="1"/>
  <c r="JU9" i="1" l="1"/>
  <c r="JT7" i="1"/>
  <c r="JU10" i="1"/>
  <c r="JU8" i="1"/>
  <c r="JV3" i="1"/>
  <c r="JV9" i="1" l="1"/>
  <c r="JU7" i="1"/>
  <c r="JV10" i="1"/>
  <c r="JV8" i="1"/>
  <c r="JW3" i="1"/>
  <c r="JW9" i="1" l="1"/>
  <c r="JV7" i="1"/>
  <c r="JW10" i="1"/>
  <c r="JW8" i="1"/>
  <c r="JX3" i="1"/>
  <c r="JX9" i="1" l="1"/>
  <c r="JX10" i="1"/>
  <c r="JX8" i="1"/>
  <c r="JW7" i="1"/>
  <c r="JY3" i="1"/>
  <c r="JY6" i="1"/>
  <c r="JY9" i="1" l="1"/>
  <c r="JY10" i="1"/>
  <c r="JY8" i="1"/>
  <c r="JX7" i="1"/>
  <c r="JY4" i="1"/>
  <c r="JZ3" i="1"/>
  <c r="JY5" i="1"/>
  <c r="JZ9" i="1" l="1"/>
  <c r="JZ10" i="1"/>
  <c r="JZ8" i="1"/>
  <c r="JY7" i="1"/>
  <c r="KA3" i="1"/>
  <c r="KA9" i="1" l="1"/>
  <c r="JZ7" i="1"/>
  <c r="KA10" i="1"/>
  <c r="KA8" i="1"/>
  <c r="KB3" i="1"/>
  <c r="KB9" i="1" l="1"/>
  <c r="KA7" i="1"/>
  <c r="KB10" i="1"/>
  <c r="KB8" i="1"/>
  <c r="KC3" i="1"/>
  <c r="KC9" i="1" l="1"/>
  <c r="KC10" i="1"/>
  <c r="KC8" i="1"/>
  <c r="KB7" i="1"/>
  <c r="KD3" i="1"/>
  <c r="KD9" i="1" l="1"/>
  <c r="KD10" i="1"/>
  <c r="KD8" i="1"/>
  <c r="KC7" i="1"/>
  <c r="KE3" i="1"/>
  <c r="KE9" i="1" l="1"/>
  <c r="KD7" i="1"/>
  <c r="KE10" i="1"/>
  <c r="KE8" i="1"/>
  <c r="KF3" i="1"/>
  <c r="KF6" i="1"/>
  <c r="KF9" i="1" l="1"/>
  <c r="KF10" i="1"/>
  <c r="KF8" i="1"/>
  <c r="KE7" i="1"/>
  <c r="KF5" i="1"/>
  <c r="KG3" i="1"/>
  <c r="KF4" i="1"/>
  <c r="KG9" i="1" l="1"/>
  <c r="KG10" i="1"/>
  <c r="KG8" i="1"/>
  <c r="KF7" i="1"/>
  <c r="KH3" i="1"/>
  <c r="KH9" i="1" l="1"/>
  <c r="KH10" i="1"/>
  <c r="KH8" i="1"/>
  <c r="KG7" i="1"/>
  <c r="KI3" i="1"/>
  <c r="KI9" i="1" l="1"/>
  <c r="KH7" i="1"/>
  <c r="KI10" i="1"/>
  <c r="KI8" i="1"/>
  <c r="KJ3" i="1"/>
  <c r="KJ9" i="1" l="1"/>
  <c r="KI7" i="1"/>
  <c r="KJ10" i="1"/>
  <c r="KJ8" i="1"/>
  <c r="KK3" i="1"/>
  <c r="KK9" i="1" l="1"/>
  <c r="KK10" i="1"/>
  <c r="KK8" i="1"/>
  <c r="KJ7" i="1"/>
  <c r="KL3" i="1"/>
  <c r="KL9" i="1" l="1"/>
  <c r="KL10" i="1"/>
  <c r="KL8" i="1"/>
  <c r="KK7" i="1"/>
  <c r="KM3" i="1"/>
  <c r="KM6" i="1"/>
  <c r="KM9" i="1" l="1"/>
  <c r="KM10" i="1"/>
  <c r="KM8" i="1"/>
  <c r="KL7" i="1"/>
  <c r="KM4" i="1"/>
  <c r="KN3" i="1"/>
  <c r="KM5" i="1"/>
  <c r="KN9" i="1" l="1"/>
  <c r="KN10" i="1"/>
  <c r="KN8" i="1"/>
  <c r="KM7" i="1"/>
  <c r="KO3" i="1"/>
  <c r="KO9" i="1" l="1"/>
  <c r="KO10" i="1"/>
  <c r="KO8" i="1"/>
  <c r="KN7" i="1"/>
  <c r="KP3" i="1"/>
  <c r="KP9" i="1" l="1"/>
  <c r="KP10" i="1"/>
  <c r="KP8" i="1"/>
  <c r="KO7" i="1"/>
  <c r="KQ3" i="1"/>
  <c r="KQ9" i="1" l="1"/>
  <c r="KP7" i="1"/>
  <c r="KQ10" i="1"/>
  <c r="KQ8" i="1"/>
  <c r="KR3" i="1"/>
  <c r="KR9" i="1" l="1"/>
  <c r="KQ7" i="1"/>
  <c r="KR10" i="1"/>
  <c r="KR8" i="1"/>
  <c r="KS3" i="1"/>
  <c r="KS9" i="1" l="1"/>
  <c r="KS10" i="1"/>
  <c r="KS8" i="1"/>
  <c r="KR7" i="1"/>
  <c r="KT3" i="1"/>
  <c r="KT6" i="1"/>
  <c r="KT9" i="1" l="1"/>
  <c r="KT10" i="1"/>
  <c r="KT8" i="1"/>
  <c r="KS7" i="1"/>
  <c r="KT5" i="1"/>
  <c r="KU3" i="1"/>
  <c r="KT4" i="1"/>
  <c r="KU9" i="1" l="1"/>
  <c r="KT7" i="1"/>
  <c r="KU10" i="1"/>
  <c r="KU8" i="1"/>
  <c r="KV3" i="1"/>
  <c r="KV9" i="1" l="1"/>
  <c r="KV10" i="1"/>
  <c r="KV8" i="1"/>
  <c r="KU7" i="1"/>
  <c r="KW3" i="1"/>
  <c r="KW9" i="1" l="1"/>
  <c r="KW10" i="1"/>
  <c r="KW8" i="1"/>
  <c r="KV7" i="1"/>
  <c r="KX3" i="1"/>
  <c r="KX9" i="1" l="1"/>
  <c r="KX10" i="1"/>
  <c r="KX8" i="1"/>
  <c r="KW7" i="1"/>
  <c r="KY3" i="1"/>
  <c r="KY9" i="1" l="1"/>
  <c r="KY10" i="1"/>
  <c r="KY8" i="1"/>
  <c r="KX7" i="1"/>
  <c r="KZ3" i="1"/>
  <c r="KZ9" i="1" l="1"/>
  <c r="KZ10" i="1"/>
  <c r="KZ8" i="1"/>
  <c r="KY7" i="1"/>
  <c r="LA3" i="1"/>
  <c r="LA6" i="1"/>
  <c r="LA9" i="1" l="1"/>
  <c r="KZ7" i="1"/>
  <c r="LA10" i="1"/>
  <c r="LA8" i="1"/>
  <c r="LA4" i="1"/>
  <c r="LB3" i="1"/>
  <c r="LA5" i="1"/>
  <c r="LB9" i="1" l="1"/>
  <c r="LB10" i="1"/>
  <c r="LB8" i="1"/>
  <c r="LA7" i="1"/>
  <c r="LC3" i="1"/>
  <c r="LC9" i="1" l="1"/>
  <c r="LC10" i="1"/>
  <c r="LC8" i="1"/>
  <c r="LB7" i="1"/>
  <c r="LD3" i="1"/>
  <c r="LD9" i="1" l="1"/>
  <c r="LC7" i="1"/>
  <c r="LD10" i="1"/>
  <c r="LD8" i="1"/>
  <c r="LE3" i="1"/>
  <c r="LE9" i="1" l="1"/>
  <c r="LE10" i="1"/>
  <c r="LE8" i="1"/>
  <c r="LD7" i="1"/>
  <c r="LF3" i="1"/>
  <c r="LF9" i="1" l="1"/>
  <c r="LE7" i="1"/>
  <c r="LF10" i="1"/>
  <c r="LF8" i="1"/>
  <c r="LG3" i="1"/>
  <c r="LG9" i="1" l="1"/>
  <c r="LF7" i="1"/>
  <c r="LG10" i="1"/>
  <c r="LG8" i="1"/>
  <c r="LH3" i="1"/>
  <c r="LH6" i="1"/>
  <c r="LH9" i="1" l="1"/>
  <c r="LH10" i="1"/>
  <c r="LH8" i="1"/>
  <c r="LG7" i="1"/>
  <c r="LI3" i="1"/>
  <c r="LH4" i="1"/>
  <c r="LH5" i="1"/>
  <c r="LI9" i="1" l="1"/>
  <c r="LH7" i="1"/>
  <c r="LI10" i="1"/>
  <c r="LI8" i="1"/>
  <c r="LJ3" i="1"/>
  <c r="LJ9" i="1" l="1"/>
  <c r="LJ10" i="1"/>
  <c r="LJ8" i="1"/>
  <c r="LI7" i="1"/>
  <c r="LK3" i="1"/>
  <c r="LK9" i="1" l="1"/>
  <c r="LK10" i="1"/>
  <c r="LK8" i="1"/>
  <c r="LJ7" i="1"/>
  <c r="LL3" i="1"/>
  <c r="LL9" i="1" l="1"/>
  <c r="LK7" i="1"/>
  <c r="LL10" i="1"/>
  <c r="LL8" i="1"/>
  <c r="LM3" i="1"/>
  <c r="LM9" i="1" l="1"/>
  <c r="LM10" i="1"/>
  <c r="LM8" i="1"/>
  <c r="LL7" i="1"/>
  <c r="LN3" i="1"/>
  <c r="LN9" i="1" l="1"/>
  <c r="LM7" i="1"/>
  <c r="LN10" i="1"/>
  <c r="LN8" i="1"/>
  <c r="LO3" i="1"/>
  <c r="LO6" i="1"/>
  <c r="LO9" i="1" l="1"/>
  <c r="LN7" i="1"/>
  <c r="LO10" i="1"/>
  <c r="LO8" i="1"/>
  <c r="LO4" i="1"/>
  <c r="LP3" i="1"/>
  <c r="LO5" i="1"/>
  <c r="LP9" i="1" l="1"/>
  <c r="LP10" i="1"/>
  <c r="LP8" i="1"/>
  <c r="LO7" i="1"/>
  <c r="LQ3" i="1"/>
  <c r="LQ9" i="1" l="1"/>
  <c r="LP7" i="1"/>
  <c r="LQ10" i="1"/>
  <c r="LQ8" i="1"/>
  <c r="LR3" i="1"/>
  <c r="LR9" i="1" l="1"/>
  <c r="LQ7" i="1"/>
  <c r="LR10" i="1"/>
  <c r="LR8" i="1"/>
  <c r="LS3" i="1"/>
  <c r="LS9" i="1" l="1"/>
  <c r="LR7" i="1"/>
  <c r="LS10" i="1"/>
  <c r="LS8" i="1"/>
  <c r="LT3" i="1"/>
  <c r="LT9" i="1" l="1"/>
  <c r="LT10" i="1"/>
  <c r="LT8" i="1"/>
  <c r="LS7" i="1"/>
  <c r="LU3" i="1"/>
  <c r="LU9" i="1" l="1"/>
  <c r="LT7" i="1"/>
  <c r="LU10" i="1"/>
  <c r="LU8" i="1"/>
  <c r="LV3" i="1"/>
  <c r="LV6" i="1"/>
  <c r="LV9" i="1" l="1"/>
  <c r="LV10" i="1"/>
  <c r="LV8" i="1"/>
  <c r="LU7" i="1"/>
  <c r="LV5" i="1"/>
  <c r="LW3" i="1"/>
  <c r="LV4" i="1"/>
  <c r="LW9" i="1" l="1"/>
  <c r="LW10" i="1"/>
  <c r="LW8" i="1"/>
  <c r="LV7" i="1"/>
  <c r="LX3" i="1"/>
  <c r="LX9" i="1" l="1"/>
  <c r="LX10" i="1"/>
  <c r="LX8" i="1"/>
  <c r="LW7" i="1"/>
  <c r="LY3" i="1"/>
  <c r="LY9" i="1" l="1"/>
  <c r="LX7" i="1"/>
  <c r="LY10" i="1"/>
  <c r="LY8" i="1"/>
  <c r="LZ3" i="1"/>
  <c r="LZ9" i="1" l="1"/>
  <c r="LZ10" i="1"/>
  <c r="LZ8" i="1"/>
  <c r="LY7" i="1"/>
  <c r="MA3" i="1"/>
  <c r="MA9" i="1" l="1"/>
  <c r="MA10" i="1"/>
  <c r="MA8" i="1"/>
  <c r="LZ7" i="1"/>
  <c r="MB3" i="1"/>
  <c r="MB9" i="1" l="1"/>
  <c r="MA7" i="1"/>
  <c r="MB10" i="1"/>
  <c r="MB8" i="1"/>
  <c r="MC3" i="1"/>
  <c r="MC6" i="1"/>
  <c r="MC9" i="1" l="1"/>
  <c r="MC10" i="1"/>
  <c r="MC8" i="1"/>
  <c r="MB7" i="1"/>
  <c r="MD3" i="1"/>
  <c r="MC5" i="1"/>
  <c r="MC4" i="1"/>
  <c r="MD9" i="1" l="1"/>
  <c r="MD10" i="1"/>
  <c r="MD8" i="1"/>
  <c r="MC7" i="1"/>
  <c r="ME3" i="1"/>
  <c r="ME9" i="1" l="1"/>
  <c r="MD7" i="1"/>
  <c r="ME10" i="1"/>
  <c r="ME8" i="1"/>
  <c r="MF3" i="1"/>
  <c r="MF9" i="1" l="1"/>
  <c r="ME7" i="1"/>
  <c r="MF10" i="1"/>
  <c r="MF8" i="1"/>
  <c r="MG3" i="1"/>
  <c r="MG9" i="1" l="1"/>
  <c r="MF7" i="1"/>
  <c r="MG10" i="1"/>
  <c r="MG8" i="1"/>
  <c r="MH3" i="1"/>
  <c r="MH9" i="1" l="1"/>
  <c r="MH10" i="1"/>
  <c r="MH8" i="1"/>
  <c r="MG7" i="1"/>
  <c r="MI3" i="1"/>
  <c r="MI9" i="1" l="1"/>
  <c r="MH7" i="1"/>
  <c r="MI10" i="1"/>
  <c r="MI8" i="1"/>
  <c r="MJ3" i="1"/>
  <c r="MJ6" i="1"/>
  <c r="MJ9" i="1" l="1"/>
  <c r="MJ10" i="1"/>
  <c r="MJ8" i="1"/>
  <c r="MI7" i="1"/>
  <c r="MJ5" i="1"/>
  <c r="MK3" i="1"/>
  <c r="MJ4" i="1"/>
  <c r="MK9" i="1" l="1"/>
  <c r="MK10" i="1"/>
  <c r="MK8" i="1"/>
  <c r="MJ7" i="1"/>
  <c r="ML3" i="1"/>
  <c r="ML9" i="1" l="1"/>
  <c r="ML10" i="1"/>
  <c r="ML8" i="1"/>
  <c r="MK7" i="1"/>
  <c r="MM3" i="1"/>
  <c r="MM9" i="1" l="1"/>
  <c r="ML7" i="1"/>
  <c r="MM10" i="1"/>
  <c r="MM8" i="1"/>
  <c r="MN3" i="1"/>
  <c r="MN9" i="1" l="1"/>
  <c r="MM7" i="1"/>
  <c r="MN10" i="1"/>
  <c r="MN8" i="1"/>
  <c r="MO3" i="1"/>
  <c r="MO9" i="1" l="1"/>
  <c r="MO10" i="1"/>
  <c r="MO8" i="1"/>
  <c r="MN7" i="1"/>
  <c r="MP3" i="1"/>
  <c r="MP9" i="1" l="1"/>
  <c r="MO7" i="1"/>
  <c r="MP10" i="1"/>
  <c r="MP8" i="1"/>
  <c r="MQ3" i="1"/>
  <c r="MQ6" i="1"/>
  <c r="MQ9" i="1" l="1"/>
  <c r="MQ10" i="1"/>
  <c r="MQ8" i="1"/>
  <c r="MP7" i="1"/>
  <c r="MR3" i="1"/>
  <c r="MQ5" i="1"/>
  <c r="MQ4" i="1"/>
  <c r="MR9" i="1" l="1"/>
  <c r="MQ7" i="1"/>
  <c r="MR10" i="1"/>
  <c r="MR8" i="1"/>
  <c r="MS3" i="1"/>
  <c r="MS9" i="1" l="1"/>
  <c r="MS10" i="1"/>
  <c r="MS8" i="1"/>
  <c r="MR7" i="1"/>
  <c r="MT3" i="1"/>
  <c r="MT9" i="1" l="1"/>
  <c r="MT10" i="1"/>
  <c r="MT8" i="1"/>
  <c r="MS7" i="1"/>
  <c r="MU3" i="1"/>
  <c r="MU9" i="1" l="1"/>
  <c r="MT7" i="1"/>
  <c r="MU10" i="1"/>
  <c r="MU8" i="1"/>
  <c r="MV3" i="1"/>
  <c r="MV9" i="1" l="1"/>
  <c r="MU7" i="1"/>
  <c r="MV10" i="1"/>
  <c r="MV8" i="1"/>
  <c r="MW3" i="1"/>
  <c r="MW9" i="1" l="1"/>
  <c r="MW10" i="1"/>
  <c r="MW8" i="1"/>
  <c r="MV7" i="1"/>
  <c r="MX3" i="1"/>
  <c r="MX6" i="1"/>
  <c r="MX9" i="1" l="1"/>
  <c r="MX10" i="1"/>
  <c r="MX8" i="1"/>
  <c r="MW7" i="1"/>
  <c r="MX5" i="1"/>
  <c r="MY3" i="1"/>
  <c r="MX4" i="1"/>
  <c r="MY9" i="1" l="1"/>
  <c r="MY10" i="1"/>
  <c r="MY8" i="1"/>
  <c r="MX7" i="1"/>
  <c r="MZ3" i="1"/>
  <c r="MZ9" i="1" l="1"/>
  <c r="MZ10" i="1"/>
  <c r="MZ8" i="1"/>
  <c r="MY7" i="1"/>
  <c r="NA3" i="1"/>
  <c r="NA9" i="1" l="1"/>
  <c r="NA10" i="1"/>
  <c r="NA8" i="1"/>
  <c r="MZ7" i="1"/>
  <c r="NB3" i="1"/>
  <c r="NB9" i="1" l="1"/>
  <c r="NB10" i="1"/>
  <c r="NB8" i="1"/>
  <c r="NA7" i="1"/>
  <c r="NC3" i="1"/>
  <c r="NC9" i="1" l="1"/>
  <c r="NB7" i="1"/>
  <c r="NC10" i="1"/>
  <c r="NC8" i="1"/>
  <c r="ND3" i="1"/>
  <c r="ND9" i="1" l="1"/>
  <c r="NC7" i="1"/>
  <c r="ND10" i="1"/>
  <c r="ND8" i="1"/>
  <c r="NE3" i="1"/>
  <c r="NE6" i="1"/>
  <c r="NE9" i="1" l="1"/>
  <c r="NE10" i="1"/>
  <c r="NE8" i="1"/>
  <c r="ND7" i="1"/>
  <c r="NE4" i="1"/>
  <c r="NF3" i="1"/>
  <c r="NE5" i="1"/>
  <c r="NF9" i="1" l="1"/>
  <c r="NF10" i="1"/>
  <c r="NF8" i="1"/>
  <c r="NE7" i="1"/>
  <c r="NG3" i="1"/>
  <c r="NG9" i="1" l="1"/>
  <c r="NF7" i="1"/>
  <c r="NG10" i="1"/>
  <c r="NG8" i="1"/>
  <c r="NH3" i="1"/>
  <c r="NH9" i="1" l="1"/>
  <c r="NH10" i="1"/>
  <c r="NH8" i="1"/>
  <c r="NG7" i="1"/>
  <c r="NI3" i="1"/>
  <c r="NI9" i="1" l="1"/>
  <c r="NI10" i="1"/>
  <c r="NI8" i="1"/>
  <c r="NH7" i="1"/>
  <c r="NJ3" i="1"/>
  <c r="NJ9" i="1" l="1"/>
  <c r="NJ10" i="1"/>
  <c r="NJ8" i="1"/>
  <c r="NI7" i="1"/>
  <c r="NK3" i="1"/>
  <c r="NK9" i="1" l="1"/>
  <c r="NK10" i="1"/>
  <c r="NK8" i="1"/>
  <c r="NJ7" i="1"/>
  <c r="NL3" i="1"/>
  <c r="NL6" i="1"/>
  <c r="NL9" i="1" l="1"/>
  <c r="NL10" i="1"/>
  <c r="NL8" i="1"/>
  <c r="NK7" i="1"/>
  <c r="NL5" i="1"/>
  <c r="NM3" i="1"/>
  <c r="NL4" i="1"/>
  <c r="NM9" i="1" l="1"/>
  <c r="NM10" i="1"/>
  <c r="NM8" i="1"/>
  <c r="NL7" i="1"/>
  <c r="NN3" i="1"/>
  <c r="NN9" i="1" l="1"/>
  <c r="NN10" i="1"/>
  <c r="NN8" i="1"/>
  <c r="NM7" i="1"/>
  <c r="NO3" i="1"/>
  <c r="NO9" i="1" l="1"/>
  <c r="NN7" i="1"/>
  <c r="NO10" i="1"/>
  <c r="NO8" i="1"/>
  <c r="NP3" i="1"/>
  <c r="NP9" i="1" l="1"/>
  <c r="NP10" i="1"/>
  <c r="NP8" i="1"/>
  <c r="NO7" i="1"/>
  <c r="NQ3" i="1"/>
  <c r="NQ9" i="1" l="1"/>
  <c r="NQ10" i="1"/>
  <c r="NQ8" i="1"/>
  <c r="NP7" i="1"/>
  <c r="NR3" i="1"/>
  <c r="NR9" i="1" l="1"/>
  <c r="NR10" i="1"/>
  <c r="NR8" i="1"/>
  <c r="NQ7" i="1"/>
  <c r="NS3" i="1"/>
  <c r="NS6" i="1"/>
  <c r="NS9" i="1" l="1"/>
  <c r="NR7" i="1"/>
  <c r="NS10" i="1"/>
  <c r="NS8" i="1"/>
  <c r="NS4" i="1"/>
  <c r="NT3" i="1"/>
  <c r="NS5" i="1"/>
  <c r="NT9" i="1" l="1"/>
  <c r="NT10" i="1"/>
  <c r="NT8" i="1"/>
  <c r="NS7" i="1"/>
  <c r="NU3" i="1"/>
  <c r="NU9" i="1" l="1"/>
  <c r="NU10" i="1"/>
  <c r="NU8" i="1"/>
  <c r="NT7" i="1"/>
  <c r="NV3" i="1"/>
  <c r="NV9" i="1" l="1"/>
  <c r="NU7" i="1"/>
  <c r="NV10" i="1"/>
  <c r="NV8" i="1"/>
  <c r="NW3" i="1"/>
  <c r="NW9" i="1" l="1"/>
  <c r="NW10" i="1"/>
  <c r="NW8" i="1"/>
  <c r="NV7" i="1"/>
  <c r="NX3" i="1"/>
  <c r="NX9" i="1" l="1"/>
  <c r="NX10" i="1"/>
  <c r="NX8" i="1"/>
  <c r="NW7" i="1"/>
  <c r="NY3" i="1"/>
  <c r="NY9" i="1" l="1"/>
  <c r="NY10" i="1"/>
  <c r="NY8" i="1"/>
  <c r="NX7" i="1"/>
  <c r="NZ3" i="1"/>
  <c r="NZ6" i="1"/>
  <c r="NZ9" i="1" l="1"/>
  <c r="NZ10" i="1"/>
  <c r="NZ8" i="1"/>
  <c r="NY7" i="1"/>
  <c r="OA3" i="1"/>
  <c r="NZ4" i="1"/>
  <c r="NZ5" i="1"/>
  <c r="OA9" i="1" l="1"/>
  <c r="OA10" i="1"/>
  <c r="OA8" i="1"/>
  <c r="NZ7" i="1"/>
  <c r="OB3" i="1"/>
  <c r="OB9" i="1" l="1"/>
  <c r="OB10" i="1"/>
  <c r="OB8" i="1"/>
  <c r="OA7" i="1"/>
  <c r="OC3" i="1"/>
  <c r="OC9" i="1" l="1"/>
  <c r="OC10" i="1"/>
  <c r="OC8" i="1"/>
  <c r="OB7" i="1"/>
  <c r="OD3" i="1"/>
  <c r="OD9" i="1" l="1"/>
  <c r="OD10" i="1"/>
  <c r="OD8" i="1"/>
  <c r="OC7" i="1"/>
  <c r="OE3" i="1"/>
  <c r="OE9" i="1" l="1"/>
  <c r="OE10" i="1"/>
  <c r="OE8" i="1"/>
  <c r="OD7" i="1"/>
  <c r="OF3" i="1"/>
  <c r="OF9" i="1" l="1"/>
  <c r="OF10" i="1"/>
  <c r="OF8" i="1"/>
  <c r="OE7" i="1"/>
  <c r="OG3" i="1"/>
  <c r="OG6" i="1"/>
  <c r="OG9" i="1" l="1"/>
  <c r="OG10" i="1"/>
  <c r="OG8" i="1"/>
  <c r="OF7" i="1"/>
  <c r="OG4" i="1"/>
  <c r="OH3" i="1"/>
  <c r="OG5" i="1"/>
  <c r="OH9" i="1" l="1"/>
  <c r="OH10" i="1"/>
  <c r="OH8" i="1"/>
  <c r="OG7" i="1"/>
  <c r="OI3" i="1"/>
  <c r="OI9" i="1" l="1"/>
  <c r="OI10" i="1"/>
  <c r="OI8" i="1"/>
  <c r="OH7" i="1"/>
  <c r="OJ3" i="1"/>
  <c r="OJ9" i="1" l="1"/>
  <c r="OJ10" i="1"/>
  <c r="OJ8" i="1"/>
  <c r="OI7" i="1"/>
  <c r="OK3" i="1"/>
  <c r="OK9" i="1" l="1"/>
  <c r="OK10" i="1"/>
  <c r="OK8" i="1"/>
  <c r="OJ7" i="1"/>
  <c r="OL3" i="1"/>
  <c r="OL9" i="1" l="1"/>
  <c r="OK7" i="1"/>
  <c r="OL10" i="1"/>
  <c r="OL8" i="1"/>
  <c r="OM3" i="1"/>
  <c r="OM9" i="1" l="1"/>
  <c r="OL7" i="1"/>
  <c r="OM10" i="1"/>
  <c r="OM8" i="1"/>
  <c r="ON3" i="1"/>
  <c r="ON6" i="1"/>
  <c r="ON9" i="1" l="1"/>
  <c r="ON10" i="1"/>
  <c r="ON8" i="1"/>
  <c r="OM7" i="1"/>
  <c r="ON5" i="1"/>
  <c r="OO3" i="1"/>
  <c r="ON4" i="1"/>
  <c r="OO9" i="1" l="1"/>
  <c r="OO10" i="1"/>
  <c r="OO8" i="1"/>
  <c r="ON7" i="1"/>
  <c r="OP3" i="1"/>
  <c r="OP9" i="1" l="1"/>
  <c r="OP10" i="1"/>
  <c r="OP8" i="1"/>
  <c r="OO7" i="1"/>
  <c r="OQ3" i="1"/>
  <c r="OQ9" i="1" l="1"/>
  <c r="OQ10" i="1"/>
  <c r="OQ8" i="1"/>
  <c r="OP7" i="1"/>
  <c r="OR3" i="1"/>
  <c r="OR9" i="1" l="1"/>
  <c r="OR10" i="1"/>
  <c r="OR8" i="1"/>
  <c r="OQ7" i="1"/>
  <c r="OS3" i="1"/>
  <c r="OS9" i="1" l="1"/>
  <c r="OS10" i="1"/>
  <c r="OS8" i="1"/>
  <c r="OR7" i="1"/>
  <c r="OT3" i="1"/>
  <c r="OT9" i="1" l="1"/>
  <c r="OT10" i="1"/>
  <c r="OT8" i="1"/>
  <c r="OS7" i="1"/>
  <c r="OU3" i="1"/>
  <c r="OU6" i="1"/>
  <c r="OU9" i="1" l="1"/>
  <c r="OU10" i="1"/>
  <c r="OU8" i="1"/>
  <c r="OT7" i="1"/>
  <c r="OU4" i="1"/>
  <c r="OV3" i="1"/>
  <c r="OU5" i="1"/>
  <c r="OV9" i="1" l="1"/>
  <c r="OV10" i="1"/>
  <c r="OV8" i="1"/>
  <c r="OU7" i="1"/>
  <c r="OW3" i="1"/>
  <c r="OW9" i="1" l="1"/>
  <c r="OV7" i="1"/>
  <c r="OW10" i="1"/>
  <c r="OW8" i="1"/>
  <c r="OX3" i="1"/>
  <c r="OX9" i="1" l="1"/>
  <c r="OX10" i="1"/>
  <c r="OX8" i="1"/>
  <c r="OW7" i="1"/>
  <c r="OY3" i="1"/>
  <c r="OY9" i="1" l="1"/>
  <c r="OY10" i="1"/>
  <c r="OY8" i="1"/>
  <c r="OX7" i="1"/>
  <c r="OZ3" i="1"/>
  <c r="OZ9" i="1" l="1"/>
  <c r="OZ10" i="1"/>
  <c r="OZ8" i="1"/>
  <c r="OY7" i="1"/>
  <c r="PA3" i="1"/>
  <c r="PA9" i="1" l="1"/>
  <c r="OZ7" i="1"/>
  <c r="PA10" i="1"/>
  <c r="PA8" i="1"/>
  <c r="PB3" i="1"/>
  <c r="PB6" i="1"/>
  <c r="PB9" i="1" l="1"/>
  <c r="PB10" i="1"/>
  <c r="PB8" i="1"/>
  <c r="PA7" i="1"/>
  <c r="PB5" i="1"/>
  <c r="PC3" i="1"/>
  <c r="PB4" i="1"/>
  <c r="PC9" i="1" l="1"/>
  <c r="PB7" i="1"/>
  <c r="PC10" i="1"/>
  <c r="PC8" i="1"/>
  <c r="PD3" i="1"/>
  <c r="PD9" i="1" l="1"/>
  <c r="PD10" i="1"/>
  <c r="PD8" i="1"/>
  <c r="PC7" i="1"/>
  <c r="PE3" i="1"/>
  <c r="PE9" i="1" l="1"/>
  <c r="PD7" i="1"/>
  <c r="PE10" i="1"/>
  <c r="PE8" i="1"/>
  <c r="PF3" i="1"/>
  <c r="PF9" i="1" l="1"/>
  <c r="PF10" i="1"/>
  <c r="PF8" i="1"/>
  <c r="PE7" i="1"/>
  <c r="PG3" i="1"/>
  <c r="PG9" i="1" l="1"/>
  <c r="PF7" i="1"/>
  <c r="PG10" i="1"/>
  <c r="PG8" i="1"/>
  <c r="PH3" i="1"/>
  <c r="PH9" i="1" l="1"/>
  <c r="PH10" i="1"/>
  <c r="PH8" i="1"/>
  <c r="PG7" i="1"/>
  <c r="PI3" i="1"/>
  <c r="PI6" i="1"/>
  <c r="PI9" i="1" l="1"/>
  <c r="PH7" i="1"/>
  <c r="PI10" i="1"/>
  <c r="PI8" i="1"/>
  <c r="PI4" i="1"/>
  <c r="PJ3" i="1"/>
  <c r="PI5" i="1"/>
  <c r="PJ9" i="1" l="1"/>
  <c r="PI7" i="1"/>
  <c r="PJ10" i="1"/>
  <c r="PJ8" i="1"/>
  <c r="PK3" i="1"/>
  <c r="PK9" i="1" l="1"/>
  <c r="PJ7" i="1"/>
  <c r="PK10" i="1"/>
  <c r="PK8" i="1"/>
  <c r="PL3" i="1"/>
  <c r="PL9" i="1" l="1"/>
  <c r="PL10" i="1"/>
  <c r="PL8" i="1"/>
  <c r="PK7" i="1"/>
  <c r="PM3" i="1"/>
  <c r="PM9" i="1" l="1"/>
  <c r="PL7" i="1"/>
  <c r="PM10" i="1"/>
  <c r="PM8" i="1"/>
  <c r="PN3" i="1"/>
  <c r="PN9" i="1" l="1"/>
  <c r="PN10" i="1"/>
  <c r="PN8" i="1"/>
  <c r="PM7" i="1"/>
  <c r="PO3" i="1"/>
  <c r="PO9" i="1" l="1"/>
  <c r="PO10" i="1"/>
  <c r="PO8" i="1"/>
  <c r="PN7" i="1"/>
  <c r="PP3" i="1"/>
  <c r="PP6" i="1"/>
  <c r="PP9" i="1" l="1"/>
  <c r="PP10" i="1"/>
  <c r="PP8" i="1"/>
  <c r="PO7" i="1"/>
  <c r="PP5" i="1"/>
  <c r="PQ3" i="1"/>
  <c r="PP4" i="1"/>
  <c r="PQ9" i="1" l="1"/>
  <c r="PQ10" i="1"/>
  <c r="PQ8" i="1"/>
  <c r="PP7" i="1"/>
  <c r="PR3" i="1"/>
  <c r="PR9" i="1" l="1"/>
  <c r="PQ7" i="1"/>
  <c r="PR10" i="1"/>
  <c r="PR8" i="1"/>
  <c r="PS3" i="1"/>
  <c r="PS9" i="1" l="1"/>
  <c r="PS10" i="1"/>
  <c r="PS8" i="1"/>
  <c r="PR7" i="1"/>
  <c r="PT3" i="1"/>
  <c r="PT9" i="1" l="1"/>
  <c r="PS7" i="1"/>
  <c r="PT10" i="1"/>
  <c r="PT8" i="1"/>
  <c r="PU3" i="1"/>
  <c r="PU9" i="1" l="1"/>
  <c r="PU10" i="1"/>
  <c r="PU8" i="1"/>
  <c r="PT7" i="1"/>
  <c r="PV3" i="1"/>
  <c r="PV9" i="1" l="1"/>
  <c r="PU7" i="1"/>
  <c r="PV10" i="1"/>
  <c r="PV8" i="1"/>
  <c r="PW3" i="1"/>
  <c r="PW6" i="1"/>
  <c r="PW9" i="1" l="1"/>
  <c r="PW10" i="1"/>
  <c r="PW8" i="1"/>
  <c r="PV7" i="1"/>
  <c r="PX3" i="1"/>
  <c r="PW4" i="1"/>
  <c r="PW5" i="1"/>
  <c r="PX9" i="1" l="1"/>
  <c r="PX10" i="1"/>
  <c r="PX8" i="1"/>
  <c r="PW7" i="1"/>
  <c r="PY3" i="1"/>
  <c r="PY9" i="1" l="1"/>
  <c r="PY10" i="1"/>
  <c r="PY8" i="1"/>
  <c r="PX7" i="1"/>
  <c r="PZ3" i="1"/>
  <c r="PZ9" i="1" l="1"/>
  <c r="PZ10" i="1"/>
  <c r="PZ8" i="1"/>
  <c r="PY7" i="1"/>
  <c r="QA3" i="1"/>
  <c r="QA9" i="1" l="1"/>
  <c r="PZ7" i="1"/>
  <c r="QA10" i="1"/>
  <c r="QA8" i="1"/>
  <c r="QB3" i="1"/>
  <c r="QB9" i="1" l="1"/>
  <c r="QB10" i="1"/>
  <c r="QB8" i="1"/>
  <c r="QA7" i="1"/>
  <c r="QC3" i="1"/>
  <c r="QC9" i="1" l="1"/>
  <c r="QC10" i="1"/>
  <c r="QC8" i="1"/>
  <c r="QB7" i="1"/>
  <c r="QD3" i="1"/>
  <c r="QD6" i="1"/>
  <c r="QD9" i="1" l="1"/>
  <c r="QD10" i="1"/>
  <c r="QD8" i="1"/>
  <c r="QC7" i="1"/>
  <c r="QE3" i="1"/>
  <c r="QD4" i="1"/>
  <c r="QD5" i="1"/>
  <c r="QE9" i="1" l="1"/>
  <c r="QD7" i="1"/>
  <c r="QE10" i="1"/>
  <c r="QE8" i="1"/>
  <c r="QF3" i="1"/>
  <c r="QF9" i="1" l="1"/>
  <c r="QE7" i="1"/>
  <c r="QF10" i="1"/>
  <c r="QF8" i="1"/>
  <c r="QG3" i="1"/>
  <c r="QG9" i="1" l="1"/>
  <c r="QG10" i="1"/>
  <c r="QG8" i="1"/>
  <c r="QF7" i="1"/>
  <c r="QH3" i="1"/>
  <c r="QH9" i="1" l="1"/>
  <c r="QH10" i="1"/>
  <c r="QH8" i="1"/>
  <c r="QG7" i="1"/>
  <c r="QI3" i="1"/>
  <c r="QI9" i="1" l="1"/>
  <c r="QI10" i="1"/>
  <c r="QI8" i="1"/>
  <c r="QH7" i="1"/>
  <c r="QJ3" i="1"/>
  <c r="QJ9" i="1" l="1"/>
  <c r="QJ10" i="1"/>
  <c r="QJ8" i="1"/>
  <c r="QI7" i="1"/>
  <c r="QK3" i="1"/>
  <c r="QK6" i="1"/>
  <c r="QK9" i="1" l="1"/>
  <c r="QK10" i="1"/>
  <c r="QK8" i="1"/>
  <c r="QJ7" i="1"/>
  <c r="QK4" i="1"/>
  <c r="QL3" i="1"/>
  <c r="QK5" i="1"/>
  <c r="QL9" i="1" l="1"/>
  <c r="QL10" i="1"/>
  <c r="QL8" i="1"/>
  <c r="QK7" i="1"/>
  <c r="QM3" i="1"/>
  <c r="QM9" i="1" l="1"/>
  <c r="QM10" i="1"/>
  <c r="QM8" i="1"/>
  <c r="QL7" i="1"/>
  <c r="QN3" i="1"/>
  <c r="QN9" i="1" l="1"/>
  <c r="QN10" i="1"/>
  <c r="QN8" i="1"/>
  <c r="QM7" i="1"/>
  <c r="QO3" i="1"/>
  <c r="QO9" i="1" l="1"/>
  <c r="QO10" i="1"/>
  <c r="QO8" i="1"/>
  <c r="QN7" i="1"/>
  <c r="QP3" i="1"/>
  <c r="QP9" i="1" l="1"/>
  <c r="QP10" i="1"/>
  <c r="QP8" i="1"/>
  <c r="QO7" i="1"/>
  <c r="QQ3" i="1"/>
  <c r="QQ9" i="1" l="1"/>
  <c r="QQ10" i="1"/>
  <c r="QQ8" i="1"/>
  <c r="QP7" i="1"/>
  <c r="QR3" i="1"/>
  <c r="QR6" i="1"/>
  <c r="QR9" i="1" l="1"/>
  <c r="QR10" i="1"/>
  <c r="QR8" i="1"/>
  <c r="QQ7" i="1"/>
  <c r="QR5" i="1"/>
  <c r="QS3" i="1"/>
  <c r="QR4" i="1"/>
  <c r="QS9" i="1" l="1"/>
  <c r="QS10" i="1"/>
  <c r="QS8" i="1"/>
  <c r="QR7" i="1"/>
  <c r="QT3" i="1"/>
  <c r="QT9" i="1" l="1"/>
  <c r="QS7" i="1"/>
  <c r="QT10" i="1"/>
  <c r="QT8" i="1"/>
  <c r="QU3" i="1"/>
  <c r="QU9" i="1" l="1"/>
  <c r="QT7" i="1"/>
  <c r="QU10" i="1"/>
  <c r="QU8" i="1"/>
  <c r="QV3" i="1"/>
  <c r="QV9" i="1" l="1"/>
  <c r="QV10" i="1"/>
  <c r="QV8" i="1"/>
  <c r="QU7" i="1"/>
  <c r="QW3" i="1"/>
  <c r="QW9" i="1" l="1"/>
  <c r="QV7" i="1"/>
  <c r="QW10" i="1"/>
  <c r="QW8" i="1"/>
  <c r="QX3" i="1"/>
  <c r="QX9" i="1" l="1"/>
  <c r="QX10" i="1"/>
  <c r="QX8" i="1"/>
  <c r="QW7" i="1"/>
  <c r="QY3" i="1"/>
  <c r="QY6" i="1"/>
  <c r="QY9" i="1" l="1"/>
  <c r="QY10" i="1"/>
  <c r="QY8" i="1"/>
  <c r="QX7" i="1"/>
  <c r="QY5" i="1"/>
  <c r="QY4" i="1"/>
  <c r="QZ3" i="1"/>
  <c r="QZ9" i="1" l="1"/>
  <c r="QY7" i="1"/>
  <c r="QZ10" i="1"/>
  <c r="QZ8" i="1"/>
  <c r="RA3" i="1"/>
  <c r="RA9" i="1" l="1"/>
  <c r="RA10" i="1"/>
  <c r="RA8" i="1"/>
  <c r="QZ7" i="1"/>
  <c r="RB3" i="1"/>
  <c r="RB9" i="1" l="1"/>
  <c r="RA7" i="1"/>
  <c r="RB10" i="1"/>
  <c r="RB8" i="1"/>
  <c r="RC3" i="1"/>
  <c r="RC9" i="1" l="1"/>
  <c r="RC10" i="1"/>
  <c r="RC8" i="1"/>
  <c r="RB7" i="1"/>
  <c r="RD3" i="1"/>
  <c r="RD9" i="1" l="1"/>
  <c r="RD10" i="1"/>
  <c r="RD8" i="1"/>
  <c r="RC7" i="1"/>
  <c r="RE3" i="1"/>
  <c r="RF3" i="1" s="1"/>
  <c r="RF6" i="1"/>
  <c r="RG3" i="1" l="1"/>
  <c r="RF4" i="1"/>
  <c r="RF5" i="1"/>
  <c r="RF9" i="1"/>
  <c r="RF10" i="1"/>
  <c r="RF8" i="1"/>
  <c r="RE9" i="1"/>
  <c r="RE10" i="1"/>
  <c r="RE8" i="1"/>
  <c r="RD7" i="1"/>
  <c r="RF7" i="1" l="1"/>
  <c r="RH3" i="1"/>
  <c r="RG9" i="1"/>
  <c r="RG8" i="1"/>
  <c r="RG10" i="1"/>
  <c r="RE7" i="1"/>
  <c r="RI3" i="1" l="1"/>
  <c r="RH9" i="1"/>
  <c r="RH10" i="1"/>
  <c r="RH8" i="1"/>
  <c r="RG7" i="1"/>
  <c r="P10" i="1"/>
  <c r="Q10" i="1" s="1"/>
  <c r="RH7" i="1" l="1"/>
  <c r="RJ3" i="1"/>
  <c r="RI9" i="1"/>
  <c r="RI10" i="1"/>
  <c r="RI8" i="1"/>
  <c r="RK3" i="1" l="1"/>
  <c r="RJ8" i="1"/>
  <c r="RJ10" i="1"/>
  <c r="RJ9" i="1"/>
  <c r="RI7" i="1"/>
  <c r="P9" i="1"/>
  <c r="Q9" i="1" s="1"/>
  <c r="P11" i="1"/>
  <c r="Q11" i="1" s="1"/>
  <c r="RJ7" i="1" l="1"/>
  <c r="RL3" i="1"/>
  <c r="RK9" i="1"/>
  <c r="RK8" i="1"/>
  <c r="RK10" i="1"/>
  <c r="P8" i="1"/>
  <c r="Q8" i="1" s="1"/>
  <c r="RK7" i="1" l="1"/>
  <c r="RM3" i="1"/>
  <c r="RL9" i="1"/>
  <c r="RL8" i="1"/>
  <c r="RL10" i="1"/>
  <c r="RM6" i="1"/>
  <c r="RL7" i="1" l="1"/>
  <c r="RN3" i="1"/>
  <c r="RM4" i="1"/>
  <c r="RM5" i="1"/>
  <c r="RM9" i="1"/>
  <c r="RM8" i="1"/>
  <c r="RM10" i="1"/>
  <c r="RM7" i="1" l="1"/>
  <c r="RO3" i="1"/>
  <c r="RN8" i="1"/>
  <c r="RN9" i="1"/>
  <c r="RN10" i="1"/>
  <c r="RN7" i="1" l="1"/>
  <c r="RP3" i="1"/>
  <c r="RO9" i="1"/>
  <c r="RO10" i="1"/>
  <c r="RO8" i="1"/>
  <c r="RO7" i="1" l="1"/>
  <c r="RQ3" i="1"/>
  <c r="RP9" i="1"/>
  <c r="RP8" i="1"/>
  <c r="RP10" i="1"/>
  <c r="RP7" i="1" l="1"/>
  <c r="RR3" i="1"/>
  <c r="RQ9" i="1"/>
  <c r="RQ10" i="1"/>
  <c r="RQ8" i="1"/>
  <c r="RS3" i="1" l="1"/>
  <c r="RR10" i="1"/>
  <c r="RR8" i="1"/>
  <c r="RR9" i="1"/>
  <c r="RQ7" i="1"/>
  <c r="RR7" i="1" l="1"/>
  <c r="RT3" i="1"/>
  <c r="RS9" i="1"/>
  <c r="RS10" i="1"/>
  <c r="RS8" i="1"/>
  <c r="RT6" i="1"/>
  <c r="RU3" i="1" l="1"/>
  <c r="RT4" i="1"/>
  <c r="RT5" i="1"/>
  <c r="RT9" i="1"/>
  <c r="RT10" i="1"/>
  <c r="RT8" i="1"/>
  <c r="RS7" i="1"/>
  <c r="RT7" i="1" l="1"/>
  <c r="RV3" i="1"/>
  <c r="RU9" i="1"/>
  <c r="RU10" i="1"/>
  <c r="RU8" i="1"/>
  <c r="RU7" i="1" l="1"/>
  <c r="RW3" i="1"/>
  <c r="RV9" i="1"/>
  <c r="RV10" i="1"/>
  <c r="RV8" i="1"/>
  <c r="RV7" i="1" l="1"/>
  <c r="RX3" i="1"/>
  <c r="RW9" i="1"/>
  <c r="RW8" i="1"/>
  <c r="RW10" i="1"/>
  <c r="RW7" i="1" l="1"/>
  <c r="RY3" i="1"/>
  <c r="RX10" i="1"/>
  <c r="RX8" i="1"/>
  <c r="RX9" i="1"/>
  <c r="RX7" i="1" l="1"/>
  <c r="RZ3" i="1"/>
  <c r="RY9" i="1"/>
  <c r="RY10" i="1"/>
  <c r="RY8" i="1"/>
  <c r="RY7" i="1" l="1"/>
  <c r="SA3" i="1"/>
  <c r="RZ9" i="1"/>
  <c r="RZ10" i="1"/>
  <c r="RZ8" i="1"/>
  <c r="SA6" i="1"/>
  <c r="SB3" i="1" l="1"/>
  <c r="SA5" i="1"/>
  <c r="SA4" i="1"/>
  <c r="SA8" i="1"/>
  <c r="SA9" i="1"/>
  <c r="SA10" i="1"/>
  <c r="RZ7" i="1"/>
  <c r="SA7" i="1" l="1"/>
  <c r="SC3" i="1"/>
  <c r="SB9" i="1"/>
  <c r="SB8" i="1"/>
  <c r="SB10" i="1"/>
  <c r="SB7" i="1" l="1"/>
  <c r="SD3" i="1"/>
  <c r="SC9" i="1"/>
  <c r="SC10" i="1"/>
  <c r="SC8" i="1"/>
  <c r="SC7" i="1" l="1"/>
  <c r="SE3" i="1"/>
  <c r="SD10" i="1"/>
  <c r="SD8" i="1"/>
  <c r="SD9" i="1"/>
  <c r="SD7" i="1" l="1"/>
  <c r="SF3" i="1"/>
  <c r="SE9" i="1"/>
  <c r="SE8" i="1"/>
  <c r="SE10" i="1"/>
  <c r="SG3" i="1" l="1"/>
  <c r="SF9" i="1"/>
  <c r="SF10" i="1"/>
  <c r="SF8" i="1"/>
  <c r="SE7" i="1"/>
  <c r="SF7" i="1" l="1"/>
  <c r="SH3" i="1"/>
  <c r="SG9" i="1"/>
  <c r="SG8" i="1"/>
  <c r="SG10" i="1"/>
  <c r="SH6" i="1"/>
  <c r="SG7" i="1" l="1"/>
  <c r="SI3" i="1"/>
  <c r="SH4" i="1"/>
  <c r="SH5" i="1"/>
  <c r="SH8" i="1"/>
  <c r="SH10" i="1"/>
  <c r="SH9" i="1"/>
  <c r="SH7" i="1" l="1"/>
  <c r="SJ3" i="1"/>
  <c r="SI8" i="1"/>
  <c r="SI9" i="1"/>
  <c r="SI10" i="1"/>
  <c r="SI7" i="1" l="1"/>
  <c r="SK3" i="1"/>
  <c r="SJ9" i="1"/>
  <c r="SJ10" i="1"/>
  <c r="SJ8" i="1"/>
  <c r="SJ7" i="1" l="1"/>
  <c r="SL3" i="1"/>
  <c r="SK9" i="1"/>
  <c r="SK10" i="1"/>
  <c r="SK8" i="1"/>
  <c r="SK7" i="1" l="1"/>
  <c r="SM3" i="1"/>
  <c r="SL9" i="1"/>
  <c r="SL10" i="1"/>
  <c r="SL8" i="1"/>
  <c r="SL7" i="1" l="1"/>
  <c r="SN3" i="1"/>
  <c r="SM9" i="1"/>
  <c r="SM10" i="1"/>
  <c r="SM8" i="1"/>
  <c r="SM7" i="1" l="1"/>
  <c r="SO3" i="1"/>
  <c r="SN9" i="1"/>
  <c r="SN8" i="1"/>
  <c r="SN10" i="1"/>
  <c r="SO6" i="1"/>
  <c r="SN7" i="1" l="1"/>
  <c r="SP3" i="1"/>
  <c r="SO4" i="1"/>
  <c r="SO5" i="1"/>
  <c r="SO9" i="1"/>
  <c r="SO8" i="1"/>
  <c r="SO10" i="1"/>
  <c r="SO7" i="1" l="1"/>
  <c r="SQ3" i="1"/>
  <c r="SP10" i="1"/>
  <c r="SP8" i="1"/>
  <c r="SP9" i="1"/>
  <c r="SR3" i="1" l="1"/>
  <c r="SQ10" i="1"/>
  <c r="SQ8" i="1"/>
  <c r="SQ9" i="1"/>
  <c r="SP7" i="1"/>
  <c r="SQ7" i="1" l="1"/>
  <c r="SS3" i="1"/>
  <c r="SR9" i="1"/>
  <c r="SR10" i="1"/>
  <c r="SR8" i="1"/>
  <c r="SR7" i="1" l="1"/>
  <c r="ST3" i="1"/>
  <c r="SS9" i="1"/>
  <c r="SS10" i="1"/>
  <c r="SS8" i="1"/>
  <c r="SU3" i="1" l="1"/>
  <c r="ST9" i="1"/>
  <c r="ST10" i="1"/>
  <c r="ST8" i="1"/>
  <c r="SS7" i="1"/>
  <c r="ST7" i="1" l="1"/>
  <c r="SV3" i="1"/>
  <c r="SU9" i="1"/>
  <c r="SU8" i="1"/>
  <c r="SU10" i="1"/>
  <c r="SV6" i="1"/>
  <c r="SU7" i="1" l="1"/>
  <c r="SW3" i="1"/>
  <c r="SV4" i="1"/>
  <c r="SV5" i="1"/>
  <c r="SV9" i="1"/>
  <c r="SV10" i="1"/>
  <c r="SV8" i="1"/>
  <c r="SV7" i="1" l="1"/>
  <c r="SX3" i="1"/>
  <c r="SW9" i="1"/>
  <c r="SW10" i="1"/>
  <c r="SW8" i="1"/>
  <c r="SW7" i="1" l="1"/>
  <c r="SY3" i="1"/>
  <c r="SX9" i="1"/>
  <c r="SX8" i="1"/>
  <c r="SX10" i="1"/>
  <c r="SZ3" i="1" l="1"/>
  <c r="SY9" i="1"/>
  <c r="SY8" i="1"/>
  <c r="SY10" i="1"/>
  <c r="SX7" i="1"/>
  <c r="SY7" i="1" l="1"/>
  <c r="TA3" i="1"/>
  <c r="SZ9" i="1"/>
  <c r="SZ10" i="1"/>
  <c r="SZ8" i="1"/>
  <c r="SZ7" i="1" l="1"/>
  <c r="TB3" i="1"/>
  <c r="TA8" i="1"/>
  <c r="TA9" i="1"/>
  <c r="TA10" i="1"/>
  <c r="TC3" i="1" l="1"/>
  <c r="TB9" i="1"/>
  <c r="TB8" i="1"/>
  <c r="TB10" i="1"/>
  <c r="TA7" i="1"/>
  <c r="TC6" i="1"/>
  <c r="TB7" i="1" l="1"/>
  <c r="TD3" i="1"/>
  <c r="TC5" i="1"/>
  <c r="TC4" i="1"/>
  <c r="TC9" i="1"/>
  <c r="TC10" i="1"/>
  <c r="TC8" i="1"/>
  <c r="TC7" i="1" l="1"/>
  <c r="TE3" i="1"/>
  <c r="TD10" i="1"/>
  <c r="TD8" i="1"/>
  <c r="TD9" i="1"/>
  <c r="TD7" i="1" l="1"/>
  <c r="TF3" i="1"/>
  <c r="TE10" i="1"/>
  <c r="TE8" i="1"/>
  <c r="TE9" i="1"/>
  <c r="TE7" i="1" l="1"/>
  <c r="TG3" i="1"/>
  <c r="TF10" i="1"/>
  <c r="TF9" i="1"/>
  <c r="TF8" i="1"/>
  <c r="TH3" i="1" l="1"/>
  <c r="TG9" i="1"/>
  <c r="TG10" i="1"/>
  <c r="TG8" i="1"/>
  <c r="TF7" i="1"/>
  <c r="TG7" i="1" l="1"/>
  <c r="TI3" i="1"/>
  <c r="TH9" i="1"/>
  <c r="TH10" i="1"/>
  <c r="TH8" i="1"/>
  <c r="TH7" i="1" l="1"/>
  <c r="TJ3" i="1"/>
  <c r="TI9" i="1"/>
  <c r="TI10" i="1"/>
  <c r="TI8" i="1"/>
  <c r="TJ6" i="1"/>
  <c r="TI7" i="1" l="1"/>
  <c r="TK3" i="1"/>
  <c r="TJ4" i="1"/>
  <c r="TJ5" i="1"/>
  <c r="TJ9" i="1"/>
  <c r="TJ10" i="1"/>
  <c r="TJ8" i="1"/>
  <c r="TJ7" i="1" l="1"/>
  <c r="TL3" i="1"/>
  <c r="TK9" i="1"/>
  <c r="TK8" i="1"/>
  <c r="TK10" i="1"/>
  <c r="TK7" i="1" l="1"/>
  <c r="TM3" i="1"/>
  <c r="TL9" i="1"/>
  <c r="TL10" i="1"/>
  <c r="TL8" i="1"/>
  <c r="TL7" i="1" l="1"/>
  <c r="TN3" i="1"/>
  <c r="TM9" i="1"/>
  <c r="TM10" i="1"/>
  <c r="TM8" i="1"/>
  <c r="TM7" i="1" l="1"/>
  <c r="TO3" i="1"/>
  <c r="TN9" i="1"/>
  <c r="TN8" i="1"/>
  <c r="TN10" i="1"/>
  <c r="TN7" i="1" l="1"/>
  <c r="TP3" i="1"/>
  <c r="TO9" i="1"/>
  <c r="TO10" i="1"/>
  <c r="TO8" i="1"/>
  <c r="TO7" i="1" l="1"/>
  <c r="TQ3" i="1"/>
  <c r="TP9" i="1"/>
  <c r="TP10" i="1"/>
  <c r="TP8" i="1"/>
  <c r="TQ6" i="1"/>
  <c r="TR3" i="1" l="1"/>
  <c r="TQ4" i="1"/>
  <c r="TQ5" i="1"/>
  <c r="TQ10" i="1"/>
  <c r="TQ8" i="1"/>
  <c r="TQ9" i="1"/>
  <c r="TP7" i="1"/>
  <c r="TQ7" i="1" l="1"/>
  <c r="TS3" i="1"/>
  <c r="TR9" i="1"/>
  <c r="TR8" i="1"/>
  <c r="TR10" i="1"/>
  <c r="TR7" i="1" l="1"/>
  <c r="TT3" i="1"/>
  <c r="TS9" i="1"/>
  <c r="TS10" i="1"/>
  <c r="TS8" i="1"/>
  <c r="TS7" i="1" l="1"/>
  <c r="TU3" i="1"/>
  <c r="TT9" i="1"/>
  <c r="TT8" i="1"/>
  <c r="TT10" i="1"/>
  <c r="TT7" i="1" l="1"/>
  <c r="TV3" i="1"/>
  <c r="TU8" i="1"/>
  <c r="TU10" i="1"/>
  <c r="TU9" i="1"/>
  <c r="TW3" i="1" l="1"/>
  <c r="TV9" i="1"/>
  <c r="TV10" i="1"/>
  <c r="TV8" i="1"/>
  <c r="TU7" i="1"/>
  <c r="TV7" i="1" l="1"/>
  <c r="TX3" i="1"/>
  <c r="TW10" i="1"/>
  <c r="TW8" i="1"/>
  <c r="TW9" i="1"/>
  <c r="TX6" i="1"/>
  <c r="TY3" i="1" l="1"/>
  <c r="TX5" i="1"/>
  <c r="TX4" i="1"/>
  <c r="TX10" i="1"/>
  <c r="TX9" i="1"/>
  <c r="TX8" i="1"/>
  <c r="TW7" i="1"/>
  <c r="TX7" i="1" l="1"/>
  <c r="TZ3" i="1"/>
  <c r="TY10" i="1"/>
  <c r="TY8" i="1"/>
  <c r="TY9" i="1"/>
  <c r="UA3" i="1" l="1"/>
  <c r="TZ8" i="1"/>
  <c r="TZ9" i="1"/>
  <c r="TZ10" i="1"/>
  <c r="TY7" i="1"/>
  <c r="TZ7" i="1" l="1"/>
  <c r="UB3" i="1"/>
  <c r="UA9" i="1"/>
  <c r="UA8" i="1"/>
  <c r="UA10" i="1"/>
  <c r="UC3" i="1" l="1"/>
  <c r="UB9" i="1"/>
  <c r="UB10" i="1"/>
  <c r="UB8" i="1"/>
  <c r="UA7" i="1"/>
  <c r="UB7" i="1" l="1"/>
  <c r="UD3" i="1"/>
  <c r="UC8" i="1"/>
  <c r="UC10" i="1"/>
  <c r="UC9" i="1"/>
  <c r="UC7" i="1" l="1"/>
  <c r="UE3" i="1"/>
  <c r="UD9" i="1"/>
  <c r="UD8" i="1"/>
  <c r="UD10" i="1"/>
  <c r="UE6" i="1"/>
  <c r="UF3" i="1" l="1"/>
  <c r="UE5" i="1"/>
  <c r="UE4" i="1"/>
  <c r="UE9" i="1"/>
  <c r="UE10" i="1"/>
  <c r="UE8" i="1"/>
  <c r="UD7" i="1"/>
  <c r="UE7" i="1" l="1"/>
  <c r="UG3" i="1"/>
  <c r="UF9" i="1"/>
  <c r="UF8" i="1"/>
  <c r="UF10" i="1"/>
  <c r="UF7" i="1" l="1"/>
  <c r="UH3" i="1"/>
  <c r="UG9" i="1"/>
  <c r="UG10" i="1"/>
  <c r="UG8" i="1"/>
  <c r="UG7" i="1" l="1"/>
  <c r="UI3" i="1"/>
  <c r="UH9" i="1"/>
  <c r="UH10" i="1"/>
  <c r="UH8" i="1"/>
  <c r="UJ3" i="1" l="1"/>
  <c r="UI9" i="1"/>
  <c r="UI10" i="1"/>
  <c r="UI8" i="1"/>
  <c r="UH7" i="1"/>
  <c r="UI7" i="1" l="1"/>
  <c r="UK3" i="1"/>
  <c r="UJ8" i="1"/>
  <c r="UJ10" i="1"/>
  <c r="UJ9" i="1"/>
  <c r="UL3" i="1" l="1"/>
  <c r="UK9" i="1"/>
  <c r="UK10" i="1"/>
  <c r="UK8" i="1"/>
  <c r="UJ7" i="1"/>
  <c r="UL6" i="1"/>
  <c r="UK7" i="1" l="1"/>
  <c r="UM3" i="1"/>
  <c r="UL4" i="1"/>
  <c r="UL5" i="1"/>
  <c r="UL10" i="1"/>
  <c r="UL8" i="1"/>
  <c r="UL9" i="1"/>
  <c r="UN3" i="1" l="1"/>
  <c r="UM9" i="1"/>
  <c r="UM10" i="1"/>
  <c r="UM8" i="1"/>
  <c r="UL7" i="1"/>
  <c r="UM7" i="1" l="1"/>
  <c r="UO3" i="1"/>
  <c r="UN9" i="1"/>
  <c r="UN10" i="1"/>
  <c r="UN8" i="1"/>
  <c r="UN7" i="1" l="1"/>
  <c r="UP3" i="1"/>
  <c r="UO9" i="1"/>
  <c r="UO8" i="1"/>
  <c r="UO10" i="1"/>
  <c r="UQ3" i="1" l="1"/>
  <c r="UP9" i="1"/>
  <c r="UP8" i="1"/>
  <c r="UP10" i="1"/>
  <c r="UO7" i="1"/>
  <c r="UP7" i="1" l="1"/>
  <c r="UR3" i="1"/>
  <c r="UQ8" i="1"/>
  <c r="UQ9" i="1"/>
  <c r="UQ10" i="1"/>
  <c r="UQ7" i="1" l="1"/>
  <c r="US3" i="1"/>
  <c r="UR9" i="1"/>
  <c r="UR10" i="1"/>
  <c r="UR8" i="1"/>
  <c r="US6" i="1"/>
  <c r="UR7" i="1" l="1"/>
  <c r="UT3" i="1"/>
  <c r="US5" i="1"/>
  <c r="US4" i="1"/>
  <c r="US9" i="1"/>
  <c r="US10" i="1"/>
  <c r="US8" i="1"/>
  <c r="US7" i="1" l="1"/>
  <c r="UU3" i="1"/>
  <c r="UT9" i="1"/>
  <c r="UT8" i="1"/>
  <c r="UT10" i="1"/>
  <c r="UT7" i="1" l="1"/>
  <c r="UV3" i="1"/>
  <c r="UU9" i="1"/>
  <c r="UU8" i="1"/>
  <c r="UU10" i="1"/>
  <c r="UU7" i="1" l="1"/>
  <c r="UW3" i="1"/>
  <c r="UV9" i="1"/>
  <c r="UV8" i="1"/>
  <c r="UV10" i="1"/>
  <c r="UV7" i="1" l="1"/>
  <c r="UX3" i="1"/>
  <c r="UW10" i="1"/>
  <c r="UW8" i="1"/>
  <c r="UW9" i="1"/>
  <c r="UW7" i="1" l="1"/>
  <c r="UY3" i="1"/>
  <c r="UX9" i="1"/>
  <c r="UX10" i="1"/>
  <c r="UX8" i="1"/>
  <c r="UX7" i="1" l="1"/>
  <c r="UZ3" i="1"/>
  <c r="UY9" i="1"/>
  <c r="UY10" i="1"/>
  <c r="UY8" i="1"/>
  <c r="UZ6" i="1"/>
  <c r="UZ5" i="1" l="1"/>
  <c r="VA3" i="1"/>
  <c r="UZ4" i="1"/>
  <c r="UZ9" i="1"/>
  <c r="UZ8" i="1"/>
  <c r="UZ10" i="1"/>
  <c r="UY7" i="1"/>
  <c r="VA10" i="1" l="1"/>
  <c r="VB3" i="1"/>
  <c r="VA9" i="1"/>
  <c r="VA8" i="1"/>
  <c r="UZ7" i="1"/>
  <c r="VC3" i="1" l="1"/>
  <c r="VB10" i="1"/>
  <c r="VB8" i="1"/>
  <c r="VB9" i="1"/>
  <c r="VA7" i="1"/>
  <c r="VB7" i="1" l="1"/>
  <c r="VC9" i="1"/>
  <c r="VD3" i="1"/>
  <c r="VC10" i="1"/>
  <c r="VC8" i="1"/>
  <c r="VC7" i="1" l="1"/>
  <c r="VE3" i="1"/>
  <c r="VD10" i="1"/>
  <c r="VD8" i="1"/>
  <c r="VD9" i="1"/>
  <c r="VD7" i="1" l="1"/>
  <c r="VE8" i="1"/>
  <c r="VE9" i="1"/>
  <c r="VF3" i="1"/>
  <c r="VE10" i="1"/>
  <c r="VE7" i="1" l="1"/>
  <c r="VG3" i="1"/>
  <c r="VF10" i="1"/>
  <c r="VF8" i="1"/>
  <c r="VF9" i="1"/>
  <c r="VG6" i="1"/>
  <c r="VF7" i="1" l="1"/>
  <c r="VG8" i="1"/>
  <c r="VH3" i="1"/>
  <c r="VG9" i="1"/>
  <c r="VG4" i="1"/>
  <c r="VG5" i="1"/>
  <c r="VG10" i="1"/>
  <c r="VI3" i="1" l="1"/>
  <c r="VH10" i="1"/>
  <c r="VH8" i="1"/>
  <c r="VH9" i="1"/>
  <c r="VG7" i="1"/>
  <c r="VH7" i="1" l="1"/>
  <c r="VI9" i="1"/>
  <c r="VJ3" i="1"/>
  <c r="VI10" i="1"/>
  <c r="VI8" i="1"/>
  <c r="VI7" i="1" l="1"/>
  <c r="VK3" i="1"/>
  <c r="VJ10" i="1"/>
  <c r="VJ8" i="1"/>
  <c r="VJ9" i="1"/>
  <c r="VJ7" i="1" l="1"/>
  <c r="VK8" i="1"/>
  <c r="VK9" i="1"/>
  <c r="VL3" i="1"/>
  <c r="VK10" i="1"/>
  <c r="VM3" i="1" l="1"/>
  <c r="VL10" i="1"/>
  <c r="VL8" i="1"/>
  <c r="VL9" i="1"/>
  <c r="VK7" i="1"/>
  <c r="VL7" i="1" l="1"/>
  <c r="VM9" i="1"/>
  <c r="VN3" i="1"/>
  <c r="VM10" i="1"/>
  <c r="VM8" i="1"/>
  <c r="VN6" i="1"/>
  <c r="VM7" i="1" l="1"/>
  <c r="VN9" i="1"/>
  <c r="VN8" i="1"/>
  <c r="VO3" i="1"/>
  <c r="VN4" i="1"/>
  <c r="VN5" i="1"/>
  <c r="VN10" i="1"/>
  <c r="VO9" i="1" l="1"/>
  <c r="VP3" i="1"/>
  <c r="VO10" i="1"/>
  <c r="VO8" i="1"/>
  <c r="VN7" i="1"/>
  <c r="VO7" i="1" l="1"/>
  <c r="VQ3" i="1"/>
  <c r="VP10" i="1"/>
  <c r="VP8" i="1"/>
  <c r="VP9" i="1"/>
  <c r="VP7" i="1" l="1"/>
  <c r="VR3" i="1"/>
  <c r="VQ9" i="1"/>
  <c r="VQ10" i="1"/>
  <c r="VQ8" i="1"/>
  <c r="VR9" i="1" l="1"/>
  <c r="VS3" i="1"/>
  <c r="VR10" i="1"/>
  <c r="VR8" i="1"/>
  <c r="VQ7" i="1"/>
  <c r="VR7" i="1" l="1"/>
  <c r="VS9" i="1"/>
  <c r="VT3" i="1"/>
  <c r="VS10" i="1"/>
  <c r="VS8" i="1"/>
  <c r="VS7" i="1" l="1"/>
  <c r="VT9" i="1"/>
  <c r="VU3" i="1"/>
  <c r="VT10" i="1"/>
  <c r="VT8" i="1"/>
  <c r="VU6" i="1"/>
  <c r="VT7" i="1" l="1"/>
  <c r="VU8" i="1"/>
  <c r="VV3" i="1"/>
  <c r="VU10" i="1"/>
  <c r="VU4" i="1"/>
  <c r="VU9" i="1"/>
  <c r="VU5" i="1"/>
  <c r="VU7" i="1" l="1"/>
  <c r="VW3" i="1"/>
  <c r="VV10" i="1"/>
  <c r="VV9" i="1"/>
  <c r="VV8" i="1"/>
  <c r="VX3" i="1" l="1"/>
  <c r="VW9" i="1"/>
  <c r="VW10" i="1"/>
  <c r="VW8" i="1"/>
  <c r="VV7" i="1"/>
  <c r="VY3" i="1" l="1"/>
  <c r="VX10" i="1"/>
  <c r="VX8" i="1"/>
  <c r="VX9" i="1"/>
  <c r="VW7" i="1"/>
  <c r="VX7" i="1" l="1"/>
  <c r="VY10" i="1"/>
  <c r="VY8" i="1"/>
  <c r="VY9" i="1"/>
  <c r="VZ3" i="1"/>
  <c r="WA3" i="1" l="1"/>
  <c r="VZ10" i="1"/>
  <c r="VZ8" i="1"/>
  <c r="VZ9" i="1"/>
  <c r="VY7" i="1"/>
  <c r="VZ7" i="1" l="1"/>
  <c r="WA8" i="1"/>
  <c r="WA9" i="1"/>
  <c r="WB3" i="1"/>
  <c r="WA10" i="1"/>
  <c r="WB6" i="1"/>
  <c r="WC3" i="1" l="1"/>
  <c r="WB9" i="1"/>
  <c r="WB10" i="1"/>
  <c r="WB4" i="1"/>
  <c r="WB5" i="1"/>
  <c r="WB8" i="1"/>
  <c r="WA7" i="1"/>
  <c r="WB7" i="1" l="1"/>
  <c r="WC9" i="1"/>
  <c r="WD3" i="1"/>
  <c r="WC10" i="1"/>
  <c r="WC8" i="1"/>
  <c r="WC7" i="1" l="1"/>
  <c r="WE3" i="1"/>
  <c r="WD10" i="1"/>
  <c r="WD8" i="1"/>
  <c r="WD9" i="1"/>
  <c r="WD7" i="1" l="1"/>
  <c r="WE9" i="1"/>
  <c r="WF3" i="1"/>
  <c r="WE10" i="1"/>
  <c r="WE8" i="1"/>
  <c r="WE7" i="1" l="1"/>
  <c r="WG3" i="1"/>
  <c r="WF8" i="1"/>
  <c r="WF9" i="1"/>
  <c r="WF10" i="1"/>
  <c r="WF7" i="1" l="1"/>
  <c r="WG10" i="1"/>
  <c r="WG8" i="1"/>
  <c r="WG9" i="1"/>
  <c r="WH3" i="1"/>
  <c r="WG7" i="1" l="1"/>
  <c r="WI3" i="1"/>
  <c r="WH10" i="1"/>
  <c r="WH8" i="1"/>
  <c r="WH9" i="1"/>
  <c r="WI6" i="1"/>
  <c r="WH7" i="1" l="1"/>
  <c r="WI8" i="1"/>
  <c r="WJ3" i="1"/>
  <c r="WI9" i="1"/>
  <c r="WI4" i="1"/>
  <c r="WI5" i="1"/>
  <c r="WI10" i="1"/>
  <c r="WI7" i="1" l="1"/>
  <c r="WK3" i="1"/>
  <c r="WJ9" i="1"/>
  <c r="WJ10" i="1"/>
  <c r="WJ8" i="1"/>
  <c r="WJ7" i="1" l="1"/>
  <c r="WK9" i="1"/>
  <c r="WL3" i="1"/>
  <c r="WK10" i="1"/>
  <c r="WK8" i="1"/>
  <c r="WK7" i="1" l="1"/>
  <c r="WM3" i="1"/>
  <c r="WL9" i="1"/>
  <c r="WL10" i="1"/>
  <c r="WL8" i="1"/>
  <c r="WL7" i="1" l="1"/>
  <c r="WM9" i="1"/>
  <c r="WN3" i="1"/>
  <c r="WM10" i="1"/>
  <c r="WM8" i="1"/>
  <c r="WM7" i="1" l="1"/>
  <c r="WO3" i="1"/>
  <c r="WN9" i="1"/>
  <c r="WN10" i="1"/>
  <c r="WN8" i="1"/>
  <c r="WN7" i="1" l="1"/>
  <c r="WP3" i="1"/>
  <c r="WO10" i="1"/>
  <c r="WO8" i="1"/>
  <c r="WO9" i="1"/>
  <c r="WP6" i="1"/>
  <c r="WO7" i="1" l="1"/>
  <c r="WQ3" i="1"/>
  <c r="WP9" i="1"/>
  <c r="WP5" i="1"/>
  <c r="WP8" i="1"/>
  <c r="WP4" i="1"/>
  <c r="WP10" i="1"/>
  <c r="WP7" i="1" l="1"/>
  <c r="WR3" i="1"/>
  <c r="WQ10" i="1"/>
  <c r="WQ8" i="1"/>
  <c r="WQ9" i="1"/>
  <c r="WS3" i="1" l="1"/>
  <c r="WR9" i="1"/>
  <c r="WR10" i="1"/>
  <c r="WR8" i="1"/>
  <c r="WQ7" i="1"/>
  <c r="WR7" i="1" l="1"/>
  <c r="WS10" i="1"/>
  <c r="WS8" i="1"/>
  <c r="WS9" i="1"/>
  <c r="WT3" i="1"/>
  <c r="WS7" i="1" l="1"/>
  <c r="WU3" i="1"/>
  <c r="WT10" i="1"/>
  <c r="WT8" i="1"/>
  <c r="WT9" i="1"/>
  <c r="WT7" i="1" l="1"/>
  <c r="WU8" i="1"/>
  <c r="WU9" i="1"/>
  <c r="WV3" i="1"/>
  <c r="WU10" i="1"/>
  <c r="WW3" i="1" l="1"/>
  <c r="WV10" i="1"/>
  <c r="WV8" i="1"/>
  <c r="WV9" i="1"/>
  <c r="WU7" i="1"/>
  <c r="WW6" i="1"/>
  <c r="WV7" i="1" l="1"/>
  <c r="WW5" i="1"/>
  <c r="WW10" i="1"/>
  <c r="WW8" i="1"/>
  <c r="WX3" i="1"/>
  <c r="WW9" i="1"/>
  <c r="WW4" i="1"/>
  <c r="WY3" i="1" l="1"/>
  <c r="WX10" i="1"/>
  <c r="WX9" i="1"/>
  <c r="WX8" i="1"/>
  <c r="WW7" i="1"/>
  <c r="WX7" i="1" l="1"/>
  <c r="WY9" i="1"/>
  <c r="WZ3" i="1"/>
  <c r="WY10" i="1"/>
  <c r="WY8" i="1"/>
  <c r="WY7" i="1" l="1"/>
  <c r="XA3" i="1"/>
  <c r="WZ10" i="1"/>
  <c r="WZ8" i="1"/>
  <c r="WZ9" i="1"/>
  <c r="WZ7" i="1" l="1"/>
  <c r="XA9" i="1"/>
  <c r="XB3" i="1"/>
  <c r="XA10" i="1"/>
  <c r="XA8" i="1"/>
  <c r="XA7" i="1" l="1"/>
  <c r="XC3" i="1"/>
  <c r="XB10" i="1"/>
  <c r="XB9" i="1"/>
  <c r="XB8" i="1"/>
  <c r="XB7" i="1" l="1"/>
  <c r="XC9" i="1"/>
  <c r="XD3" i="1"/>
  <c r="XC10" i="1"/>
  <c r="XC8" i="1"/>
  <c r="XD6" i="1"/>
  <c r="XC7" i="1" l="1"/>
  <c r="XD10" i="1"/>
  <c r="XD8" i="1"/>
  <c r="XE3" i="1"/>
  <c r="XD9" i="1"/>
  <c r="XD4" i="1"/>
  <c r="XD5" i="1"/>
  <c r="XD7" i="1" l="1"/>
  <c r="XE8" i="1"/>
  <c r="XE9" i="1"/>
  <c r="XF3" i="1"/>
  <c r="XE10" i="1"/>
  <c r="XG3" i="1" l="1"/>
  <c r="XF10" i="1"/>
  <c r="XF8" i="1"/>
  <c r="XF9" i="1"/>
  <c r="XE7" i="1"/>
  <c r="XF7" i="1" l="1"/>
  <c r="XG10" i="1"/>
  <c r="XG9" i="1"/>
  <c r="XH3" i="1"/>
  <c r="XG8" i="1"/>
  <c r="XG7" i="1" l="1"/>
  <c r="XI3" i="1"/>
  <c r="XH10" i="1"/>
  <c r="XH8" i="1"/>
  <c r="XH9" i="1"/>
  <c r="XH7" i="1" l="1"/>
  <c r="XI8" i="1"/>
  <c r="XI9" i="1"/>
  <c r="XJ3" i="1"/>
  <c r="XI10" i="1"/>
  <c r="XI7" i="1" l="1"/>
  <c r="XK3" i="1"/>
  <c r="XJ10" i="1"/>
  <c r="XJ8" i="1"/>
  <c r="XJ9" i="1"/>
  <c r="XK6" i="1"/>
  <c r="XK8" i="1" l="1"/>
  <c r="XK5" i="1"/>
  <c r="XK10" i="1"/>
  <c r="XL3" i="1"/>
  <c r="XK9" i="1"/>
  <c r="XK4" i="1"/>
  <c r="XJ7" i="1"/>
  <c r="XM3" i="1" l="1"/>
  <c r="XL10" i="1"/>
  <c r="XL8" i="1"/>
  <c r="XL9" i="1"/>
  <c r="XK7" i="1"/>
  <c r="XL7" i="1" l="1"/>
  <c r="XM9" i="1"/>
  <c r="XN3" i="1"/>
  <c r="XM10" i="1"/>
  <c r="XM8" i="1"/>
  <c r="XO3" i="1" l="1"/>
  <c r="XN10" i="1"/>
  <c r="XN8" i="1"/>
  <c r="XN9" i="1"/>
  <c r="XM7" i="1"/>
  <c r="XN7" i="1" l="1"/>
  <c r="XP3" i="1"/>
  <c r="XO9" i="1"/>
  <c r="XO10" i="1"/>
  <c r="XO8" i="1"/>
  <c r="XO7" i="1" l="1"/>
  <c r="XP10" i="1"/>
  <c r="XP9" i="1"/>
  <c r="XQ3" i="1"/>
  <c r="XP8" i="1"/>
  <c r="XP7" i="1" l="1"/>
  <c r="XQ9" i="1"/>
  <c r="XR3" i="1"/>
  <c r="XQ10" i="1"/>
  <c r="XQ8" i="1"/>
  <c r="XR6" i="1"/>
  <c r="XS3" i="1" l="1"/>
  <c r="XR9" i="1"/>
  <c r="XR8" i="1"/>
  <c r="XR4" i="1"/>
  <c r="XR5" i="1"/>
  <c r="XR10" i="1"/>
  <c r="XQ7" i="1"/>
  <c r="XR7" i="1" l="1"/>
  <c r="XS8" i="1"/>
  <c r="XT3" i="1"/>
  <c r="XS10" i="1"/>
  <c r="XS9" i="1"/>
  <c r="XT10" i="1" l="1"/>
  <c r="XT9" i="1"/>
  <c r="XU3" i="1"/>
  <c r="XT8" i="1"/>
  <c r="XS7" i="1"/>
  <c r="XT7" i="1" l="1"/>
  <c r="XU9" i="1"/>
  <c r="XV3" i="1"/>
  <c r="XU10" i="1"/>
  <c r="XU8" i="1"/>
  <c r="XU7" i="1" l="1"/>
  <c r="XW3" i="1"/>
  <c r="XV9" i="1"/>
  <c r="XV10" i="1"/>
  <c r="XV8" i="1"/>
  <c r="XV7" i="1" l="1"/>
  <c r="XW10" i="1"/>
  <c r="XW9" i="1"/>
  <c r="XX3" i="1"/>
  <c r="XW8" i="1"/>
  <c r="XW7" i="1" l="1"/>
  <c r="XY3" i="1"/>
  <c r="XX10" i="1"/>
  <c r="XX8" i="1"/>
  <c r="XX9" i="1"/>
  <c r="XY6" i="1"/>
  <c r="XX7" i="1" l="1"/>
  <c r="XY8" i="1"/>
  <c r="XY9" i="1"/>
  <c r="XY4" i="1"/>
  <c r="XY5" i="1"/>
  <c r="XY10" i="1"/>
  <c r="XZ3" i="1"/>
  <c r="XY7" i="1" l="1"/>
  <c r="YA3" i="1"/>
  <c r="XZ10" i="1"/>
  <c r="XZ8" i="1"/>
  <c r="XZ9" i="1"/>
  <c r="YA10" i="1" l="1"/>
  <c r="YA9" i="1"/>
  <c r="YB3" i="1"/>
  <c r="YA8" i="1"/>
  <c r="XZ7" i="1"/>
  <c r="YA7" i="1" l="1"/>
  <c r="YC3" i="1"/>
  <c r="YB10" i="1"/>
  <c r="YB8" i="1"/>
  <c r="YB9" i="1"/>
  <c r="YC9" i="1" l="1"/>
  <c r="YD3" i="1"/>
  <c r="YC10" i="1"/>
  <c r="YC8" i="1"/>
  <c r="YB7" i="1"/>
  <c r="YD10" i="1" l="1"/>
  <c r="YD9" i="1"/>
  <c r="YE3" i="1"/>
  <c r="YD8" i="1"/>
  <c r="YC7" i="1"/>
  <c r="YE10" i="1" l="1"/>
  <c r="YE9" i="1"/>
  <c r="YF3" i="1"/>
  <c r="YE8" i="1"/>
  <c r="YD7" i="1"/>
  <c r="YF6" i="1"/>
  <c r="YG3" i="1" l="1"/>
  <c r="YF9" i="1"/>
  <c r="YF10" i="1"/>
  <c r="YF8" i="1"/>
  <c r="YF4" i="1"/>
  <c r="YF5" i="1"/>
  <c r="YE7" i="1"/>
  <c r="YF7" i="1" l="1"/>
  <c r="YG8" i="1"/>
  <c r="YG9" i="1"/>
  <c r="YH3" i="1"/>
  <c r="YG10" i="1"/>
  <c r="YH8" i="1" l="1"/>
  <c r="YH9" i="1"/>
  <c r="YI3" i="1"/>
  <c r="YH10" i="1"/>
  <c r="YG7" i="1"/>
  <c r="YJ3" i="1" l="1"/>
  <c r="YI10" i="1"/>
  <c r="YI8" i="1"/>
  <c r="YI9" i="1"/>
  <c r="YH7" i="1"/>
  <c r="YI7" i="1" l="1"/>
  <c r="YJ8" i="1"/>
  <c r="YJ9" i="1"/>
  <c r="YK3" i="1"/>
  <c r="YJ10" i="1"/>
  <c r="YJ7" i="1" l="1"/>
  <c r="YL3" i="1"/>
  <c r="YK10" i="1"/>
  <c r="YK8" i="1"/>
  <c r="YK9" i="1"/>
  <c r="YK7" i="1" l="1"/>
  <c r="YM3" i="1"/>
  <c r="YL10" i="1"/>
  <c r="YL8" i="1"/>
  <c r="YL9" i="1"/>
  <c r="YM6" i="1"/>
  <c r="YL7" i="1" l="1"/>
  <c r="YN3" i="1"/>
  <c r="YM9" i="1"/>
  <c r="YM4" i="1"/>
  <c r="YM8" i="1"/>
  <c r="YM5" i="1"/>
  <c r="YM10" i="1"/>
  <c r="YM7" i="1" l="1"/>
  <c r="YN9" i="1"/>
  <c r="YO3" i="1"/>
  <c r="YN10" i="1"/>
  <c r="YN8" i="1"/>
  <c r="YN7" i="1" l="1"/>
  <c r="YP3" i="1"/>
  <c r="YO10" i="1"/>
  <c r="YO8" i="1"/>
  <c r="YO9" i="1"/>
  <c r="YP8" i="1" l="1"/>
  <c r="YP9" i="1"/>
  <c r="YQ3" i="1"/>
  <c r="YP10" i="1"/>
  <c r="YO7" i="1"/>
  <c r="YR3" i="1" l="1"/>
  <c r="YQ10" i="1"/>
  <c r="YQ8" i="1"/>
  <c r="YQ9" i="1"/>
  <c r="YP7" i="1"/>
  <c r="YR8" i="1" l="1"/>
  <c r="YR9" i="1"/>
  <c r="YS3" i="1"/>
  <c r="YR10" i="1"/>
  <c r="YQ7" i="1"/>
  <c r="YT3" i="1" l="1"/>
  <c r="YS10" i="1"/>
  <c r="YS8" i="1"/>
  <c r="YS9" i="1"/>
  <c r="YR7" i="1"/>
  <c r="YT6" i="1"/>
  <c r="YS7" i="1" l="1"/>
  <c r="YT8" i="1"/>
  <c r="YT9" i="1"/>
  <c r="YT4" i="1"/>
  <c r="YT5" i="1"/>
  <c r="YT10" i="1"/>
  <c r="YU3" i="1"/>
  <c r="YV3" i="1" l="1"/>
  <c r="YU10" i="1"/>
  <c r="YU8" i="1"/>
  <c r="YU9" i="1"/>
  <c r="YT7" i="1"/>
  <c r="YU7" i="1" l="1"/>
  <c r="YV10" i="1"/>
  <c r="YV8" i="1"/>
  <c r="YV9" i="1"/>
  <c r="YW3" i="1"/>
  <c r="YV7" i="1" l="1"/>
  <c r="YW10" i="1"/>
  <c r="YW9" i="1"/>
  <c r="YX3" i="1"/>
  <c r="YW8" i="1"/>
  <c r="YW7" i="1" l="1"/>
  <c r="YX9" i="1"/>
  <c r="YY3" i="1"/>
  <c r="YX10" i="1"/>
  <c r="YX8" i="1"/>
  <c r="YZ3" i="1" l="1"/>
  <c r="YY10" i="1"/>
  <c r="YY8" i="1"/>
  <c r="YY9" i="1"/>
  <c r="YX7" i="1"/>
  <c r="YY7" i="1" l="1"/>
  <c r="YZ9" i="1"/>
  <c r="ZA3" i="1"/>
  <c r="YZ10" i="1"/>
  <c r="YZ8" i="1"/>
  <c r="ZA6" i="1"/>
  <c r="YZ7" i="1" l="1"/>
  <c r="ZB3" i="1"/>
  <c r="ZA9" i="1"/>
  <c r="ZA10" i="1"/>
  <c r="ZA8" i="1"/>
  <c r="ZA4" i="1"/>
  <c r="ZA5" i="1"/>
  <c r="ZA7" i="1" l="1"/>
  <c r="ZB10" i="1"/>
  <c r="ZB9" i="1"/>
  <c r="ZC3" i="1"/>
  <c r="ZB8" i="1"/>
  <c r="ZC10" i="1" l="1"/>
  <c r="ZC9" i="1"/>
  <c r="ZD3" i="1"/>
  <c r="ZC8" i="1"/>
  <c r="ZB7" i="1"/>
  <c r="ZC7" i="1" l="1"/>
  <c r="ZD8" i="1"/>
  <c r="ZD9" i="1"/>
  <c r="ZE3" i="1"/>
  <c r="ZD10" i="1"/>
  <c r="ZE10" i="1" l="1"/>
  <c r="ZF3" i="1"/>
  <c r="ZE8" i="1"/>
  <c r="ZE9" i="1"/>
  <c r="ZD7" i="1"/>
  <c r="ZE7" i="1" l="1"/>
  <c r="ZF10" i="1"/>
  <c r="ZF8" i="1"/>
  <c r="ZF9" i="1"/>
  <c r="ZG3" i="1"/>
  <c r="ZH3" i="1" l="1"/>
  <c r="ZG10" i="1"/>
  <c r="ZG8" i="1"/>
  <c r="ZG9" i="1"/>
  <c r="ZF7" i="1"/>
  <c r="ZH6" i="1"/>
  <c r="ZG7" i="1" l="1"/>
  <c r="ZI3" i="1"/>
  <c r="ZH9" i="1"/>
  <c r="ZH4" i="1"/>
  <c r="ZH5" i="1"/>
  <c r="ZH10" i="1"/>
  <c r="ZH8" i="1"/>
  <c r="ZH7" i="1" l="1"/>
  <c r="ZI8" i="1"/>
  <c r="ZI9" i="1"/>
  <c r="ZJ3" i="1"/>
  <c r="ZI10" i="1"/>
  <c r="ZK3" i="1" l="1"/>
  <c r="ZJ10" i="1"/>
  <c r="ZJ8" i="1"/>
  <c r="ZJ9" i="1"/>
  <c r="ZI7" i="1"/>
  <c r="ZJ7" i="1" l="1"/>
  <c r="ZK8" i="1"/>
  <c r="ZK9" i="1"/>
  <c r="ZL3" i="1"/>
  <c r="ZK10" i="1"/>
  <c r="ZM3" i="1" l="1"/>
  <c r="ZL10" i="1"/>
  <c r="ZL8" i="1"/>
  <c r="ZL9" i="1"/>
  <c r="ZK7" i="1"/>
  <c r="ZL7" i="1" l="1"/>
  <c r="ZN3" i="1"/>
  <c r="ZM10" i="1"/>
  <c r="ZM8" i="1"/>
  <c r="ZM9" i="1"/>
  <c r="ZM7" i="1" l="1"/>
  <c r="ZN9" i="1"/>
  <c r="ZO3" i="1"/>
  <c r="ZN10" i="1"/>
  <c r="ZN8" i="1"/>
  <c r="ZO6" i="1"/>
  <c r="ZP3" i="1" l="1"/>
  <c r="ZO9" i="1"/>
  <c r="ZO4" i="1"/>
  <c r="ZO8" i="1"/>
  <c r="ZO5" i="1"/>
  <c r="ZO10" i="1"/>
  <c r="ZN7" i="1"/>
  <c r="ZO7" i="1" l="1"/>
  <c r="ZP9" i="1"/>
  <c r="ZQ3" i="1"/>
  <c r="ZP10" i="1"/>
  <c r="ZP8" i="1"/>
  <c r="ZP7" i="1" l="1"/>
  <c r="ZR3" i="1"/>
  <c r="ZQ10" i="1"/>
  <c r="ZQ8" i="1"/>
  <c r="ZQ9" i="1"/>
  <c r="ZR9" i="1" l="1"/>
  <c r="ZS3" i="1"/>
  <c r="ZR10" i="1"/>
  <c r="ZR8" i="1"/>
  <c r="ZQ7" i="1"/>
  <c r="ZR7" i="1" l="1"/>
  <c r="ZT3" i="1"/>
  <c r="ZS10" i="1"/>
  <c r="ZS8" i="1"/>
  <c r="ZS9" i="1"/>
  <c r="ZS7" i="1" l="1"/>
  <c r="ZT9" i="1"/>
  <c r="ZU3" i="1"/>
  <c r="ZT10" i="1"/>
  <c r="ZT8" i="1"/>
  <c r="ZT7" i="1" l="1"/>
  <c r="ZV3" i="1"/>
  <c r="ZU10" i="1"/>
  <c r="ZU8" i="1"/>
  <c r="ZU9" i="1"/>
  <c r="ZV6" i="1"/>
  <c r="ZU7" i="1" l="1"/>
  <c r="ZV8" i="1"/>
  <c r="ZV9" i="1"/>
  <c r="ZV4" i="1"/>
  <c r="ZV5" i="1"/>
  <c r="ZV10" i="1"/>
  <c r="ZW3" i="1"/>
  <c r="ZX3" i="1" l="1"/>
  <c r="ZW10" i="1"/>
  <c r="ZW8" i="1"/>
  <c r="ZW9" i="1"/>
  <c r="ZV7" i="1"/>
  <c r="ZW7" i="1" l="1"/>
  <c r="ZX8" i="1"/>
  <c r="ZX9" i="1"/>
  <c r="ZY3" i="1"/>
  <c r="ZX10" i="1"/>
  <c r="ZX7" i="1" l="1"/>
  <c r="ZZ3" i="1"/>
  <c r="ZY10" i="1"/>
  <c r="ZY8" i="1"/>
  <c r="ZY9" i="1"/>
  <c r="ZZ10" i="1" l="1"/>
  <c r="ZZ8" i="1"/>
  <c r="ZZ9" i="1"/>
  <c r="AAA3" i="1"/>
  <c r="ZY7" i="1"/>
  <c r="AAB3" i="1" l="1"/>
  <c r="AAA10" i="1"/>
  <c r="AAA8" i="1"/>
  <c r="AAA9" i="1"/>
  <c r="ZZ7" i="1"/>
  <c r="AAA7" i="1" l="1"/>
  <c r="AAB10" i="1"/>
  <c r="AAB9" i="1"/>
  <c r="AAC3" i="1"/>
  <c r="AAB8" i="1"/>
  <c r="AAC6" i="1"/>
  <c r="AAB7" i="1" l="1"/>
  <c r="AAC10" i="1"/>
  <c r="AAC8" i="1"/>
  <c r="AAD3" i="1"/>
  <c r="AAC9" i="1"/>
  <c r="AAC4" i="1"/>
  <c r="AAC5" i="1"/>
  <c r="AAD10" i="1" l="1"/>
  <c r="AAD9" i="1"/>
  <c r="AAE3" i="1"/>
  <c r="AAD8" i="1"/>
  <c r="AAC7" i="1"/>
  <c r="AAF3" i="1" l="1"/>
  <c r="AAE10" i="1"/>
  <c r="AAE8" i="1"/>
  <c r="AAE9" i="1"/>
  <c r="AAD7" i="1"/>
  <c r="AAE7" i="1" l="1"/>
  <c r="AAF9" i="1"/>
  <c r="AAG3" i="1"/>
  <c r="AAF10" i="1"/>
  <c r="AAF8" i="1"/>
  <c r="AAF7" i="1" l="1"/>
  <c r="AAH3" i="1"/>
  <c r="AAG10" i="1"/>
  <c r="AAG8" i="1"/>
  <c r="AAG9" i="1"/>
  <c r="AAG7" i="1" l="1"/>
  <c r="AAH10" i="1"/>
  <c r="AAH9" i="1"/>
  <c r="AAI3" i="1"/>
  <c r="AAH8" i="1"/>
  <c r="AAJ3" i="1" l="1"/>
  <c r="AAI9" i="1"/>
  <c r="AAI10" i="1"/>
  <c r="AAI8" i="1"/>
  <c r="AAH7" i="1"/>
  <c r="AAJ6" i="1"/>
  <c r="AAI7" i="1" l="1"/>
  <c r="AAJ8" i="1"/>
  <c r="AAJ5" i="1"/>
  <c r="AAJ10" i="1"/>
  <c r="AAK3" i="1"/>
  <c r="AAJ9" i="1"/>
  <c r="AAJ4" i="1"/>
  <c r="AAJ7" i="1" l="1"/>
  <c r="AAL3" i="1"/>
  <c r="AAK10" i="1"/>
  <c r="AAK8" i="1"/>
  <c r="AAK9" i="1"/>
  <c r="AAL10" i="1" l="1"/>
  <c r="AAL9" i="1"/>
  <c r="AAM3" i="1"/>
  <c r="AAL8" i="1"/>
  <c r="AAK7" i="1"/>
  <c r="AAN3" i="1" l="1"/>
  <c r="AAM10" i="1"/>
  <c r="AAM8" i="1"/>
  <c r="AAM9" i="1"/>
  <c r="AAL7" i="1"/>
  <c r="AAM7" i="1" l="1"/>
  <c r="AAN9" i="1"/>
  <c r="AAO3" i="1"/>
  <c r="AAN10" i="1"/>
  <c r="AAN8" i="1"/>
  <c r="AAN7" i="1" l="1"/>
  <c r="AAP3" i="1"/>
  <c r="AAO9" i="1"/>
  <c r="AAO10" i="1"/>
  <c r="AAO8" i="1"/>
  <c r="AAP8" i="1" l="1"/>
  <c r="AAP9" i="1"/>
  <c r="AAQ3" i="1"/>
  <c r="AAP10" i="1"/>
  <c r="AAO7" i="1"/>
  <c r="AAQ6" i="1"/>
  <c r="AAP7" i="1" l="1"/>
  <c r="AAR3" i="1"/>
  <c r="AAQ9" i="1"/>
  <c r="AAQ10" i="1"/>
  <c r="AAQ4" i="1"/>
  <c r="AAQ5" i="1"/>
  <c r="AAQ8" i="1"/>
  <c r="AAQ7" i="1" l="1"/>
  <c r="AAR10" i="1"/>
  <c r="AAR8" i="1"/>
  <c r="AAR9" i="1"/>
  <c r="AAS3" i="1"/>
  <c r="AAT3" i="1" l="1"/>
  <c r="AAS10" i="1"/>
  <c r="AAS8" i="1"/>
  <c r="AAS9" i="1"/>
  <c r="AAR7" i="1"/>
  <c r="AAS7" i="1" l="1"/>
  <c r="AAT9" i="1"/>
  <c r="AAU3" i="1"/>
  <c r="AAT10" i="1"/>
  <c r="AAT8" i="1"/>
  <c r="AAT7" i="1" l="1"/>
  <c r="AAV3" i="1"/>
  <c r="AAU10" i="1"/>
  <c r="AAU8" i="1"/>
  <c r="AAU9" i="1"/>
  <c r="AAV10" i="1" l="1"/>
  <c r="AAV9" i="1"/>
  <c r="AAW3" i="1"/>
  <c r="AAV8" i="1"/>
  <c r="AAU7" i="1"/>
  <c r="AAX3" i="1" l="1"/>
  <c r="AAW10" i="1"/>
  <c r="AAW8" i="1"/>
  <c r="AAW9" i="1"/>
  <c r="AAV7" i="1"/>
  <c r="AAX6" i="1"/>
  <c r="AAW7" i="1" l="1"/>
  <c r="AAX8" i="1"/>
  <c r="AAX9" i="1"/>
  <c r="AAX5" i="1"/>
  <c r="AAX10" i="1"/>
  <c r="AAY3" i="1"/>
  <c r="AAX4" i="1"/>
  <c r="AAZ3" i="1" l="1"/>
  <c r="AAY10" i="1"/>
  <c r="AAY8" i="1"/>
  <c r="AAY9" i="1"/>
  <c r="AAX7" i="1"/>
  <c r="AAY7" i="1" l="1"/>
  <c r="AAZ9" i="1"/>
  <c r="ABA3" i="1"/>
  <c r="AAZ10" i="1"/>
  <c r="AAZ8" i="1"/>
  <c r="ABA9" i="1" l="1"/>
  <c r="ABB3" i="1"/>
  <c r="ABA10" i="1"/>
  <c r="ABA8" i="1"/>
  <c r="AAZ7" i="1"/>
  <c r="ABA7" i="1" l="1"/>
  <c r="ABB10" i="1"/>
  <c r="ABB9" i="1"/>
  <c r="ABC3" i="1"/>
  <c r="ABB8" i="1"/>
  <c r="ABC9" i="1" l="1"/>
  <c r="ABD3" i="1"/>
  <c r="ABC10" i="1"/>
  <c r="ABC8" i="1"/>
  <c r="ABB7" i="1"/>
  <c r="ABC7" i="1" l="1"/>
  <c r="ABE3" i="1"/>
  <c r="ABD10" i="1"/>
  <c r="ABD8" i="1"/>
  <c r="ABD9" i="1"/>
  <c r="ABE6" i="1"/>
  <c r="ABE8" i="1" l="1"/>
  <c r="ABE5" i="1"/>
  <c r="ABE10" i="1"/>
  <c r="ABF3" i="1"/>
  <c r="ABE9" i="1"/>
  <c r="ABE4" i="1"/>
  <c r="ABD7" i="1"/>
  <c r="ABG3" i="1" l="1"/>
  <c r="ABF10" i="1"/>
  <c r="ABF8" i="1"/>
  <c r="ABF9" i="1"/>
  <c r="ABE7" i="1"/>
  <c r="ABF7" i="1" l="1"/>
  <c r="ABG8" i="1"/>
  <c r="ABH3" i="1"/>
  <c r="ABG10" i="1"/>
  <c r="ABG9" i="1"/>
  <c r="ABI3" i="1" l="1"/>
  <c r="ABH9" i="1"/>
  <c r="ABH10" i="1"/>
  <c r="ABH8" i="1"/>
  <c r="ABG7" i="1"/>
  <c r="ABH7" i="1" l="1"/>
  <c r="ABI8" i="1"/>
  <c r="ABI9" i="1"/>
  <c r="ABJ3" i="1"/>
  <c r="ABI10" i="1"/>
  <c r="ABK3" i="1" l="1"/>
  <c r="ABJ9" i="1"/>
  <c r="ABJ10" i="1"/>
  <c r="ABJ8" i="1"/>
  <c r="ABI7" i="1"/>
  <c r="ABJ7" i="1" l="1"/>
  <c r="ABK8" i="1"/>
  <c r="ABK9" i="1"/>
  <c r="ABL3" i="1"/>
  <c r="ABK10" i="1"/>
  <c r="ABL6" i="1"/>
  <c r="ABK7" i="1" l="1"/>
  <c r="ABM3" i="1"/>
  <c r="ABL9" i="1"/>
  <c r="ABL5" i="1"/>
  <c r="ABL10" i="1"/>
  <c r="ABL8" i="1"/>
  <c r="ABL4" i="1"/>
  <c r="ABL7" i="1" l="1"/>
  <c r="ABN3" i="1"/>
  <c r="ABM10" i="1"/>
  <c r="ABM8" i="1"/>
  <c r="ABM9" i="1"/>
  <c r="ABM7" i="1" l="1"/>
  <c r="ABN10" i="1"/>
  <c r="ABN9" i="1"/>
  <c r="ABO3" i="1"/>
  <c r="ABN8" i="1"/>
  <c r="ABN7" i="1" l="1"/>
  <c r="ABO9" i="1"/>
  <c r="ABP3" i="1"/>
  <c r="ABO10" i="1"/>
  <c r="ABO8" i="1"/>
  <c r="ABO7" i="1" l="1"/>
  <c r="ABQ3" i="1"/>
  <c r="ABP10" i="1"/>
  <c r="ABP8" i="1"/>
  <c r="ABP9" i="1"/>
  <c r="ABQ9" i="1" l="1"/>
  <c r="ABR3" i="1"/>
  <c r="ABQ10" i="1"/>
  <c r="ABQ8" i="1"/>
  <c r="ABP7" i="1"/>
  <c r="ABQ7" i="1" l="1"/>
  <c r="ABS3" i="1"/>
  <c r="ABR10" i="1"/>
  <c r="ABR8" i="1"/>
  <c r="ABR9" i="1"/>
  <c r="ABS6" i="1"/>
  <c r="ABS8" i="1" l="1"/>
  <c r="ABS4" i="1"/>
  <c r="ABS5" i="1"/>
  <c r="ABS10" i="1"/>
  <c r="ABT3" i="1"/>
  <c r="ABS9" i="1"/>
  <c r="ABR7" i="1"/>
  <c r="ABU3" i="1" l="1"/>
  <c r="ABT10" i="1"/>
  <c r="ABT8" i="1"/>
  <c r="ABT9" i="1"/>
  <c r="ABS7" i="1"/>
  <c r="ABT7" i="1" l="1"/>
  <c r="ABU10" i="1"/>
  <c r="ABU8" i="1"/>
  <c r="ABU9" i="1"/>
  <c r="ABV3" i="1"/>
  <c r="ABU7" i="1" l="1"/>
  <c r="ABV10" i="1"/>
  <c r="ABV9" i="1"/>
  <c r="ABW3" i="1"/>
  <c r="ABV8" i="1"/>
  <c r="ABW8" i="1" l="1"/>
  <c r="ABW9" i="1"/>
  <c r="ABX3" i="1"/>
  <c r="ABW10" i="1"/>
  <c r="ABV7" i="1"/>
  <c r="ABW7" i="1" l="1"/>
  <c r="ABY3" i="1"/>
  <c r="ABX10" i="1"/>
  <c r="ABX8" i="1"/>
  <c r="ABX9" i="1"/>
  <c r="ABX7" i="1" l="1"/>
  <c r="ABY10" i="1"/>
  <c r="ABY9" i="1"/>
  <c r="ABZ3" i="1"/>
  <c r="ABY8" i="1"/>
  <c r="ABZ6" i="1"/>
  <c r="ABY7" i="1" l="1"/>
  <c r="ACA3" i="1"/>
  <c r="ABZ9" i="1"/>
  <c r="ABZ5" i="1"/>
  <c r="ABZ10" i="1"/>
  <c r="ABZ4" i="1"/>
  <c r="ABZ8" i="1"/>
  <c r="ABZ7" i="1" l="1"/>
  <c r="ACA10" i="1"/>
  <c r="ACA9" i="1"/>
  <c r="ACB3" i="1"/>
  <c r="ACA8" i="1"/>
  <c r="ACC3" i="1" l="1"/>
  <c r="ACB10" i="1"/>
  <c r="ACB8" i="1"/>
  <c r="ACB9" i="1"/>
  <c r="ACA7" i="1"/>
  <c r="ACB7" i="1" l="1"/>
  <c r="ACC10" i="1"/>
  <c r="ACC8" i="1"/>
  <c r="ACC9" i="1"/>
  <c r="ACD3" i="1"/>
  <c r="ACE3" i="1" l="1"/>
  <c r="ACD10" i="1"/>
  <c r="ACD8" i="1"/>
  <c r="ACD9" i="1"/>
  <c r="ACC7" i="1"/>
  <c r="ACD7" i="1" l="1"/>
  <c r="ACE10" i="1"/>
  <c r="ACE9" i="1"/>
  <c r="ACF3" i="1"/>
  <c r="ACE8" i="1"/>
  <c r="ACE7" i="1" l="1"/>
  <c r="ACG3" i="1"/>
  <c r="ACF9" i="1"/>
  <c r="ACF10" i="1"/>
  <c r="ACF8" i="1"/>
  <c r="ACG6" i="1"/>
  <c r="ACF7" i="1" l="1"/>
  <c r="ACG8" i="1"/>
  <c r="ACG5" i="1"/>
  <c r="ACG10" i="1"/>
  <c r="ACH3" i="1"/>
  <c r="ACG9" i="1"/>
  <c r="ACG4" i="1"/>
  <c r="ACG7" i="1" l="1"/>
  <c r="ACI3" i="1"/>
  <c r="ACH9" i="1"/>
  <c r="ACH10" i="1"/>
  <c r="ACH8" i="1"/>
  <c r="ACI9" i="1" l="1"/>
  <c r="ACJ3" i="1"/>
  <c r="ACI10" i="1"/>
  <c r="ACI8" i="1"/>
  <c r="ACH7" i="1"/>
  <c r="ACI7" i="1" l="1"/>
  <c r="ACK3" i="1"/>
  <c r="ACJ9" i="1"/>
  <c r="ACJ10" i="1"/>
  <c r="ACJ8" i="1"/>
  <c r="ACJ7" i="1" l="1"/>
  <c r="ACL3" i="1"/>
  <c r="ACK10" i="1"/>
  <c r="ACK8" i="1"/>
  <c r="ACK9" i="1"/>
  <c r="ACK7" i="1" l="1"/>
  <c r="ACM3" i="1"/>
  <c r="ACL9" i="1"/>
  <c r="ACL10" i="1"/>
  <c r="ACL8" i="1"/>
  <c r="ACL7" i="1" l="1"/>
  <c r="ACM8" i="1"/>
  <c r="ACM9" i="1"/>
  <c r="ACN3" i="1"/>
  <c r="ACM10" i="1"/>
  <c r="ACN6" i="1"/>
  <c r="ACM7" i="1" l="1"/>
  <c r="ACO3" i="1"/>
  <c r="ACN9" i="1"/>
  <c r="ACN10" i="1"/>
  <c r="ACN4" i="1"/>
  <c r="ACN5" i="1"/>
  <c r="ACN8" i="1"/>
  <c r="ACN7" i="1" l="1"/>
  <c r="ACO10" i="1"/>
  <c r="ACO8" i="1"/>
  <c r="ACO9" i="1"/>
  <c r="ACP3" i="1"/>
  <c r="ACO7" i="1" l="1"/>
  <c r="ACQ3" i="1"/>
  <c r="ACP10" i="1"/>
  <c r="ACP8" i="1"/>
  <c r="ACP9" i="1"/>
  <c r="ACP7" i="1" l="1"/>
  <c r="ACQ10" i="1"/>
  <c r="ACQ9" i="1"/>
  <c r="ACR3" i="1"/>
  <c r="ACQ8" i="1"/>
  <c r="ACQ7" i="1" l="1"/>
  <c r="ACR10" i="1"/>
  <c r="ACR9" i="1"/>
  <c r="ACS3" i="1"/>
  <c r="ACR8" i="1"/>
  <c r="ACR7" i="1" l="1"/>
  <c r="ACS10" i="1"/>
  <c r="ACS8" i="1"/>
  <c r="ACS9" i="1"/>
  <c r="ACT3" i="1"/>
  <c r="ACS7" i="1" l="1"/>
  <c r="ACU3" i="1"/>
  <c r="ACT10" i="1"/>
  <c r="ACT8" i="1"/>
  <c r="ACT9" i="1"/>
  <c r="ACU6" i="1"/>
  <c r="ACT7" i="1" l="1"/>
  <c r="ACU8" i="1"/>
  <c r="ACU9" i="1"/>
  <c r="ACU5" i="1"/>
  <c r="ACV3" i="1"/>
  <c r="ACU10" i="1"/>
  <c r="ACU4" i="1"/>
  <c r="ACW3" i="1" l="1"/>
  <c r="ACV10" i="1"/>
  <c r="ACV8" i="1"/>
  <c r="ACV9" i="1"/>
  <c r="ACU7" i="1"/>
  <c r="ACV7" i="1" l="1"/>
  <c r="ACW10" i="1"/>
  <c r="ACW9" i="1"/>
  <c r="ACX3" i="1"/>
  <c r="ACW8" i="1"/>
  <c r="ACW7" i="1" l="1"/>
  <c r="ACY3" i="1"/>
  <c r="ACX10" i="1"/>
  <c r="ACX8" i="1"/>
  <c r="ACX9" i="1"/>
  <c r="ACX7" i="1" l="1"/>
  <c r="ACY8" i="1"/>
  <c r="ACY9" i="1"/>
  <c r="ACZ3" i="1"/>
  <c r="ACY10" i="1"/>
  <c r="ADA3" i="1" l="1"/>
  <c r="ACZ10" i="1"/>
  <c r="ACZ8" i="1"/>
  <c r="ACZ9" i="1"/>
  <c r="ACY7" i="1"/>
  <c r="ACZ7" i="1" l="1"/>
  <c r="ADA8" i="1"/>
  <c r="ADA9" i="1"/>
  <c r="ADB3" i="1"/>
  <c r="ADA10" i="1"/>
  <c r="ADB6" i="1"/>
  <c r="ADA7" i="1" l="1"/>
  <c r="ADC3" i="1"/>
  <c r="ADB9" i="1"/>
  <c r="ADB10" i="1"/>
  <c r="ADB4" i="1"/>
  <c r="ADB5" i="1"/>
  <c r="ADB8" i="1"/>
  <c r="ADB7" i="1" l="1"/>
  <c r="ADC10" i="1"/>
  <c r="ADC9" i="1"/>
  <c r="ADD3" i="1"/>
  <c r="ADC8" i="1"/>
  <c r="ADC7" i="1" l="1"/>
  <c r="ADE3" i="1"/>
  <c r="ADD10" i="1"/>
  <c r="ADD8" i="1"/>
  <c r="ADD9" i="1"/>
  <c r="ADD7" i="1" l="1"/>
  <c r="ADE8" i="1"/>
  <c r="ADE9" i="1"/>
  <c r="ADF3" i="1"/>
  <c r="ADE10" i="1"/>
  <c r="ADE7" i="1" l="1"/>
  <c r="ADG3" i="1"/>
  <c r="ADF10" i="1"/>
  <c r="ADF8" i="1"/>
  <c r="ADF9" i="1"/>
  <c r="ADG10" i="1" l="1"/>
  <c r="ADG8" i="1"/>
  <c r="ADG9" i="1"/>
  <c r="ADH3" i="1"/>
  <c r="ADF7" i="1"/>
  <c r="ADI3" i="1" l="1"/>
  <c r="ADH10" i="1"/>
  <c r="ADH8" i="1"/>
  <c r="ADH9" i="1"/>
  <c r="ADG7" i="1"/>
  <c r="ADI6" i="1"/>
  <c r="ADH7" i="1" l="1"/>
  <c r="ADI8" i="1"/>
  <c r="ADI9" i="1"/>
  <c r="ADJ3" i="1"/>
  <c r="ADI10" i="1"/>
  <c r="ADI4" i="1"/>
  <c r="ADI5" i="1"/>
  <c r="ADJ10" i="1" l="1"/>
  <c r="ADK3" i="1"/>
  <c r="ADJ8" i="1"/>
  <c r="ADJ9" i="1"/>
  <c r="ADI7" i="1"/>
  <c r="ADJ7" i="1" l="1"/>
  <c r="ADK9" i="1"/>
  <c r="ADL3" i="1"/>
  <c r="ADK10" i="1"/>
  <c r="ADK8" i="1"/>
  <c r="ADM3" i="1" l="1"/>
  <c r="ADL9" i="1"/>
  <c r="ADL10" i="1"/>
  <c r="ADL8" i="1"/>
  <c r="ADK7" i="1"/>
  <c r="ADL7" i="1" l="1"/>
  <c r="ADM10" i="1"/>
  <c r="ADM8" i="1"/>
  <c r="ADM9" i="1"/>
  <c r="ADN3" i="1"/>
  <c r="ADN10" i="1" l="1"/>
  <c r="ADO3" i="1"/>
  <c r="ADN8" i="1"/>
  <c r="ADN9" i="1"/>
  <c r="ADM7" i="1"/>
  <c r="ADO10" i="1" l="1"/>
  <c r="ADO8" i="1"/>
  <c r="ADO9" i="1"/>
  <c r="ADN7" i="1"/>
  <c r="ADO7" i="1" l="1"/>
  <c r="A10" i="1" l="1"/>
  <c r="A12" i="1" s="1"/>
  <c r="A13" i="1" s="1"/>
  <c r="A14" i="1" s="1"/>
</calcChain>
</file>

<file path=xl/comments1.xml><?xml version="1.0" encoding="utf-8"?>
<comments xmlns="http://schemas.openxmlformats.org/spreadsheetml/2006/main">
  <authors>
    <author>Björn Johansson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Filtrer på TC för att kunna samplanera med service veckor</t>
        </r>
      </text>
    </comment>
    <comment ref="A11" authorId="0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Titta igenom plan med Erik 1 april.</t>
        </r>
      </text>
    </comment>
  </commentList>
</comments>
</file>

<file path=xl/sharedStrings.xml><?xml version="1.0" encoding="utf-8"?>
<sst xmlns="http://schemas.openxmlformats.org/spreadsheetml/2006/main" count="233" uniqueCount="72">
  <si>
    <t>Start:</t>
  </si>
  <si>
    <t>First Day of Week (Mon=2):</t>
  </si>
  <si>
    <t>%</t>
  </si>
  <si>
    <t>Days Complete</t>
  </si>
  <si>
    <t>Days Remaining</t>
  </si>
  <si>
    <t>#</t>
  </si>
  <si>
    <t>Tasks</t>
  </si>
  <si>
    <t>Sign.</t>
  </si>
  <si>
    <t>Start</t>
  </si>
  <si>
    <t>End</t>
  </si>
  <si>
    <t>Level 3 Task</t>
  </si>
  <si>
    <t>Level 4 task</t>
  </si>
  <si>
    <t>Today:</t>
  </si>
  <si>
    <t>Work days</t>
  </si>
  <si>
    <t>Week scroll</t>
  </si>
  <si>
    <t>Week</t>
  </si>
  <si>
    <t>90xx</t>
  </si>
  <si>
    <t>Engineering</t>
  </si>
  <si>
    <t>Procurement</t>
  </si>
  <si>
    <t>Installation</t>
  </si>
  <si>
    <t>Major</t>
  </si>
  <si>
    <t>Year</t>
  </si>
  <si>
    <t>= Calc.Date</t>
  </si>
  <si>
    <t>Com. Rest</t>
  </si>
  <si>
    <t>Proj Template 1</t>
  </si>
  <si>
    <t>Proj Template 2</t>
  </si>
  <si>
    <t>M</t>
  </si>
  <si>
    <t>N/A</t>
  </si>
  <si>
    <t xml:space="preserve">Week
</t>
  </si>
  <si>
    <t>Construction / Delivery Time</t>
  </si>
  <si>
    <t>Procure and Clone PC:s</t>
  </si>
  <si>
    <t>P</t>
  </si>
  <si>
    <t xml:space="preserve">Mi/Ma 
P/M
</t>
  </si>
  <si>
    <t>Prof of concept</t>
  </si>
  <si>
    <t>Test, Validation, Documentation</t>
  </si>
  <si>
    <t xml:space="preserve">FieldTest </t>
  </si>
  <si>
    <t>Rollout</t>
  </si>
  <si>
    <t>Template Capex proj</t>
  </si>
  <si>
    <t>Template SW Proj</t>
  </si>
  <si>
    <t>BNJ</t>
  </si>
  <si>
    <t>New Thermocouple I/O HBM</t>
  </si>
  <si>
    <t>9xxx</t>
  </si>
  <si>
    <t>Prio</t>
  </si>
  <si>
    <t>Status</t>
  </si>
  <si>
    <t>Proposed</t>
  </si>
  <si>
    <t>Approved</t>
  </si>
  <si>
    <t>PreProject</t>
  </si>
  <si>
    <t>Completed</t>
  </si>
  <si>
    <t>A</t>
  </si>
  <si>
    <t>B</t>
  </si>
  <si>
    <t>C</t>
  </si>
  <si>
    <t>D</t>
  </si>
  <si>
    <t>Approval</t>
  </si>
  <si>
    <t>TC</t>
  </si>
  <si>
    <t>Maint.</t>
  </si>
  <si>
    <t>Template&amp;Draft</t>
  </si>
  <si>
    <t>Days</t>
  </si>
  <si>
    <t>Dur.Weeks</t>
  </si>
  <si>
    <t>Delivery time</t>
  </si>
  <si>
    <t>PA</t>
  </si>
  <si>
    <t>Service Task</t>
  </si>
  <si>
    <t>Service 1</t>
  </si>
  <si>
    <t>Service 2</t>
  </si>
  <si>
    <t>Sevice Day</t>
  </si>
  <si>
    <t>Project 1</t>
  </si>
  <si>
    <t>Project 51</t>
  </si>
  <si>
    <t>Project 52</t>
  </si>
  <si>
    <t>Project 53</t>
  </si>
  <si>
    <t>Projects And Maint. Weeks</t>
  </si>
  <si>
    <t>Area</t>
  </si>
  <si>
    <t>Project 2</t>
  </si>
  <si>
    <t>Project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</si>
</sst>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"/>
    <numFmt numFmtId="165" formatCode="\ dd\ mmm"/>
    <numFmt numFmtId="166" formatCode="[$-409]mmmmm;@"/>
    <numFmt numFmtId="167" formatCode="00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color indexed="56"/>
      <name val="Trebuchet MS"/>
      <family val="2"/>
    </font>
    <font>
      <b/>
      <sz val="9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b/>
      <sz val="10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Arial"/>
      <family val="2"/>
    </font>
    <font>
      <sz val="8"/>
      <color theme="0" tint="-0.1499984740745262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55"/>
      </left>
      <right/>
      <top style="thin">
        <color indexed="55"/>
      </top>
      <bottom style="thin">
        <color indexed="64"/>
      </bottom>
      <diagonal/>
    </border>
    <border>
      <left/>
      <right/>
      <top style="thin">
        <color indexed="55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5" fillId="0" borderId="0" applyFont="0" applyFill="0" applyBorder="0" applyAlignment="0" applyProtection="0"/>
  </cellStyleXfs>
  <cellXfs count="168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14" fontId="1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0" fontId="0" fillId="0" borderId="0" xfId="0" applyAlignment="1"/>
    <xf numFmtId="14" fontId="0" fillId="0" borderId="0" xfId="0" applyNumberFormat="1" applyFill="1" applyBorder="1"/>
    <xf numFmtId="14" fontId="6" fillId="0" borderId="0" xfId="0" applyNumberFormat="1" applyFont="1" applyFill="1" applyBorder="1" applyAlignment="1">
      <alignment horizontal="left"/>
    </xf>
    <xf numFmtId="0" fontId="0" fillId="0" borderId="0" xfId="0" applyFill="1" applyAlignment="1"/>
    <xf numFmtId="0" fontId="7" fillId="0" borderId="0" xfId="0" applyFont="1" applyFill="1" applyAlignment="1">
      <alignment horizontal="right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Fill="1"/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/>
    <xf numFmtId="0" fontId="7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0" fontId="0" fillId="0" borderId="0" xfId="0" applyFill="1" applyBorder="1" applyProtection="1"/>
    <xf numFmtId="0" fontId="0" fillId="0" borderId="0" xfId="0" applyProtection="1"/>
    <xf numFmtId="0" fontId="14" fillId="0" borderId="2" xfId="0" applyNumberFormat="1" applyFont="1" applyFill="1" applyBorder="1" applyAlignment="1" applyProtection="1">
      <alignment horizontal="left"/>
    </xf>
    <xf numFmtId="14" fontId="14" fillId="0" borderId="2" xfId="0" applyNumberFormat="1" applyFont="1" applyFill="1" applyBorder="1" applyAlignment="1" applyProtection="1">
      <alignment horizontal="right"/>
    </xf>
    <xf numFmtId="1" fontId="14" fillId="0" borderId="2" xfId="0" applyNumberFormat="1" applyFont="1" applyFill="1" applyBorder="1" applyAlignment="1" applyProtection="1">
      <alignment horizontal="center"/>
    </xf>
    <xf numFmtId="1" fontId="14" fillId="0" borderId="2" xfId="1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/>
    <xf numFmtId="14" fontId="9" fillId="0" borderId="0" xfId="0" applyNumberFormat="1" applyFont="1" applyFill="1" applyBorder="1" applyAlignment="1">
      <alignment horizontal="left"/>
    </xf>
    <xf numFmtId="0" fontId="9" fillId="0" borderId="0" xfId="0" applyFont="1" applyFill="1" applyBorder="1" applyAlignment="1"/>
    <xf numFmtId="0" fontId="13" fillId="0" borderId="2" xfId="0" applyFont="1" applyFill="1" applyBorder="1" applyAlignment="1" applyProtection="1">
      <alignment wrapText="1"/>
    </xf>
    <xf numFmtId="0" fontId="14" fillId="0" borderId="2" xfId="0" applyFont="1" applyFill="1" applyBorder="1" applyProtection="1"/>
    <xf numFmtId="0" fontId="14" fillId="0" borderId="2" xfId="0" applyFont="1" applyBorder="1" applyProtection="1"/>
    <xf numFmtId="0" fontId="13" fillId="0" borderId="2" xfId="0" applyFont="1" applyFill="1" applyBorder="1" applyAlignment="1" applyProtection="1">
      <alignment horizontal="left" wrapText="1" indent="1"/>
    </xf>
    <xf numFmtId="0" fontId="5" fillId="0" borderId="3" xfId="0" applyFont="1" applyFill="1" applyBorder="1" applyAlignment="1"/>
    <xf numFmtId="0" fontId="5" fillId="0" borderId="3" xfId="0" applyFont="1" applyBorder="1" applyAlignment="1">
      <alignment horizontal="center"/>
    </xf>
    <xf numFmtId="0" fontId="5" fillId="0" borderId="3" xfId="0" applyFont="1" applyBorder="1" applyAlignment="1">
      <alignment horizontal="left" wrapText="1"/>
    </xf>
    <xf numFmtId="0" fontId="10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Fill="1" applyAlignment="1">
      <alignment horizontal="right"/>
    </xf>
    <xf numFmtId="0" fontId="17" fillId="0" borderId="0" xfId="0" applyFont="1"/>
    <xf numFmtId="1" fontId="14" fillId="0" borderId="4" xfId="0" applyNumberFormat="1" applyFont="1" applyFill="1" applyBorder="1" applyAlignment="1" applyProtection="1">
      <alignment horizontal="center"/>
    </xf>
    <xf numFmtId="1" fontId="14" fillId="0" borderId="4" xfId="1" applyNumberFormat="1" applyFont="1" applyFill="1" applyBorder="1" applyAlignment="1" applyProtection="1">
      <alignment horizontal="center"/>
    </xf>
    <xf numFmtId="0" fontId="14" fillId="0" borderId="4" xfId="0" applyFont="1" applyFill="1" applyBorder="1" applyProtection="1"/>
    <xf numFmtId="0" fontId="1" fillId="0" borderId="0" xfId="0" applyFont="1" applyBorder="1" applyAlignment="1">
      <alignment horizontal="center" textRotation="90"/>
    </xf>
    <xf numFmtId="166" fontId="2" fillId="0" borderId="0" xfId="0" applyNumberFormat="1" applyFont="1" applyFill="1" applyBorder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9" fillId="2" borderId="0" xfId="0" applyFont="1" applyFill="1" applyBorder="1"/>
    <xf numFmtId="14" fontId="9" fillId="2" borderId="0" xfId="0" applyNumberFormat="1" applyFont="1" applyFill="1" applyBorder="1" applyAlignment="1">
      <alignment horizontal="left"/>
    </xf>
    <xf numFmtId="0" fontId="9" fillId="2" borderId="0" xfId="0" applyFont="1" applyFill="1" applyBorder="1" applyAlignment="1"/>
    <xf numFmtId="14" fontId="2" fillId="3" borderId="0" xfId="0" applyNumberFormat="1" applyFont="1" applyFill="1" applyBorder="1" applyAlignment="1" applyProtection="1">
      <alignment horizontal="left"/>
      <protection locked="0"/>
    </xf>
    <xf numFmtId="14" fontId="16" fillId="3" borderId="0" xfId="0" applyNumberFormat="1" applyFont="1" applyFill="1" applyAlignment="1">
      <alignment horizontal="left"/>
    </xf>
    <xf numFmtId="1" fontId="14" fillId="3" borderId="2" xfId="0" applyNumberFormat="1" applyFont="1" applyFill="1" applyBorder="1" applyAlignment="1" applyProtection="1">
      <alignment horizontal="center"/>
    </xf>
    <xf numFmtId="9" fontId="14" fillId="3" borderId="2" xfId="1" applyFont="1" applyFill="1" applyBorder="1" applyAlignment="1" applyProtection="1">
      <alignment horizontal="center"/>
    </xf>
    <xf numFmtId="14" fontId="14" fillId="3" borderId="2" xfId="0" applyNumberFormat="1" applyFont="1" applyFill="1" applyBorder="1" applyAlignment="1" applyProtection="1">
      <alignment horizontal="right"/>
    </xf>
    <xf numFmtId="0" fontId="5" fillId="3" borderId="0" xfId="0" applyNumberFormat="1" applyFont="1" applyFill="1" applyAlignment="1" applyProtection="1">
      <alignment horizontal="right"/>
      <protection locked="0"/>
    </xf>
    <xf numFmtId="14" fontId="0" fillId="0" borderId="0" xfId="0" applyNumberFormat="1" applyFill="1"/>
    <xf numFmtId="0" fontId="9" fillId="0" borderId="13" xfId="0" applyFont="1" applyFill="1" applyBorder="1"/>
    <xf numFmtId="0" fontId="9" fillId="0" borderId="14" xfId="0" applyFont="1" applyFill="1" applyBorder="1"/>
    <xf numFmtId="14" fontId="9" fillId="0" borderId="15" xfId="0" quotePrefix="1" applyNumberFormat="1" applyFont="1" applyFill="1" applyBorder="1"/>
    <xf numFmtId="14" fontId="18" fillId="0" borderId="0" xfId="0" applyNumberFormat="1" applyFont="1" applyFill="1"/>
    <xf numFmtId="14" fontId="19" fillId="0" borderId="0" xfId="0" applyNumberFormat="1" applyFont="1" applyFill="1"/>
    <xf numFmtId="0" fontId="13" fillId="3" borderId="2" xfId="0" applyFont="1" applyFill="1" applyBorder="1" applyAlignment="1" applyProtection="1">
      <alignment horizontal="left" wrapText="1" indent="1"/>
    </xf>
    <xf numFmtId="0" fontId="13" fillId="3" borderId="2" xfId="0" applyFont="1" applyFill="1" applyBorder="1" applyProtection="1"/>
    <xf numFmtId="14" fontId="14" fillId="5" borderId="2" xfId="0" applyNumberFormat="1" applyFont="1" applyFill="1" applyBorder="1" applyAlignment="1" applyProtection="1">
      <alignment horizontal="right"/>
    </xf>
    <xf numFmtId="14" fontId="17" fillId="4" borderId="18" xfId="0" applyNumberFormat="1" applyFont="1" applyFill="1" applyBorder="1"/>
    <xf numFmtId="0" fontId="5" fillId="3" borderId="16" xfId="0" applyNumberFormat="1" applyFont="1" applyFill="1" applyBorder="1"/>
    <xf numFmtId="167" fontId="5" fillId="3" borderId="17" xfId="0" applyNumberFormat="1" applyFont="1" applyFill="1" applyBorder="1"/>
    <xf numFmtId="0" fontId="13" fillId="5" borderId="2" xfId="0" applyFont="1" applyFill="1" applyBorder="1" applyProtection="1"/>
    <xf numFmtId="0" fontId="5" fillId="0" borderId="3" xfId="0" applyFont="1" applyBorder="1" applyAlignment="1">
      <alignment horizontal="right" wrapText="1"/>
    </xf>
    <xf numFmtId="0" fontId="5" fillId="0" borderId="3" xfId="0" applyFont="1" applyBorder="1" applyAlignment="1">
      <alignment horizontal="left" vertical="top" wrapText="1"/>
    </xf>
    <xf numFmtId="0" fontId="14" fillId="0" borderId="19" xfId="0" applyFont="1" applyFill="1" applyBorder="1" applyProtection="1"/>
    <xf numFmtId="0" fontId="5" fillId="0" borderId="3" xfId="0" applyFont="1" applyBorder="1" applyAlignment="1">
      <alignment horizontal="center" vertical="top" wrapText="1"/>
    </xf>
    <xf numFmtId="0" fontId="16" fillId="0" borderId="0" xfId="0" applyFont="1"/>
    <xf numFmtId="0" fontId="2" fillId="0" borderId="2" xfId="0" applyNumberFormat="1" applyFont="1" applyFill="1" applyBorder="1" applyAlignment="1" applyProtection="1">
      <alignment horizontal="left"/>
    </xf>
    <xf numFmtId="1" fontId="2" fillId="3" borderId="2" xfId="0" applyNumberFormat="1" applyFont="1" applyFill="1" applyBorder="1" applyAlignment="1" applyProtection="1">
      <alignment horizontal="center"/>
    </xf>
    <xf numFmtId="1" fontId="2" fillId="0" borderId="2" xfId="0" applyNumberFormat="1" applyFont="1" applyFill="1" applyBorder="1" applyAlignment="1" applyProtection="1">
      <alignment horizontal="center"/>
    </xf>
    <xf numFmtId="0" fontId="5" fillId="7" borderId="4" xfId="0" applyNumberFormat="1" applyFont="1" applyFill="1" applyBorder="1" applyAlignment="1" applyProtection="1">
      <alignment horizontal="left"/>
    </xf>
    <xf numFmtId="0" fontId="12" fillId="7" borderId="4" xfId="0" applyFont="1" applyFill="1" applyBorder="1" applyAlignment="1" applyProtection="1">
      <alignment wrapText="1"/>
    </xf>
    <xf numFmtId="0" fontId="14" fillId="7" borderId="2" xfId="0" applyNumberFormat="1" applyFont="1" applyFill="1" applyBorder="1" applyAlignment="1" applyProtection="1">
      <alignment horizontal="left"/>
    </xf>
    <xf numFmtId="0" fontId="13" fillId="7" borderId="2" xfId="0" applyFont="1" applyFill="1" applyBorder="1" applyAlignment="1" applyProtection="1">
      <alignment wrapText="1"/>
    </xf>
    <xf numFmtId="0" fontId="13" fillId="7" borderId="2" xfId="0" applyFont="1" applyFill="1" applyBorder="1" applyAlignment="1" applyProtection="1">
      <alignment horizontal="left" wrapText="1" indent="1"/>
    </xf>
    <xf numFmtId="0" fontId="13" fillId="7" borderId="2" xfId="0" applyFont="1" applyFill="1" applyBorder="1" applyAlignment="1" applyProtection="1">
      <alignment horizontal="left" wrapText="1" indent="2"/>
    </xf>
    <xf numFmtId="0" fontId="12" fillId="5" borderId="4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wrapText="1"/>
    </xf>
    <xf numFmtId="14" fontId="14" fillId="5" borderId="4" xfId="0" applyNumberFormat="1" applyFont="1" applyFill="1" applyBorder="1" applyAlignment="1" applyProtection="1">
      <alignment horizontal="right"/>
    </xf>
    <xf numFmtId="1" fontId="14" fillId="5" borderId="4" xfId="0" applyNumberFormat="1" applyFont="1" applyFill="1" applyBorder="1" applyAlignment="1" applyProtection="1">
      <alignment horizontal="center"/>
    </xf>
    <xf numFmtId="9" fontId="14" fillId="5" borderId="4" xfId="1" applyFont="1" applyFill="1" applyBorder="1" applyAlignment="1" applyProtection="1">
      <alignment horizontal="center"/>
    </xf>
    <xf numFmtId="0" fontId="9" fillId="0" borderId="0" xfId="0" applyFont="1" applyBorder="1" applyAlignment="1">
      <alignment horizontal="left" vertical="top" textRotation="90"/>
    </xf>
    <xf numFmtId="0" fontId="5" fillId="0" borderId="3" xfId="0" applyFont="1" applyBorder="1" applyAlignment="1">
      <alignment horizontal="center" vertical="center"/>
    </xf>
    <xf numFmtId="0" fontId="8" fillId="8" borderId="0" xfId="0" applyFont="1" applyFill="1" applyBorder="1" applyAlignment="1">
      <alignment vertical="center"/>
    </xf>
    <xf numFmtId="0" fontId="9" fillId="8" borderId="0" xfId="0" applyFont="1" applyFill="1" applyBorder="1" applyAlignment="1">
      <alignment horizontal="left"/>
    </xf>
    <xf numFmtId="0" fontId="1" fillId="8" borderId="0" xfId="0" applyFont="1" applyFill="1" applyBorder="1"/>
    <xf numFmtId="0" fontId="9" fillId="8" borderId="0" xfId="0" applyFont="1" applyFill="1" applyBorder="1"/>
    <xf numFmtId="14" fontId="9" fillId="8" borderId="0" xfId="0" applyNumberFormat="1" applyFont="1" applyFill="1" applyBorder="1" applyAlignment="1">
      <alignment horizontal="left"/>
    </xf>
    <xf numFmtId="0" fontId="9" fillId="8" borderId="0" xfId="0" applyFont="1" applyFill="1" applyBorder="1" applyAlignment="1"/>
    <xf numFmtId="0" fontId="23" fillId="0" borderId="0" xfId="0" applyFont="1" applyBorder="1" applyAlignment="1">
      <alignment horizontal="left" vertical="center" textRotation="90"/>
    </xf>
    <xf numFmtId="0" fontId="1" fillId="0" borderId="0" xfId="0" applyFont="1" applyBorder="1" applyAlignment="1">
      <alignment horizontal="center" vertical="center" textRotation="90"/>
    </xf>
    <xf numFmtId="0" fontId="14" fillId="0" borderId="0" xfId="0" applyFont="1" applyFill="1" applyBorder="1" applyProtection="1"/>
    <xf numFmtId="0" fontId="9" fillId="2" borderId="0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0" fontId="5" fillId="0" borderId="3" xfId="0" applyFont="1" applyBorder="1" applyAlignment="1">
      <alignment horizontal="center" wrapText="1"/>
    </xf>
    <xf numFmtId="0" fontId="13" fillId="3" borderId="2" xfId="0" applyFont="1" applyFill="1" applyBorder="1" applyAlignment="1" applyProtection="1">
      <alignment horizontal="center" wrapText="1"/>
    </xf>
    <xf numFmtId="0" fontId="13" fillId="5" borderId="2" xfId="0" applyFont="1" applyFill="1" applyBorder="1" applyAlignment="1" applyProtection="1">
      <alignment horizontal="center" wrapText="1"/>
    </xf>
    <xf numFmtId="0" fontId="14" fillId="0" borderId="20" xfId="0" applyFont="1" applyFill="1" applyBorder="1" applyProtection="1"/>
    <xf numFmtId="0" fontId="14" fillId="0" borderId="20" xfId="0" applyFont="1" applyBorder="1" applyProtection="1"/>
    <xf numFmtId="0" fontId="5" fillId="0" borderId="0" xfId="0" applyFont="1" applyFill="1" applyBorder="1" applyProtection="1"/>
    <xf numFmtId="0" fontId="5" fillId="4" borderId="21" xfId="0" applyNumberFormat="1" applyFont="1" applyFill="1" applyBorder="1" applyAlignment="1" applyProtection="1">
      <alignment horizontal="left"/>
    </xf>
    <xf numFmtId="0" fontId="5" fillId="3" borderId="21" xfId="0" applyNumberFormat="1" applyFont="1" applyFill="1" applyBorder="1" applyAlignment="1" applyProtection="1">
      <alignment horizontal="left"/>
    </xf>
    <xf numFmtId="0" fontId="12" fillId="0" borderId="21" xfId="0" applyFont="1" applyFill="1" applyBorder="1" applyAlignment="1" applyProtection="1">
      <alignment wrapText="1"/>
    </xf>
    <xf numFmtId="0" fontId="12" fillId="5" borderId="21" xfId="0" applyFont="1" applyFill="1" applyBorder="1" applyAlignment="1" applyProtection="1">
      <alignment horizontal="center" vertical="center" wrapText="1"/>
    </xf>
    <xf numFmtId="0" fontId="12" fillId="5" borderId="21" xfId="0" applyFont="1" applyFill="1" applyBorder="1" applyAlignment="1" applyProtection="1">
      <alignment wrapText="1"/>
    </xf>
    <xf numFmtId="14" fontId="14" fillId="5" borderId="21" xfId="0" applyNumberFormat="1" applyFont="1" applyFill="1" applyBorder="1" applyAlignment="1" applyProtection="1">
      <alignment horizontal="right"/>
    </xf>
    <xf numFmtId="1" fontId="14" fillId="5" borderId="21" xfId="0" applyNumberFormat="1" applyFont="1" applyFill="1" applyBorder="1" applyAlignment="1" applyProtection="1">
      <alignment horizontal="center"/>
    </xf>
    <xf numFmtId="9" fontId="14" fillId="5" borderId="21" xfId="1" applyFont="1" applyFill="1" applyBorder="1" applyAlignment="1" applyProtection="1">
      <alignment horizontal="center"/>
    </xf>
    <xf numFmtId="1" fontId="14" fillId="0" borderId="21" xfId="0" applyNumberFormat="1" applyFont="1" applyFill="1" applyBorder="1" applyAlignment="1" applyProtection="1">
      <alignment horizontal="center"/>
    </xf>
    <xf numFmtId="1" fontId="14" fillId="0" borderId="21" xfId="1" applyNumberFormat="1" applyFont="1" applyFill="1" applyBorder="1" applyAlignment="1" applyProtection="1">
      <alignment horizontal="center"/>
    </xf>
    <xf numFmtId="0" fontId="14" fillId="0" borderId="21" xfId="0" applyFont="1" applyFill="1" applyBorder="1" applyProtection="1"/>
    <xf numFmtId="0" fontId="12" fillId="6" borderId="21" xfId="0" applyFont="1" applyFill="1" applyBorder="1" applyAlignment="1" applyProtection="1">
      <alignment wrapText="1"/>
    </xf>
    <xf numFmtId="14" fontId="5" fillId="5" borderId="21" xfId="0" applyNumberFormat="1" applyFont="1" applyFill="1" applyBorder="1" applyAlignment="1" applyProtection="1">
      <alignment horizontal="right"/>
    </xf>
    <xf numFmtId="1" fontId="5" fillId="5" borderId="21" xfId="0" applyNumberFormat="1" applyFont="1" applyFill="1" applyBorder="1" applyAlignment="1" applyProtection="1">
      <alignment horizontal="center"/>
    </xf>
    <xf numFmtId="1" fontId="5" fillId="0" borderId="21" xfId="0" applyNumberFormat="1" applyFont="1" applyFill="1" applyBorder="1" applyAlignment="1" applyProtection="1">
      <alignment horizontal="center"/>
    </xf>
    <xf numFmtId="9" fontId="5" fillId="3" borderId="21" xfId="1" applyFont="1" applyFill="1" applyBorder="1" applyAlignment="1" applyProtection="1">
      <alignment horizontal="center"/>
    </xf>
    <xf numFmtId="1" fontId="5" fillId="0" borderId="21" xfId="1" applyNumberFormat="1" applyFont="1" applyFill="1" applyBorder="1" applyAlignment="1" applyProtection="1">
      <alignment horizontal="center"/>
    </xf>
    <xf numFmtId="0" fontId="5" fillId="0" borderId="21" xfId="0" applyFont="1" applyFill="1" applyBorder="1" applyProtection="1"/>
    <xf numFmtId="0" fontId="14" fillId="0" borderId="19" xfId="0" applyNumberFormat="1" applyFont="1" applyFill="1" applyBorder="1" applyAlignment="1" applyProtection="1">
      <alignment horizontal="left"/>
    </xf>
    <xf numFmtId="0" fontId="2" fillId="0" borderId="19" xfId="0" applyNumberFormat="1" applyFont="1" applyFill="1" applyBorder="1" applyAlignment="1" applyProtection="1">
      <alignment horizontal="left"/>
    </xf>
    <xf numFmtId="0" fontId="13" fillId="0" borderId="19" xfId="0" applyFont="1" applyFill="1" applyBorder="1" applyAlignment="1" applyProtection="1">
      <alignment wrapText="1"/>
    </xf>
    <xf numFmtId="0" fontId="13" fillId="3" borderId="19" xfId="0" applyFont="1" applyFill="1" applyBorder="1" applyAlignment="1" applyProtection="1">
      <alignment horizontal="center" wrapText="1"/>
    </xf>
    <xf numFmtId="0" fontId="13" fillId="3" borderId="19" xfId="0" applyFont="1" applyFill="1" applyBorder="1" applyProtection="1"/>
    <xf numFmtId="14" fontId="14" fillId="5" borderId="19" xfId="0" applyNumberFormat="1" applyFont="1" applyFill="1" applyBorder="1" applyAlignment="1" applyProtection="1">
      <alignment horizontal="right"/>
    </xf>
    <xf numFmtId="14" fontId="14" fillId="0" borderId="19" xfId="0" applyNumberFormat="1" applyFont="1" applyFill="1" applyBorder="1" applyAlignment="1" applyProtection="1">
      <alignment horizontal="right"/>
    </xf>
    <xf numFmtId="1" fontId="14" fillId="0" borderId="19" xfId="0" applyNumberFormat="1" applyFont="1" applyFill="1" applyBorder="1" applyAlignment="1" applyProtection="1">
      <alignment horizontal="center"/>
    </xf>
    <xf numFmtId="1" fontId="14" fillId="3" borderId="19" xfId="0" applyNumberFormat="1" applyFont="1" applyFill="1" applyBorder="1" applyAlignment="1" applyProtection="1">
      <alignment horizontal="center"/>
    </xf>
    <xf numFmtId="9" fontId="14" fillId="3" borderId="19" xfId="1" applyFont="1" applyFill="1" applyBorder="1" applyAlignment="1" applyProtection="1">
      <alignment horizontal="center"/>
    </xf>
    <xf numFmtId="1" fontId="14" fillId="0" borderId="19" xfId="1" applyNumberFormat="1" applyFont="1" applyFill="1" applyBorder="1" applyAlignment="1" applyProtection="1">
      <alignment horizontal="center"/>
    </xf>
    <xf numFmtId="0" fontId="5" fillId="4" borderId="22" xfId="0" applyNumberFormat="1" applyFont="1" applyFill="1" applyBorder="1" applyAlignment="1" applyProtection="1">
      <alignment horizontal="left"/>
    </xf>
    <xf numFmtId="0" fontId="20" fillId="0" borderId="22" xfId="0" applyFont="1" applyFill="1" applyBorder="1" applyAlignment="1" applyProtection="1">
      <alignment wrapText="1"/>
    </xf>
    <xf numFmtId="0" fontId="12" fillId="0" borderId="22" xfId="0" applyFont="1" applyFill="1" applyBorder="1" applyAlignment="1" applyProtection="1">
      <alignment wrapText="1"/>
    </xf>
    <xf numFmtId="0" fontId="5" fillId="0" borderId="22" xfId="0" applyNumberFormat="1" applyFont="1" applyFill="1" applyBorder="1" applyAlignment="1" applyProtection="1">
      <alignment horizontal="left"/>
    </xf>
    <xf numFmtId="0" fontId="13" fillId="3" borderId="22" xfId="0" applyFont="1" applyFill="1" applyBorder="1" applyAlignment="1" applyProtection="1">
      <alignment horizontal="center" wrapText="1"/>
    </xf>
    <xf numFmtId="0" fontId="13" fillId="3" borderId="22" xfId="0" applyFont="1" applyFill="1" applyBorder="1" applyProtection="1"/>
    <xf numFmtId="14" fontId="14" fillId="3" borderId="22" xfId="0" applyNumberFormat="1" applyFont="1" applyFill="1" applyBorder="1" applyAlignment="1" applyProtection="1">
      <alignment horizontal="right"/>
    </xf>
    <xf numFmtId="14" fontId="2" fillId="3" borderId="22" xfId="0" applyNumberFormat="1" applyFont="1" applyFill="1" applyBorder="1" applyAlignment="1" applyProtection="1">
      <alignment horizontal="right"/>
    </xf>
    <xf numFmtId="1" fontId="14" fillId="0" borderId="22" xfId="0" applyNumberFormat="1" applyFont="1" applyFill="1" applyBorder="1" applyAlignment="1" applyProtection="1">
      <alignment horizontal="center"/>
    </xf>
    <xf numFmtId="9" fontId="14" fillId="0" borderId="22" xfId="1" applyFont="1" applyFill="1" applyBorder="1" applyAlignment="1" applyProtection="1">
      <alignment horizontal="center"/>
    </xf>
    <xf numFmtId="1" fontId="14" fillId="0" borderId="22" xfId="1" applyNumberFormat="1" applyFont="1" applyFill="1" applyBorder="1" applyAlignment="1" applyProtection="1">
      <alignment horizontal="center"/>
    </xf>
    <xf numFmtId="0" fontId="14" fillId="0" borderId="22" xfId="0" applyFont="1" applyFill="1" applyBorder="1" applyProtection="1"/>
    <xf numFmtId="0" fontId="24" fillId="0" borderId="2" xfId="0" applyNumberFormat="1" applyFont="1" applyFill="1" applyBorder="1" applyAlignment="1" applyProtection="1">
      <alignment horizontal="left"/>
    </xf>
    <xf numFmtId="0" fontId="7" fillId="0" borderId="10" xfId="0" applyNumberFormat="1" applyFont="1" applyFill="1" applyBorder="1" applyAlignment="1">
      <alignment horizontal="center" vertical="center"/>
    </xf>
    <xf numFmtId="0" fontId="11" fillId="0" borderId="11" xfId="0" applyNumberFormat="1" applyFont="1" applyFill="1" applyBorder="1" applyAlignment="1">
      <alignment horizontal="center" vertical="center"/>
    </xf>
    <xf numFmtId="0" fontId="11" fillId="0" borderId="12" xfId="0" applyNumberFormat="1" applyFont="1" applyFill="1" applyBorder="1" applyAlignment="1">
      <alignment horizontal="center" vertical="center"/>
    </xf>
    <xf numFmtId="165" fontId="7" fillId="0" borderId="6" xfId="0" applyNumberFormat="1" applyFont="1" applyBorder="1" applyAlignment="1">
      <alignment horizontal="center" vertical="center" textRotation="90"/>
    </xf>
    <xf numFmtId="165" fontId="7" fillId="0" borderId="0" xfId="0" applyNumberFormat="1" applyFont="1" applyBorder="1" applyAlignment="1">
      <alignment horizontal="center" vertical="center" textRotation="90"/>
    </xf>
    <xf numFmtId="165" fontId="7" fillId="0" borderId="7" xfId="0" applyNumberFormat="1" applyFont="1" applyBorder="1" applyAlignment="1">
      <alignment horizontal="center" vertical="center" textRotation="90"/>
    </xf>
    <xf numFmtId="164" fontId="9" fillId="0" borderId="8" xfId="0" applyNumberFormat="1" applyFont="1" applyBorder="1" applyAlignment="1">
      <alignment horizontal="center" vertical="center" textRotation="90"/>
    </xf>
    <xf numFmtId="164" fontId="9" fillId="0" borderId="5" xfId="0" applyNumberFormat="1" applyFont="1" applyBorder="1" applyAlignment="1">
      <alignment horizontal="center" vertical="center" textRotation="90"/>
    </xf>
    <xf numFmtId="164" fontId="9" fillId="0" borderId="9" xfId="0" applyNumberFormat="1" applyFont="1" applyBorder="1" applyAlignment="1">
      <alignment horizontal="center" vertical="center" textRotation="90"/>
    </xf>
    <xf numFmtId="0" fontId="1" fillId="0" borderId="0" xfId="0" applyFont="1" applyBorder="1" applyAlignment="1">
      <alignment horizontal="center" textRotation="90" wrapText="1"/>
    </xf>
    <xf numFmtId="0" fontId="1" fillId="0" borderId="3" xfId="0" applyFont="1" applyBorder="1" applyAlignment="1">
      <alignment horizontal="center" textRotation="90" wrapText="1"/>
    </xf>
    <xf numFmtId="165" fontId="11" fillId="0" borderId="0" xfId="0" applyNumberFormat="1" applyFont="1" applyBorder="1" applyAlignment="1">
      <alignment horizontal="center" vertical="center" textRotation="90"/>
    </xf>
    <xf numFmtId="165" fontId="11" fillId="0" borderId="7" xfId="0" applyNumberFormat="1" applyFont="1" applyBorder="1" applyAlignment="1">
      <alignment horizontal="center" vertical="center" textRotation="90"/>
    </xf>
    <xf numFmtId="0" fontId="0" fillId="0" borderId="0" xfId="0" applyBorder="1" applyAlignment="1">
      <alignment horizontal="center" textRotation="90"/>
    </xf>
    <xf numFmtId="0" fontId="0" fillId="0" borderId="0" xfId="0" applyAlignment="1"/>
    <xf numFmtId="0" fontId="0" fillId="0" borderId="3" xfId="0" applyBorder="1" applyAlignment="1"/>
  </cellXfs>
  <cellStyles count="2">
    <cellStyle name="Normal" xfId="0" builtinId="0"/>
    <cellStyle name="Percent" xfId="1" builtinId="5"/>
  </cellStyles>
  <dxfs count="9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theme="3" tint="0.39994506668294322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16" fmlaLink="$R$2" horiz="1" max="100" page="4" val="0"/>
</file>

<file path=xl/ctrlProps/ctrlProp2.xml><?xml version="1.0" encoding="utf-8"?>
<formControlPr xmlns="http://schemas.microsoft.com/office/spreadsheetml/2009/9/main" objectType="Scroll" dx="16" fmlaLink="$R$2" horiz="1" max="100" page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1</xdr:row>
          <xdr:rowOff>19050</xdr:rowOff>
        </xdr:from>
        <xdr:to>
          <xdr:col>13</xdr:col>
          <xdr:colOff>342900</xdr:colOff>
          <xdr:row>1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1</xdr:row>
          <xdr:rowOff>19050</xdr:rowOff>
        </xdr:from>
        <xdr:to>
          <xdr:col>13</xdr:col>
          <xdr:colOff>466725</xdr:colOff>
          <xdr:row>1</xdr:row>
          <xdr:rowOff>180975</xdr:rowOff>
        </xdr:to>
        <xdr:sp macro="" textlink="">
          <xdr:nvSpPr>
            <xdr:cNvPr id="5121" name="Scroll Bar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  <xdr:twoCellAnchor>
    <xdr:from>
      <xdr:col>1</xdr:col>
      <xdr:colOff>257175</xdr:colOff>
      <xdr:row>3</xdr:row>
      <xdr:rowOff>495300</xdr:rowOff>
    </xdr:from>
    <xdr:to>
      <xdr:col>15</xdr:col>
      <xdr:colOff>85725</xdr:colOff>
      <xdr:row>4</xdr:row>
      <xdr:rowOff>971550</xdr:rowOff>
    </xdr:to>
    <xdr:sp macro="" textlink="">
      <xdr:nvSpPr>
        <xdr:cNvPr id="2" name="TextBox 1"/>
        <xdr:cNvSpPr txBox="1"/>
      </xdr:nvSpPr>
      <xdr:spPr>
        <a:xfrm>
          <a:off x="762000" y="1200150"/>
          <a:ext cx="6496050" cy="1371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u="sng"/>
            <a:t>Flytta in projekt</a:t>
          </a:r>
          <a:r>
            <a:rPr lang="sv-SE" sz="1100" b="1" u="sng" baseline="0"/>
            <a:t> i GANT-Ongoint:</a:t>
          </a:r>
          <a:endParaRPr lang="sv-SE" sz="1100" b="1" u="sng"/>
        </a:p>
        <a:p>
          <a:r>
            <a:rPr lang="sv-SE" sz="1100"/>
            <a:t>1) K</a:t>
          </a:r>
          <a:r>
            <a:rPr lang="sv-SE" sz="1100" baseline="0"/>
            <a:t>opiera bara Col </a:t>
          </a:r>
          <a:r>
            <a:rPr lang="sv-SE" sz="1100" b="1" baseline="0"/>
            <a:t>A:R </a:t>
          </a:r>
        </a:p>
        <a:p>
          <a:r>
            <a:rPr lang="sv-SE" sz="1100" b="1" baseline="0"/>
            <a:t>2) Markera "S8:ADO80"</a:t>
          </a:r>
          <a:r>
            <a:rPr lang="sv-SE" sz="1100" b="0" baseline="0"/>
            <a:t> (macro Selectganttrange gör detObs S7 raden annorludna formaterad)</a:t>
          </a:r>
        </a:p>
        <a:p>
          <a:r>
            <a:rPr lang="sv-SE" sz="1100" b="0" baseline="0"/>
            <a:t>3) </a:t>
          </a:r>
        </a:p>
        <a:p>
          <a:endParaRPr lang="sv-SE" sz="1100" b="1" baseline="0"/>
        </a:p>
        <a:p>
          <a:endParaRPr lang="sv-SE" sz="1100" b="1" baseline="0"/>
        </a:p>
        <a:p>
          <a:endParaRPr lang="sv-SE" sz="1100" b="1" baseline="0"/>
        </a:p>
        <a:p>
          <a:endParaRPr lang="sv-SE" sz="1100" b="1" baseline="0"/>
        </a:p>
        <a:p>
          <a:endParaRPr lang="sv-SE" sz="1100" b="1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/BNJ 2015-05-05</a:t>
          </a:r>
          <a:endParaRPr lang="sv-SE">
            <a:effectLst/>
          </a:endParaRPr>
        </a:p>
        <a:p>
          <a:endParaRPr lang="sv-SE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240196</xdr:colOff>
      <xdr:row>5</xdr:row>
      <xdr:rowOff>157371</xdr:rowOff>
    </xdr:from>
    <xdr:to>
      <xdr:col>6</xdr:col>
      <xdr:colOff>66262</xdr:colOff>
      <xdr:row>7</xdr:row>
      <xdr:rowOff>49697</xdr:rowOff>
    </xdr:to>
    <xdr:sp macro="" textlink="">
      <xdr:nvSpPr>
        <xdr:cNvPr id="5" name="TextBox 4"/>
        <xdr:cNvSpPr txBox="1"/>
      </xdr:nvSpPr>
      <xdr:spPr>
        <a:xfrm>
          <a:off x="240196" y="1126436"/>
          <a:ext cx="3569805" cy="273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Samplanera med Underhåll/Maintenance: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215348</xdr:colOff>
      <xdr:row>0</xdr:row>
      <xdr:rowOff>115957</xdr:rowOff>
    </xdr:from>
    <xdr:to>
      <xdr:col>6</xdr:col>
      <xdr:colOff>41414</xdr:colOff>
      <xdr:row>2</xdr:row>
      <xdr:rowOff>0</xdr:rowOff>
    </xdr:to>
    <xdr:sp macro="" textlink="">
      <xdr:nvSpPr>
        <xdr:cNvPr id="7" name="TextBox 6"/>
        <xdr:cNvSpPr txBox="1"/>
      </xdr:nvSpPr>
      <xdr:spPr>
        <a:xfrm>
          <a:off x="215348" y="115957"/>
          <a:ext cx="3569805" cy="273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Översätta veckor till datum: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107674</xdr:colOff>
      <xdr:row>9</xdr:row>
      <xdr:rowOff>91111</xdr:rowOff>
    </xdr:from>
    <xdr:to>
      <xdr:col>5</xdr:col>
      <xdr:colOff>546653</xdr:colOff>
      <xdr:row>10</xdr:row>
      <xdr:rowOff>173937</xdr:rowOff>
    </xdr:to>
    <xdr:sp macro="" textlink="">
      <xdr:nvSpPr>
        <xdr:cNvPr id="9" name="TextBox 8"/>
        <xdr:cNvSpPr txBox="1"/>
      </xdr:nvSpPr>
      <xdr:spPr>
        <a:xfrm>
          <a:off x="107674" y="1822176"/>
          <a:ext cx="3569805" cy="273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Översiktsvy Maintenance och Proj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FD32"/>
  <sheetViews>
    <sheetView tabSelected="1" zoomScale="115" zoomScaleNormal="115" workbookViewId="0">
      <pane xSplit="18" ySplit="6" topLeftCell="S24" activePane="bottomRight" state="frozen"/>
      <selection pane="topRight" activeCell="R1" sqref="R1"/>
      <selection pane="bottomLeft" activeCell="A7" sqref="A7"/>
      <selection pane="bottomRight" activeCell="G29" sqref="G29"/>
    </sheetView>
  </sheetViews>
  <sheetFormatPr defaultColWidth="0.42578125" defaultRowHeight="15" outlineLevelCol="1" x14ac:dyDescent="0.25"/>
  <cols>
    <col min="1" max="1" width="7.5703125" style="1" customWidth="1"/>
    <col min="2" max="2" width="5.7109375" style="1" customWidth="1"/>
    <col min="3" max="3" width="19.140625" customWidth="1"/>
    <col min="4" max="4" width="5.28515625" customWidth="1" outlineLevel="1"/>
    <col min="5" max="5" width="5.140625" customWidth="1" outlineLevel="1"/>
    <col min="6" max="6" width="5.7109375" customWidth="1" outlineLevel="1"/>
    <col min="7" max="7" width="9.28515625" style="1" customWidth="1" outlineLevel="1"/>
    <col min="8" max="8" width="8" style="101" customWidth="1"/>
    <col min="9" max="9" width="3.85546875" customWidth="1"/>
    <col min="10" max="10" width="9.85546875" customWidth="1" outlineLevel="1"/>
    <col min="11" max="11" width="9" customWidth="1" outlineLevel="1"/>
    <col min="12" max="12" width="5.42578125" bestFit="1" customWidth="1" outlineLevel="1"/>
    <col min="13" max="13" width="3.7109375" customWidth="1"/>
    <col min="14" max="14" width="5.28515625" customWidth="1"/>
    <col min="15" max="15" width="4.42578125" customWidth="1"/>
    <col min="16" max="16" width="4.140625" customWidth="1"/>
    <col min="17" max="17" width="4.85546875" customWidth="1"/>
    <col min="18" max="18" width="5.140625" bestFit="1" customWidth="1"/>
    <col min="19" max="234" width="0.42578125" customWidth="1"/>
    <col min="235" max="478" width="0.42578125" style="1" customWidth="1"/>
    <col min="479" max="16384" width="0.42578125" style="1"/>
  </cols>
  <sheetData>
    <row r="1" spans="1:795" ht="23.25" x14ac:dyDescent="0.25">
      <c r="A1" s="45" t="s">
        <v>68</v>
      </c>
      <c r="B1" s="45"/>
      <c r="C1" s="44"/>
      <c r="D1" s="44"/>
      <c r="E1" s="44"/>
      <c r="F1" s="44"/>
      <c r="G1" s="45"/>
      <c r="H1" s="99"/>
      <c r="I1" s="46"/>
      <c r="J1" s="47"/>
      <c r="K1" s="47"/>
      <c r="L1" s="48"/>
      <c r="M1" s="48"/>
      <c r="N1" s="49"/>
      <c r="O1" s="49"/>
      <c r="P1" s="49"/>
    </row>
    <row r="2" spans="1:795" customFormat="1" x14ac:dyDescent="0.25">
      <c r="A2" s="37" t="s">
        <v>0</v>
      </c>
      <c r="B2" s="37"/>
      <c r="C2" s="50">
        <v>42005</v>
      </c>
      <c r="D2" s="50"/>
      <c r="E2" s="38"/>
      <c r="F2" s="38"/>
      <c r="G2" s="38"/>
      <c r="H2" s="100"/>
      <c r="I2" s="38"/>
      <c r="J2" s="3" t="str">
        <f>TEXT(C2,"dddd")</f>
        <v>torsdag</v>
      </c>
      <c r="N2" s="4"/>
      <c r="P2" s="5" t="s">
        <v>14</v>
      </c>
      <c r="Q2" s="6"/>
      <c r="R2" s="55">
        <v>0</v>
      </c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1:795" s="13" customFormat="1" ht="17.25" customHeight="1" x14ac:dyDescent="0.25">
      <c r="A3" s="2" t="s">
        <v>12</v>
      </c>
      <c r="B3" s="2"/>
      <c r="C3" s="51">
        <f ca="1">TODAY()</f>
        <v>42354</v>
      </c>
      <c r="D3" s="51"/>
      <c r="E3"/>
      <c r="F3"/>
      <c r="G3"/>
      <c r="H3" s="101"/>
      <c r="I3"/>
      <c r="J3" s="43" t="str">
        <f ca="1">TEXT(C3,"dddd")</f>
        <v>onsdag</v>
      </c>
      <c r="K3" s="8"/>
      <c r="L3" s="9"/>
      <c r="M3" s="9"/>
      <c r="N3" s="10"/>
      <c r="O3" s="10"/>
      <c r="P3" s="10"/>
      <c r="Q3" s="11" t="s">
        <v>1</v>
      </c>
      <c r="R3" s="12">
        <v>2</v>
      </c>
      <c r="S3" s="60">
        <f>(C2-WEEKDAY(C2,1)+R3)+7*R2</f>
        <v>42002</v>
      </c>
      <c r="T3" s="61">
        <f t="shared" ref="T3:CE3" si="0">S3+1</f>
        <v>42003</v>
      </c>
      <c r="U3" s="61">
        <f t="shared" si="0"/>
        <v>42004</v>
      </c>
      <c r="V3" s="61">
        <f t="shared" si="0"/>
        <v>42005</v>
      </c>
      <c r="W3" s="61">
        <f t="shared" si="0"/>
        <v>42006</v>
      </c>
      <c r="X3" s="61">
        <f t="shared" si="0"/>
        <v>42007</v>
      </c>
      <c r="Y3" s="61">
        <f t="shared" si="0"/>
        <v>42008</v>
      </c>
      <c r="Z3" s="61">
        <f t="shared" si="0"/>
        <v>42009</v>
      </c>
      <c r="AA3" s="61">
        <f t="shared" si="0"/>
        <v>42010</v>
      </c>
      <c r="AB3" s="61">
        <f t="shared" si="0"/>
        <v>42011</v>
      </c>
      <c r="AC3" s="61">
        <f t="shared" si="0"/>
        <v>42012</v>
      </c>
      <c r="AD3" s="61">
        <f t="shared" si="0"/>
        <v>42013</v>
      </c>
      <c r="AE3" s="61">
        <f t="shared" si="0"/>
        <v>42014</v>
      </c>
      <c r="AF3" s="61">
        <f t="shared" si="0"/>
        <v>42015</v>
      </c>
      <c r="AG3" s="61">
        <f t="shared" si="0"/>
        <v>42016</v>
      </c>
      <c r="AH3" s="61">
        <f t="shared" si="0"/>
        <v>42017</v>
      </c>
      <c r="AI3" s="61">
        <f t="shared" si="0"/>
        <v>42018</v>
      </c>
      <c r="AJ3" s="61">
        <f t="shared" si="0"/>
        <v>42019</v>
      </c>
      <c r="AK3" s="61">
        <f t="shared" si="0"/>
        <v>42020</v>
      </c>
      <c r="AL3" s="61">
        <f t="shared" si="0"/>
        <v>42021</v>
      </c>
      <c r="AM3" s="61">
        <f t="shared" si="0"/>
        <v>42022</v>
      </c>
      <c r="AN3" s="61">
        <f t="shared" si="0"/>
        <v>42023</v>
      </c>
      <c r="AO3" s="61">
        <f t="shared" si="0"/>
        <v>42024</v>
      </c>
      <c r="AP3" s="61">
        <f t="shared" si="0"/>
        <v>42025</v>
      </c>
      <c r="AQ3" s="61">
        <f t="shared" si="0"/>
        <v>42026</v>
      </c>
      <c r="AR3" s="61">
        <f t="shared" si="0"/>
        <v>42027</v>
      </c>
      <c r="AS3" s="61">
        <f t="shared" si="0"/>
        <v>42028</v>
      </c>
      <c r="AT3" s="61">
        <f t="shared" si="0"/>
        <v>42029</v>
      </c>
      <c r="AU3" s="61">
        <f t="shared" si="0"/>
        <v>42030</v>
      </c>
      <c r="AV3" s="61">
        <f t="shared" si="0"/>
        <v>42031</v>
      </c>
      <c r="AW3" s="61">
        <f t="shared" si="0"/>
        <v>42032</v>
      </c>
      <c r="AX3" s="61">
        <f t="shared" si="0"/>
        <v>42033</v>
      </c>
      <c r="AY3" s="61">
        <f t="shared" si="0"/>
        <v>42034</v>
      </c>
      <c r="AZ3" s="61">
        <f t="shared" si="0"/>
        <v>42035</v>
      </c>
      <c r="BA3" s="61">
        <f t="shared" si="0"/>
        <v>42036</v>
      </c>
      <c r="BB3" s="61">
        <f t="shared" si="0"/>
        <v>42037</v>
      </c>
      <c r="BC3" s="61">
        <f t="shared" si="0"/>
        <v>42038</v>
      </c>
      <c r="BD3" s="61">
        <f t="shared" si="0"/>
        <v>42039</v>
      </c>
      <c r="BE3" s="61">
        <f t="shared" si="0"/>
        <v>42040</v>
      </c>
      <c r="BF3" s="61">
        <f t="shared" si="0"/>
        <v>42041</v>
      </c>
      <c r="BG3" s="61">
        <f t="shared" si="0"/>
        <v>42042</v>
      </c>
      <c r="BH3" s="61">
        <f t="shared" si="0"/>
        <v>42043</v>
      </c>
      <c r="BI3" s="61">
        <f t="shared" si="0"/>
        <v>42044</v>
      </c>
      <c r="BJ3" s="61">
        <f t="shared" si="0"/>
        <v>42045</v>
      </c>
      <c r="BK3" s="61">
        <f t="shared" si="0"/>
        <v>42046</v>
      </c>
      <c r="BL3" s="61">
        <f t="shared" si="0"/>
        <v>42047</v>
      </c>
      <c r="BM3" s="61">
        <f t="shared" si="0"/>
        <v>42048</v>
      </c>
      <c r="BN3" s="61">
        <f t="shared" si="0"/>
        <v>42049</v>
      </c>
      <c r="BO3" s="61">
        <f t="shared" si="0"/>
        <v>42050</v>
      </c>
      <c r="BP3" s="61">
        <f t="shared" si="0"/>
        <v>42051</v>
      </c>
      <c r="BQ3" s="61">
        <f t="shared" si="0"/>
        <v>42052</v>
      </c>
      <c r="BR3" s="61">
        <f t="shared" si="0"/>
        <v>42053</v>
      </c>
      <c r="BS3" s="61">
        <f t="shared" si="0"/>
        <v>42054</v>
      </c>
      <c r="BT3" s="61">
        <f t="shared" si="0"/>
        <v>42055</v>
      </c>
      <c r="BU3" s="61">
        <f t="shared" si="0"/>
        <v>42056</v>
      </c>
      <c r="BV3" s="61">
        <f t="shared" si="0"/>
        <v>42057</v>
      </c>
      <c r="BW3" s="61">
        <f t="shared" si="0"/>
        <v>42058</v>
      </c>
      <c r="BX3" s="61">
        <f t="shared" si="0"/>
        <v>42059</v>
      </c>
      <c r="BY3" s="61">
        <f t="shared" si="0"/>
        <v>42060</v>
      </c>
      <c r="BZ3" s="61">
        <f t="shared" si="0"/>
        <v>42061</v>
      </c>
      <c r="CA3" s="61">
        <f t="shared" si="0"/>
        <v>42062</v>
      </c>
      <c r="CB3" s="61">
        <f t="shared" si="0"/>
        <v>42063</v>
      </c>
      <c r="CC3" s="61">
        <f t="shared" si="0"/>
        <v>42064</v>
      </c>
      <c r="CD3" s="61">
        <f t="shared" si="0"/>
        <v>42065</v>
      </c>
      <c r="CE3" s="61">
        <f t="shared" si="0"/>
        <v>42066</v>
      </c>
      <c r="CF3" s="61">
        <f t="shared" ref="CF3:EQ3" si="1">CE3+1</f>
        <v>42067</v>
      </c>
      <c r="CG3" s="61">
        <f t="shared" si="1"/>
        <v>42068</v>
      </c>
      <c r="CH3" s="61">
        <f t="shared" si="1"/>
        <v>42069</v>
      </c>
      <c r="CI3" s="61">
        <f t="shared" si="1"/>
        <v>42070</v>
      </c>
      <c r="CJ3" s="61">
        <f t="shared" si="1"/>
        <v>42071</v>
      </c>
      <c r="CK3" s="61">
        <f t="shared" si="1"/>
        <v>42072</v>
      </c>
      <c r="CL3" s="61">
        <f t="shared" si="1"/>
        <v>42073</v>
      </c>
      <c r="CM3" s="61">
        <f t="shared" si="1"/>
        <v>42074</v>
      </c>
      <c r="CN3" s="61">
        <f t="shared" si="1"/>
        <v>42075</v>
      </c>
      <c r="CO3" s="61">
        <f t="shared" si="1"/>
        <v>42076</v>
      </c>
      <c r="CP3" s="61">
        <f t="shared" si="1"/>
        <v>42077</v>
      </c>
      <c r="CQ3" s="61">
        <f t="shared" si="1"/>
        <v>42078</v>
      </c>
      <c r="CR3" s="61">
        <f t="shared" si="1"/>
        <v>42079</v>
      </c>
      <c r="CS3" s="61">
        <f t="shared" si="1"/>
        <v>42080</v>
      </c>
      <c r="CT3" s="61">
        <f t="shared" si="1"/>
        <v>42081</v>
      </c>
      <c r="CU3" s="61">
        <f t="shared" si="1"/>
        <v>42082</v>
      </c>
      <c r="CV3" s="61">
        <f t="shared" si="1"/>
        <v>42083</v>
      </c>
      <c r="CW3" s="61">
        <f t="shared" si="1"/>
        <v>42084</v>
      </c>
      <c r="CX3" s="61">
        <f t="shared" si="1"/>
        <v>42085</v>
      </c>
      <c r="CY3" s="61">
        <f t="shared" si="1"/>
        <v>42086</v>
      </c>
      <c r="CZ3" s="61">
        <f t="shared" si="1"/>
        <v>42087</v>
      </c>
      <c r="DA3" s="61">
        <f t="shared" si="1"/>
        <v>42088</v>
      </c>
      <c r="DB3" s="61">
        <f t="shared" si="1"/>
        <v>42089</v>
      </c>
      <c r="DC3" s="61">
        <f t="shared" si="1"/>
        <v>42090</v>
      </c>
      <c r="DD3" s="61">
        <f t="shared" si="1"/>
        <v>42091</v>
      </c>
      <c r="DE3" s="61">
        <f t="shared" si="1"/>
        <v>42092</v>
      </c>
      <c r="DF3" s="61">
        <f t="shared" si="1"/>
        <v>42093</v>
      </c>
      <c r="DG3" s="61">
        <f t="shared" si="1"/>
        <v>42094</v>
      </c>
      <c r="DH3" s="61">
        <f t="shared" si="1"/>
        <v>42095</v>
      </c>
      <c r="DI3" s="61">
        <f t="shared" si="1"/>
        <v>42096</v>
      </c>
      <c r="DJ3" s="61">
        <f t="shared" si="1"/>
        <v>42097</v>
      </c>
      <c r="DK3" s="61">
        <f t="shared" si="1"/>
        <v>42098</v>
      </c>
      <c r="DL3" s="61">
        <f t="shared" si="1"/>
        <v>42099</v>
      </c>
      <c r="DM3" s="61">
        <f t="shared" si="1"/>
        <v>42100</v>
      </c>
      <c r="DN3" s="61">
        <f t="shared" si="1"/>
        <v>42101</v>
      </c>
      <c r="DO3" s="61">
        <f t="shared" si="1"/>
        <v>42102</v>
      </c>
      <c r="DP3" s="61">
        <f t="shared" si="1"/>
        <v>42103</v>
      </c>
      <c r="DQ3" s="61">
        <f t="shared" si="1"/>
        <v>42104</v>
      </c>
      <c r="DR3" s="61">
        <f t="shared" si="1"/>
        <v>42105</v>
      </c>
      <c r="DS3" s="61">
        <f t="shared" si="1"/>
        <v>42106</v>
      </c>
      <c r="DT3" s="61">
        <f t="shared" si="1"/>
        <v>42107</v>
      </c>
      <c r="DU3" s="61">
        <f t="shared" si="1"/>
        <v>42108</v>
      </c>
      <c r="DV3" s="61">
        <f t="shared" si="1"/>
        <v>42109</v>
      </c>
      <c r="DW3" s="61">
        <f t="shared" si="1"/>
        <v>42110</v>
      </c>
      <c r="DX3" s="61">
        <f t="shared" si="1"/>
        <v>42111</v>
      </c>
      <c r="DY3" s="61">
        <f t="shared" si="1"/>
        <v>42112</v>
      </c>
      <c r="DZ3" s="61">
        <f t="shared" si="1"/>
        <v>42113</v>
      </c>
      <c r="EA3" s="61">
        <f t="shared" si="1"/>
        <v>42114</v>
      </c>
      <c r="EB3" s="61">
        <f t="shared" si="1"/>
        <v>42115</v>
      </c>
      <c r="EC3" s="61">
        <f t="shared" si="1"/>
        <v>42116</v>
      </c>
      <c r="ED3" s="61">
        <f t="shared" si="1"/>
        <v>42117</v>
      </c>
      <c r="EE3" s="61">
        <f t="shared" si="1"/>
        <v>42118</v>
      </c>
      <c r="EF3" s="61">
        <f t="shared" si="1"/>
        <v>42119</v>
      </c>
      <c r="EG3" s="61">
        <f t="shared" si="1"/>
        <v>42120</v>
      </c>
      <c r="EH3" s="61">
        <f t="shared" si="1"/>
        <v>42121</v>
      </c>
      <c r="EI3" s="61">
        <f t="shared" si="1"/>
        <v>42122</v>
      </c>
      <c r="EJ3" s="61">
        <f t="shared" si="1"/>
        <v>42123</v>
      </c>
      <c r="EK3" s="61">
        <f t="shared" si="1"/>
        <v>42124</v>
      </c>
      <c r="EL3" s="61">
        <f t="shared" si="1"/>
        <v>42125</v>
      </c>
      <c r="EM3" s="61">
        <f t="shared" si="1"/>
        <v>42126</v>
      </c>
      <c r="EN3" s="61">
        <f t="shared" si="1"/>
        <v>42127</v>
      </c>
      <c r="EO3" s="61">
        <f t="shared" si="1"/>
        <v>42128</v>
      </c>
      <c r="EP3" s="61">
        <f t="shared" si="1"/>
        <v>42129</v>
      </c>
      <c r="EQ3" s="61">
        <f t="shared" si="1"/>
        <v>42130</v>
      </c>
      <c r="ER3" s="61">
        <f t="shared" ref="ER3:HC3" si="2">EQ3+1</f>
        <v>42131</v>
      </c>
      <c r="ES3" s="61">
        <f t="shared" si="2"/>
        <v>42132</v>
      </c>
      <c r="ET3" s="61">
        <f t="shared" si="2"/>
        <v>42133</v>
      </c>
      <c r="EU3" s="61">
        <f t="shared" si="2"/>
        <v>42134</v>
      </c>
      <c r="EV3" s="61">
        <f t="shared" si="2"/>
        <v>42135</v>
      </c>
      <c r="EW3" s="61">
        <f t="shared" si="2"/>
        <v>42136</v>
      </c>
      <c r="EX3" s="61">
        <f t="shared" si="2"/>
        <v>42137</v>
      </c>
      <c r="EY3" s="61">
        <f t="shared" si="2"/>
        <v>42138</v>
      </c>
      <c r="EZ3" s="61">
        <f t="shared" si="2"/>
        <v>42139</v>
      </c>
      <c r="FA3" s="61">
        <f t="shared" si="2"/>
        <v>42140</v>
      </c>
      <c r="FB3" s="61">
        <f t="shared" si="2"/>
        <v>42141</v>
      </c>
      <c r="FC3" s="61">
        <f t="shared" si="2"/>
        <v>42142</v>
      </c>
      <c r="FD3" s="61">
        <f t="shared" si="2"/>
        <v>42143</v>
      </c>
      <c r="FE3" s="61">
        <f t="shared" si="2"/>
        <v>42144</v>
      </c>
      <c r="FF3" s="61">
        <f t="shared" si="2"/>
        <v>42145</v>
      </c>
      <c r="FG3" s="61">
        <f t="shared" si="2"/>
        <v>42146</v>
      </c>
      <c r="FH3" s="61">
        <f t="shared" si="2"/>
        <v>42147</v>
      </c>
      <c r="FI3" s="61">
        <f t="shared" si="2"/>
        <v>42148</v>
      </c>
      <c r="FJ3" s="61">
        <f t="shared" si="2"/>
        <v>42149</v>
      </c>
      <c r="FK3" s="61">
        <f t="shared" si="2"/>
        <v>42150</v>
      </c>
      <c r="FL3" s="61">
        <f t="shared" si="2"/>
        <v>42151</v>
      </c>
      <c r="FM3" s="61">
        <f t="shared" si="2"/>
        <v>42152</v>
      </c>
      <c r="FN3" s="61">
        <f t="shared" si="2"/>
        <v>42153</v>
      </c>
      <c r="FO3" s="61">
        <f t="shared" si="2"/>
        <v>42154</v>
      </c>
      <c r="FP3" s="61">
        <f t="shared" si="2"/>
        <v>42155</v>
      </c>
      <c r="FQ3" s="61">
        <f t="shared" si="2"/>
        <v>42156</v>
      </c>
      <c r="FR3" s="61">
        <f t="shared" si="2"/>
        <v>42157</v>
      </c>
      <c r="FS3" s="61">
        <f t="shared" si="2"/>
        <v>42158</v>
      </c>
      <c r="FT3" s="61">
        <f t="shared" si="2"/>
        <v>42159</v>
      </c>
      <c r="FU3" s="61">
        <f t="shared" si="2"/>
        <v>42160</v>
      </c>
      <c r="FV3" s="61">
        <f t="shared" si="2"/>
        <v>42161</v>
      </c>
      <c r="FW3" s="61">
        <f t="shared" si="2"/>
        <v>42162</v>
      </c>
      <c r="FX3" s="61">
        <f t="shared" si="2"/>
        <v>42163</v>
      </c>
      <c r="FY3" s="61">
        <f t="shared" si="2"/>
        <v>42164</v>
      </c>
      <c r="FZ3" s="61">
        <f t="shared" si="2"/>
        <v>42165</v>
      </c>
      <c r="GA3" s="61">
        <f t="shared" si="2"/>
        <v>42166</v>
      </c>
      <c r="GB3" s="61">
        <f t="shared" si="2"/>
        <v>42167</v>
      </c>
      <c r="GC3" s="61">
        <f t="shared" si="2"/>
        <v>42168</v>
      </c>
      <c r="GD3" s="61">
        <f t="shared" si="2"/>
        <v>42169</v>
      </c>
      <c r="GE3" s="61">
        <f t="shared" si="2"/>
        <v>42170</v>
      </c>
      <c r="GF3" s="61">
        <f t="shared" si="2"/>
        <v>42171</v>
      </c>
      <c r="GG3" s="61">
        <f t="shared" si="2"/>
        <v>42172</v>
      </c>
      <c r="GH3" s="61">
        <f t="shared" si="2"/>
        <v>42173</v>
      </c>
      <c r="GI3" s="61">
        <f t="shared" si="2"/>
        <v>42174</v>
      </c>
      <c r="GJ3" s="61">
        <f t="shared" si="2"/>
        <v>42175</v>
      </c>
      <c r="GK3" s="61">
        <f t="shared" si="2"/>
        <v>42176</v>
      </c>
      <c r="GL3" s="61">
        <f t="shared" si="2"/>
        <v>42177</v>
      </c>
      <c r="GM3" s="61">
        <f t="shared" si="2"/>
        <v>42178</v>
      </c>
      <c r="GN3" s="61">
        <f t="shared" si="2"/>
        <v>42179</v>
      </c>
      <c r="GO3" s="61">
        <f t="shared" si="2"/>
        <v>42180</v>
      </c>
      <c r="GP3" s="61">
        <f t="shared" si="2"/>
        <v>42181</v>
      </c>
      <c r="GQ3" s="61">
        <f t="shared" si="2"/>
        <v>42182</v>
      </c>
      <c r="GR3" s="61">
        <f t="shared" si="2"/>
        <v>42183</v>
      </c>
      <c r="GS3" s="61">
        <f t="shared" si="2"/>
        <v>42184</v>
      </c>
      <c r="GT3" s="61">
        <f t="shared" si="2"/>
        <v>42185</v>
      </c>
      <c r="GU3" s="61">
        <f t="shared" si="2"/>
        <v>42186</v>
      </c>
      <c r="GV3" s="61">
        <f t="shared" si="2"/>
        <v>42187</v>
      </c>
      <c r="GW3" s="61">
        <f t="shared" si="2"/>
        <v>42188</v>
      </c>
      <c r="GX3" s="61">
        <f t="shared" si="2"/>
        <v>42189</v>
      </c>
      <c r="GY3" s="61">
        <f t="shared" si="2"/>
        <v>42190</v>
      </c>
      <c r="GZ3" s="61">
        <f t="shared" si="2"/>
        <v>42191</v>
      </c>
      <c r="HA3" s="61">
        <f t="shared" si="2"/>
        <v>42192</v>
      </c>
      <c r="HB3" s="61">
        <f t="shared" si="2"/>
        <v>42193</v>
      </c>
      <c r="HC3" s="61">
        <f t="shared" si="2"/>
        <v>42194</v>
      </c>
      <c r="HD3" s="61">
        <f t="shared" ref="HD3:JC3" si="3">HC3+1</f>
        <v>42195</v>
      </c>
      <c r="HE3" s="61">
        <f t="shared" si="3"/>
        <v>42196</v>
      </c>
      <c r="HF3" s="61">
        <f t="shared" si="3"/>
        <v>42197</v>
      </c>
      <c r="HG3" s="61">
        <f t="shared" si="3"/>
        <v>42198</v>
      </c>
      <c r="HH3" s="61">
        <f t="shared" si="3"/>
        <v>42199</v>
      </c>
      <c r="HI3" s="61">
        <f t="shared" si="3"/>
        <v>42200</v>
      </c>
      <c r="HJ3" s="61">
        <f t="shared" si="3"/>
        <v>42201</v>
      </c>
      <c r="HK3" s="61">
        <f t="shared" si="3"/>
        <v>42202</v>
      </c>
      <c r="HL3" s="61">
        <f t="shared" si="3"/>
        <v>42203</v>
      </c>
      <c r="HM3" s="61">
        <f t="shared" si="3"/>
        <v>42204</v>
      </c>
      <c r="HN3" s="61">
        <f t="shared" si="3"/>
        <v>42205</v>
      </c>
      <c r="HO3" s="61">
        <f t="shared" si="3"/>
        <v>42206</v>
      </c>
      <c r="HP3" s="61">
        <f t="shared" si="3"/>
        <v>42207</v>
      </c>
      <c r="HQ3" s="61">
        <f t="shared" si="3"/>
        <v>42208</v>
      </c>
      <c r="HR3" s="61">
        <f t="shared" si="3"/>
        <v>42209</v>
      </c>
      <c r="HS3" s="61">
        <f t="shared" si="3"/>
        <v>42210</v>
      </c>
      <c r="HT3" s="61">
        <f t="shared" si="3"/>
        <v>42211</v>
      </c>
      <c r="HU3" s="61">
        <f t="shared" si="3"/>
        <v>42212</v>
      </c>
      <c r="HV3" s="61">
        <f t="shared" si="3"/>
        <v>42213</v>
      </c>
      <c r="HW3" s="61">
        <f t="shared" si="3"/>
        <v>42214</v>
      </c>
      <c r="HX3" s="61">
        <f t="shared" si="3"/>
        <v>42215</v>
      </c>
      <c r="HY3" s="61">
        <f t="shared" si="3"/>
        <v>42216</v>
      </c>
      <c r="HZ3" s="61">
        <f t="shared" si="3"/>
        <v>42217</v>
      </c>
      <c r="IA3" s="61">
        <f t="shared" si="3"/>
        <v>42218</v>
      </c>
      <c r="IB3" s="61">
        <f t="shared" si="3"/>
        <v>42219</v>
      </c>
      <c r="IC3" s="61">
        <f t="shared" si="3"/>
        <v>42220</v>
      </c>
      <c r="ID3" s="61">
        <f t="shared" si="3"/>
        <v>42221</v>
      </c>
      <c r="IE3" s="61">
        <f t="shared" si="3"/>
        <v>42222</v>
      </c>
      <c r="IF3" s="61">
        <f t="shared" si="3"/>
        <v>42223</v>
      </c>
      <c r="IG3" s="61">
        <f t="shared" si="3"/>
        <v>42224</v>
      </c>
      <c r="IH3" s="61">
        <f t="shared" si="3"/>
        <v>42225</v>
      </c>
      <c r="II3" s="61">
        <f t="shared" si="3"/>
        <v>42226</v>
      </c>
      <c r="IJ3" s="61">
        <f t="shared" si="3"/>
        <v>42227</v>
      </c>
      <c r="IK3" s="61">
        <f t="shared" si="3"/>
        <v>42228</v>
      </c>
      <c r="IL3" s="61">
        <f t="shared" si="3"/>
        <v>42229</v>
      </c>
      <c r="IM3" s="61">
        <f t="shared" si="3"/>
        <v>42230</v>
      </c>
      <c r="IN3" s="61">
        <f t="shared" si="3"/>
        <v>42231</v>
      </c>
      <c r="IO3" s="61">
        <f t="shared" si="3"/>
        <v>42232</v>
      </c>
      <c r="IP3" s="61">
        <f t="shared" si="3"/>
        <v>42233</v>
      </c>
      <c r="IQ3" s="61">
        <f t="shared" si="3"/>
        <v>42234</v>
      </c>
      <c r="IR3" s="61">
        <f t="shared" si="3"/>
        <v>42235</v>
      </c>
      <c r="IS3" s="61">
        <f t="shared" si="3"/>
        <v>42236</v>
      </c>
      <c r="IT3" s="61">
        <f t="shared" si="3"/>
        <v>42237</v>
      </c>
      <c r="IU3" s="61">
        <f t="shared" si="3"/>
        <v>42238</v>
      </c>
      <c r="IV3" s="61">
        <f t="shared" si="3"/>
        <v>42239</v>
      </c>
      <c r="IW3" s="61">
        <f t="shared" si="3"/>
        <v>42240</v>
      </c>
      <c r="IX3" s="61">
        <f t="shared" si="3"/>
        <v>42241</v>
      </c>
      <c r="IY3" s="61">
        <f t="shared" si="3"/>
        <v>42242</v>
      </c>
      <c r="IZ3" s="61">
        <f t="shared" si="3"/>
        <v>42243</v>
      </c>
      <c r="JA3" s="61">
        <f t="shared" si="3"/>
        <v>42244</v>
      </c>
      <c r="JB3" s="61">
        <f t="shared" si="3"/>
        <v>42245</v>
      </c>
      <c r="JC3" s="61">
        <f t="shared" si="3"/>
        <v>42246</v>
      </c>
      <c r="JD3" s="61">
        <f t="shared" ref="JD3" si="4">JC3+1</f>
        <v>42247</v>
      </c>
      <c r="JE3" s="61">
        <f t="shared" ref="JE3" si="5">JD3+1</f>
        <v>42248</v>
      </c>
      <c r="JF3" s="61">
        <f t="shared" ref="JF3" si="6">JE3+1</f>
        <v>42249</v>
      </c>
      <c r="JG3" s="61">
        <f t="shared" ref="JG3" si="7">JF3+1</f>
        <v>42250</v>
      </c>
      <c r="JH3" s="61">
        <f t="shared" ref="JH3" si="8">JG3+1</f>
        <v>42251</v>
      </c>
      <c r="JI3" s="61">
        <f t="shared" ref="JI3" si="9">JH3+1</f>
        <v>42252</v>
      </c>
      <c r="JJ3" s="61">
        <f t="shared" ref="JJ3" si="10">JI3+1</f>
        <v>42253</v>
      </c>
      <c r="JK3" s="61">
        <f t="shared" ref="JK3" si="11">JJ3+1</f>
        <v>42254</v>
      </c>
      <c r="JL3" s="61">
        <f t="shared" ref="JL3" si="12">JK3+1</f>
        <v>42255</v>
      </c>
      <c r="JM3" s="61">
        <f t="shared" ref="JM3" si="13">JL3+1</f>
        <v>42256</v>
      </c>
      <c r="JN3" s="61">
        <f t="shared" ref="JN3" si="14">JM3+1</f>
        <v>42257</v>
      </c>
      <c r="JO3" s="61">
        <f t="shared" ref="JO3" si="15">JN3+1</f>
        <v>42258</v>
      </c>
      <c r="JP3" s="61">
        <f t="shared" ref="JP3" si="16">JO3+1</f>
        <v>42259</v>
      </c>
      <c r="JQ3" s="61">
        <f t="shared" ref="JQ3" si="17">JP3+1</f>
        <v>42260</v>
      </c>
      <c r="JR3" s="61">
        <f t="shared" ref="JR3" si="18">JQ3+1</f>
        <v>42261</v>
      </c>
      <c r="JS3" s="61">
        <f t="shared" ref="JS3" si="19">JR3+1</f>
        <v>42262</v>
      </c>
      <c r="JT3" s="61">
        <f t="shared" ref="JT3" si="20">JS3+1</f>
        <v>42263</v>
      </c>
      <c r="JU3" s="61">
        <f t="shared" ref="JU3" si="21">JT3+1</f>
        <v>42264</v>
      </c>
      <c r="JV3" s="61">
        <f t="shared" ref="JV3" si="22">JU3+1</f>
        <v>42265</v>
      </c>
      <c r="JW3" s="61">
        <f t="shared" ref="JW3" si="23">JV3+1</f>
        <v>42266</v>
      </c>
      <c r="JX3" s="61">
        <f t="shared" ref="JX3" si="24">JW3+1</f>
        <v>42267</v>
      </c>
      <c r="JY3" s="61">
        <f t="shared" ref="JY3" si="25">JX3+1</f>
        <v>42268</v>
      </c>
      <c r="JZ3" s="61">
        <f t="shared" ref="JZ3" si="26">JY3+1</f>
        <v>42269</v>
      </c>
      <c r="KA3" s="61">
        <f t="shared" ref="KA3" si="27">JZ3+1</f>
        <v>42270</v>
      </c>
      <c r="KB3" s="61">
        <f t="shared" ref="KB3" si="28">KA3+1</f>
        <v>42271</v>
      </c>
      <c r="KC3" s="61">
        <f t="shared" ref="KC3" si="29">KB3+1</f>
        <v>42272</v>
      </c>
      <c r="KD3" s="61">
        <f t="shared" ref="KD3" si="30">KC3+1</f>
        <v>42273</v>
      </c>
      <c r="KE3" s="61">
        <f t="shared" ref="KE3" si="31">KD3+1</f>
        <v>42274</v>
      </c>
      <c r="KF3" s="61">
        <f t="shared" ref="KF3" si="32">KE3+1</f>
        <v>42275</v>
      </c>
      <c r="KG3" s="61">
        <f t="shared" ref="KG3" si="33">KF3+1</f>
        <v>42276</v>
      </c>
      <c r="KH3" s="61">
        <f t="shared" ref="KH3" si="34">KG3+1</f>
        <v>42277</v>
      </c>
      <c r="KI3" s="61">
        <f t="shared" ref="KI3" si="35">KH3+1</f>
        <v>42278</v>
      </c>
      <c r="KJ3" s="61">
        <f t="shared" ref="KJ3" si="36">KI3+1</f>
        <v>42279</v>
      </c>
      <c r="KK3" s="61">
        <f t="shared" ref="KK3" si="37">KJ3+1</f>
        <v>42280</v>
      </c>
      <c r="KL3" s="61">
        <f t="shared" ref="KL3" si="38">KK3+1</f>
        <v>42281</v>
      </c>
      <c r="KM3" s="61">
        <f t="shared" ref="KM3" si="39">KL3+1</f>
        <v>42282</v>
      </c>
      <c r="KN3" s="61">
        <f t="shared" ref="KN3" si="40">KM3+1</f>
        <v>42283</v>
      </c>
      <c r="KO3" s="61">
        <f t="shared" ref="KO3" si="41">KN3+1</f>
        <v>42284</v>
      </c>
      <c r="KP3" s="61">
        <f t="shared" ref="KP3" si="42">KO3+1</f>
        <v>42285</v>
      </c>
      <c r="KQ3" s="61">
        <f t="shared" ref="KQ3" si="43">KP3+1</f>
        <v>42286</v>
      </c>
      <c r="KR3" s="61">
        <f t="shared" ref="KR3" si="44">KQ3+1</f>
        <v>42287</v>
      </c>
      <c r="KS3" s="61">
        <f t="shared" ref="KS3" si="45">KR3+1</f>
        <v>42288</v>
      </c>
      <c r="KT3" s="61">
        <f t="shared" ref="KT3" si="46">KS3+1</f>
        <v>42289</v>
      </c>
      <c r="KU3" s="61">
        <f t="shared" ref="KU3" si="47">KT3+1</f>
        <v>42290</v>
      </c>
      <c r="KV3" s="61">
        <f t="shared" ref="KV3" si="48">KU3+1</f>
        <v>42291</v>
      </c>
      <c r="KW3" s="61">
        <f t="shared" ref="KW3" si="49">KV3+1</f>
        <v>42292</v>
      </c>
      <c r="KX3" s="61">
        <f t="shared" ref="KX3" si="50">KW3+1</f>
        <v>42293</v>
      </c>
      <c r="KY3" s="61">
        <f t="shared" ref="KY3" si="51">KX3+1</f>
        <v>42294</v>
      </c>
      <c r="KZ3" s="61">
        <f t="shared" ref="KZ3" si="52">KY3+1</f>
        <v>42295</v>
      </c>
      <c r="LA3" s="61">
        <f t="shared" ref="LA3" si="53">KZ3+1</f>
        <v>42296</v>
      </c>
      <c r="LB3" s="61">
        <f t="shared" ref="LB3" si="54">LA3+1</f>
        <v>42297</v>
      </c>
      <c r="LC3" s="61">
        <f t="shared" ref="LC3" si="55">LB3+1</f>
        <v>42298</v>
      </c>
      <c r="LD3" s="61">
        <f t="shared" ref="LD3" si="56">LC3+1</f>
        <v>42299</v>
      </c>
      <c r="LE3" s="61">
        <f t="shared" ref="LE3" si="57">LD3+1</f>
        <v>42300</v>
      </c>
      <c r="LF3" s="61">
        <f t="shared" ref="LF3" si="58">LE3+1</f>
        <v>42301</v>
      </c>
      <c r="LG3" s="61">
        <f t="shared" ref="LG3" si="59">LF3+1</f>
        <v>42302</v>
      </c>
      <c r="LH3" s="61">
        <f t="shared" ref="LH3" si="60">LG3+1</f>
        <v>42303</v>
      </c>
      <c r="LI3" s="61">
        <f t="shared" ref="LI3" si="61">LH3+1</f>
        <v>42304</v>
      </c>
      <c r="LJ3" s="61">
        <f t="shared" ref="LJ3" si="62">LI3+1</f>
        <v>42305</v>
      </c>
      <c r="LK3" s="61">
        <f t="shared" ref="LK3" si="63">LJ3+1</f>
        <v>42306</v>
      </c>
      <c r="LL3" s="61">
        <f t="shared" ref="LL3" si="64">LK3+1</f>
        <v>42307</v>
      </c>
      <c r="LM3" s="61">
        <f t="shared" ref="LM3" si="65">LL3+1</f>
        <v>42308</v>
      </c>
      <c r="LN3" s="61">
        <f t="shared" ref="LN3" si="66">LM3+1</f>
        <v>42309</v>
      </c>
      <c r="LO3" s="61">
        <f t="shared" ref="LO3" si="67">LN3+1</f>
        <v>42310</v>
      </c>
      <c r="LP3" s="61">
        <f t="shared" ref="LP3" si="68">LO3+1</f>
        <v>42311</v>
      </c>
      <c r="LQ3" s="61">
        <f t="shared" ref="LQ3" si="69">LP3+1</f>
        <v>42312</v>
      </c>
      <c r="LR3" s="61">
        <f t="shared" ref="LR3" si="70">LQ3+1</f>
        <v>42313</v>
      </c>
      <c r="LS3" s="61">
        <f t="shared" ref="LS3" si="71">LR3+1</f>
        <v>42314</v>
      </c>
      <c r="LT3" s="61">
        <f t="shared" ref="LT3" si="72">LS3+1</f>
        <v>42315</v>
      </c>
      <c r="LU3" s="61">
        <f t="shared" ref="LU3" si="73">LT3+1</f>
        <v>42316</v>
      </c>
      <c r="LV3" s="61">
        <f t="shared" ref="LV3" si="74">LU3+1</f>
        <v>42317</v>
      </c>
      <c r="LW3" s="61">
        <f t="shared" ref="LW3" si="75">LV3+1</f>
        <v>42318</v>
      </c>
      <c r="LX3" s="61">
        <f t="shared" ref="LX3" si="76">LW3+1</f>
        <v>42319</v>
      </c>
      <c r="LY3" s="61">
        <f t="shared" ref="LY3" si="77">LX3+1</f>
        <v>42320</v>
      </c>
      <c r="LZ3" s="61">
        <f t="shared" ref="LZ3" si="78">LY3+1</f>
        <v>42321</v>
      </c>
      <c r="MA3" s="61">
        <f t="shared" ref="MA3" si="79">LZ3+1</f>
        <v>42322</v>
      </c>
      <c r="MB3" s="61">
        <f t="shared" ref="MB3" si="80">MA3+1</f>
        <v>42323</v>
      </c>
      <c r="MC3" s="61">
        <f t="shared" ref="MC3" si="81">MB3+1</f>
        <v>42324</v>
      </c>
      <c r="MD3" s="61">
        <f t="shared" ref="MD3" si="82">MC3+1</f>
        <v>42325</v>
      </c>
      <c r="ME3" s="61">
        <f t="shared" ref="ME3" si="83">MD3+1</f>
        <v>42326</v>
      </c>
      <c r="MF3" s="61">
        <f t="shared" ref="MF3" si="84">ME3+1</f>
        <v>42327</v>
      </c>
      <c r="MG3" s="61">
        <f t="shared" ref="MG3" si="85">MF3+1</f>
        <v>42328</v>
      </c>
      <c r="MH3" s="61">
        <f t="shared" ref="MH3" si="86">MG3+1</f>
        <v>42329</v>
      </c>
      <c r="MI3" s="61">
        <f t="shared" ref="MI3" si="87">MH3+1</f>
        <v>42330</v>
      </c>
      <c r="MJ3" s="61">
        <f t="shared" ref="MJ3" si="88">MI3+1</f>
        <v>42331</v>
      </c>
      <c r="MK3" s="61">
        <f t="shared" ref="MK3" si="89">MJ3+1</f>
        <v>42332</v>
      </c>
      <c r="ML3" s="61">
        <f t="shared" ref="ML3" si="90">MK3+1</f>
        <v>42333</v>
      </c>
      <c r="MM3" s="61">
        <f t="shared" ref="MM3" si="91">ML3+1</f>
        <v>42334</v>
      </c>
      <c r="MN3" s="61">
        <f t="shared" ref="MN3" si="92">MM3+1</f>
        <v>42335</v>
      </c>
      <c r="MO3" s="61">
        <f t="shared" ref="MO3" si="93">MN3+1</f>
        <v>42336</v>
      </c>
      <c r="MP3" s="61">
        <f t="shared" ref="MP3" si="94">MO3+1</f>
        <v>42337</v>
      </c>
      <c r="MQ3" s="61">
        <f t="shared" ref="MQ3" si="95">MP3+1</f>
        <v>42338</v>
      </c>
      <c r="MR3" s="61">
        <f t="shared" ref="MR3" si="96">MQ3+1</f>
        <v>42339</v>
      </c>
      <c r="MS3" s="61">
        <f t="shared" ref="MS3" si="97">MR3+1</f>
        <v>42340</v>
      </c>
      <c r="MT3" s="61">
        <f t="shared" ref="MT3" si="98">MS3+1</f>
        <v>42341</v>
      </c>
      <c r="MU3" s="61">
        <f t="shared" ref="MU3" si="99">MT3+1</f>
        <v>42342</v>
      </c>
      <c r="MV3" s="61">
        <f t="shared" ref="MV3" si="100">MU3+1</f>
        <v>42343</v>
      </c>
      <c r="MW3" s="61">
        <f t="shared" ref="MW3" si="101">MV3+1</f>
        <v>42344</v>
      </c>
      <c r="MX3" s="61">
        <f t="shared" ref="MX3" si="102">MW3+1</f>
        <v>42345</v>
      </c>
      <c r="MY3" s="61">
        <f t="shared" ref="MY3" si="103">MX3+1</f>
        <v>42346</v>
      </c>
      <c r="MZ3" s="61">
        <f t="shared" ref="MZ3" si="104">MY3+1</f>
        <v>42347</v>
      </c>
      <c r="NA3" s="61">
        <f t="shared" ref="NA3" si="105">MZ3+1</f>
        <v>42348</v>
      </c>
      <c r="NB3" s="61">
        <f t="shared" ref="NB3" si="106">NA3+1</f>
        <v>42349</v>
      </c>
      <c r="NC3" s="61">
        <f t="shared" ref="NC3" si="107">NB3+1</f>
        <v>42350</v>
      </c>
      <c r="ND3" s="61">
        <f t="shared" ref="ND3" si="108">NC3+1</f>
        <v>42351</v>
      </c>
      <c r="NE3" s="61">
        <f t="shared" ref="NE3" si="109">ND3+1</f>
        <v>42352</v>
      </c>
      <c r="NF3" s="61">
        <f t="shared" ref="NF3" si="110">NE3+1</f>
        <v>42353</v>
      </c>
      <c r="NG3" s="61">
        <f t="shared" ref="NG3" si="111">NF3+1</f>
        <v>42354</v>
      </c>
      <c r="NH3" s="61">
        <f t="shared" ref="NH3" si="112">NG3+1</f>
        <v>42355</v>
      </c>
      <c r="NI3" s="61">
        <f t="shared" ref="NI3" si="113">NH3+1</f>
        <v>42356</v>
      </c>
      <c r="NJ3" s="61">
        <f t="shared" ref="NJ3" si="114">NI3+1</f>
        <v>42357</v>
      </c>
      <c r="NK3" s="61">
        <f t="shared" ref="NK3" si="115">NJ3+1</f>
        <v>42358</v>
      </c>
      <c r="NL3" s="61">
        <f t="shared" ref="NL3" si="116">NK3+1</f>
        <v>42359</v>
      </c>
      <c r="NM3" s="61">
        <f t="shared" ref="NM3" si="117">NL3+1</f>
        <v>42360</v>
      </c>
      <c r="NN3" s="61">
        <f t="shared" ref="NN3" si="118">NM3+1</f>
        <v>42361</v>
      </c>
      <c r="NO3" s="61">
        <f t="shared" ref="NO3" si="119">NN3+1</f>
        <v>42362</v>
      </c>
      <c r="NP3" s="61">
        <f t="shared" ref="NP3" si="120">NO3+1</f>
        <v>42363</v>
      </c>
      <c r="NQ3" s="61">
        <f t="shared" ref="NQ3" si="121">NP3+1</f>
        <v>42364</v>
      </c>
      <c r="NR3" s="61">
        <f t="shared" ref="NR3" si="122">NQ3+1</f>
        <v>42365</v>
      </c>
      <c r="NS3" s="61">
        <f t="shared" ref="NS3" si="123">NR3+1</f>
        <v>42366</v>
      </c>
      <c r="NT3" s="61">
        <f t="shared" ref="NT3" si="124">NS3+1</f>
        <v>42367</v>
      </c>
      <c r="NU3" s="61">
        <f t="shared" ref="NU3" si="125">NT3+1</f>
        <v>42368</v>
      </c>
      <c r="NV3" s="61">
        <f t="shared" ref="NV3" si="126">NU3+1</f>
        <v>42369</v>
      </c>
      <c r="NW3" s="61">
        <f t="shared" ref="NW3" si="127">NV3+1</f>
        <v>42370</v>
      </c>
      <c r="NX3" s="61">
        <f t="shared" ref="NX3" si="128">NW3+1</f>
        <v>42371</v>
      </c>
      <c r="NY3" s="61">
        <f t="shared" ref="NY3" si="129">NX3+1</f>
        <v>42372</v>
      </c>
      <c r="NZ3" s="61">
        <f t="shared" ref="NZ3" si="130">NY3+1</f>
        <v>42373</v>
      </c>
      <c r="OA3" s="61">
        <f t="shared" ref="OA3" si="131">NZ3+1</f>
        <v>42374</v>
      </c>
      <c r="OB3" s="61">
        <f t="shared" ref="OB3" si="132">OA3+1</f>
        <v>42375</v>
      </c>
      <c r="OC3" s="61">
        <f t="shared" ref="OC3" si="133">OB3+1</f>
        <v>42376</v>
      </c>
      <c r="OD3" s="61">
        <f t="shared" ref="OD3" si="134">OC3+1</f>
        <v>42377</v>
      </c>
      <c r="OE3" s="61">
        <f t="shared" ref="OE3" si="135">OD3+1</f>
        <v>42378</v>
      </c>
      <c r="OF3" s="61">
        <f t="shared" ref="OF3" si="136">OE3+1</f>
        <v>42379</v>
      </c>
      <c r="OG3" s="61">
        <f t="shared" ref="OG3" si="137">OF3+1</f>
        <v>42380</v>
      </c>
      <c r="OH3" s="61">
        <f t="shared" ref="OH3" si="138">OG3+1</f>
        <v>42381</v>
      </c>
      <c r="OI3" s="61">
        <f t="shared" ref="OI3" si="139">OH3+1</f>
        <v>42382</v>
      </c>
      <c r="OJ3" s="61">
        <f t="shared" ref="OJ3" si="140">OI3+1</f>
        <v>42383</v>
      </c>
      <c r="OK3" s="61">
        <f t="shared" ref="OK3" si="141">OJ3+1</f>
        <v>42384</v>
      </c>
      <c r="OL3" s="61">
        <f t="shared" ref="OL3" si="142">OK3+1</f>
        <v>42385</v>
      </c>
      <c r="OM3" s="61">
        <f t="shared" ref="OM3" si="143">OL3+1</f>
        <v>42386</v>
      </c>
      <c r="ON3" s="61">
        <f t="shared" ref="ON3" si="144">OM3+1</f>
        <v>42387</v>
      </c>
      <c r="OO3" s="61">
        <f t="shared" ref="OO3" si="145">ON3+1</f>
        <v>42388</v>
      </c>
      <c r="OP3" s="61">
        <f t="shared" ref="OP3" si="146">OO3+1</f>
        <v>42389</v>
      </c>
      <c r="OQ3" s="61">
        <f t="shared" ref="OQ3" si="147">OP3+1</f>
        <v>42390</v>
      </c>
      <c r="OR3" s="61">
        <f t="shared" ref="OR3" si="148">OQ3+1</f>
        <v>42391</v>
      </c>
      <c r="OS3" s="61">
        <f t="shared" ref="OS3" si="149">OR3+1</f>
        <v>42392</v>
      </c>
      <c r="OT3" s="61">
        <f t="shared" ref="OT3" si="150">OS3+1</f>
        <v>42393</v>
      </c>
      <c r="OU3" s="61">
        <f t="shared" ref="OU3" si="151">OT3+1</f>
        <v>42394</v>
      </c>
      <c r="OV3" s="61">
        <f t="shared" ref="OV3" si="152">OU3+1</f>
        <v>42395</v>
      </c>
      <c r="OW3" s="61">
        <f t="shared" ref="OW3" si="153">OV3+1</f>
        <v>42396</v>
      </c>
      <c r="OX3" s="61">
        <f t="shared" ref="OX3" si="154">OW3+1</f>
        <v>42397</v>
      </c>
      <c r="OY3" s="61">
        <f t="shared" ref="OY3" si="155">OX3+1</f>
        <v>42398</v>
      </c>
      <c r="OZ3" s="61">
        <f t="shared" ref="OZ3" si="156">OY3+1</f>
        <v>42399</v>
      </c>
      <c r="PA3" s="61">
        <f t="shared" ref="PA3" si="157">OZ3+1</f>
        <v>42400</v>
      </c>
      <c r="PB3" s="61">
        <f t="shared" ref="PB3" si="158">PA3+1</f>
        <v>42401</v>
      </c>
      <c r="PC3" s="61">
        <f t="shared" ref="PC3" si="159">PB3+1</f>
        <v>42402</v>
      </c>
      <c r="PD3" s="61">
        <f t="shared" ref="PD3" si="160">PC3+1</f>
        <v>42403</v>
      </c>
      <c r="PE3" s="61">
        <f t="shared" ref="PE3" si="161">PD3+1</f>
        <v>42404</v>
      </c>
      <c r="PF3" s="61">
        <f t="shared" ref="PF3" si="162">PE3+1</f>
        <v>42405</v>
      </c>
      <c r="PG3" s="61">
        <f t="shared" ref="PG3" si="163">PF3+1</f>
        <v>42406</v>
      </c>
      <c r="PH3" s="61">
        <f t="shared" ref="PH3" si="164">PG3+1</f>
        <v>42407</v>
      </c>
      <c r="PI3" s="61">
        <f t="shared" ref="PI3" si="165">PH3+1</f>
        <v>42408</v>
      </c>
      <c r="PJ3" s="61">
        <f t="shared" ref="PJ3" si="166">PI3+1</f>
        <v>42409</v>
      </c>
      <c r="PK3" s="61">
        <f t="shared" ref="PK3" si="167">PJ3+1</f>
        <v>42410</v>
      </c>
      <c r="PL3" s="61">
        <f t="shared" ref="PL3" si="168">PK3+1</f>
        <v>42411</v>
      </c>
      <c r="PM3" s="61">
        <f t="shared" ref="PM3" si="169">PL3+1</f>
        <v>42412</v>
      </c>
      <c r="PN3" s="61">
        <f t="shared" ref="PN3" si="170">PM3+1</f>
        <v>42413</v>
      </c>
      <c r="PO3" s="61">
        <f t="shared" ref="PO3" si="171">PN3+1</f>
        <v>42414</v>
      </c>
      <c r="PP3" s="61">
        <f t="shared" ref="PP3" si="172">PO3+1</f>
        <v>42415</v>
      </c>
      <c r="PQ3" s="61">
        <f t="shared" ref="PQ3" si="173">PP3+1</f>
        <v>42416</v>
      </c>
      <c r="PR3" s="61">
        <f t="shared" ref="PR3" si="174">PQ3+1</f>
        <v>42417</v>
      </c>
      <c r="PS3" s="61">
        <f t="shared" ref="PS3" si="175">PR3+1</f>
        <v>42418</v>
      </c>
      <c r="PT3" s="61">
        <f t="shared" ref="PT3" si="176">PS3+1</f>
        <v>42419</v>
      </c>
      <c r="PU3" s="61">
        <f t="shared" ref="PU3" si="177">PT3+1</f>
        <v>42420</v>
      </c>
      <c r="PV3" s="61">
        <f t="shared" ref="PV3" si="178">PU3+1</f>
        <v>42421</v>
      </c>
      <c r="PW3" s="61">
        <f t="shared" ref="PW3" si="179">PV3+1</f>
        <v>42422</v>
      </c>
      <c r="PX3" s="61">
        <f t="shared" ref="PX3" si="180">PW3+1</f>
        <v>42423</v>
      </c>
      <c r="PY3" s="61">
        <f t="shared" ref="PY3" si="181">PX3+1</f>
        <v>42424</v>
      </c>
      <c r="PZ3" s="61">
        <f t="shared" ref="PZ3" si="182">PY3+1</f>
        <v>42425</v>
      </c>
      <c r="QA3" s="61">
        <f t="shared" ref="QA3" si="183">PZ3+1</f>
        <v>42426</v>
      </c>
      <c r="QB3" s="61">
        <f t="shared" ref="QB3" si="184">QA3+1</f>
        <v>42427</v>
      </c>
      <c r="QC3" s="61">
        <f t="shared" ref="QC3" si="185">QB3+1</f>
        <v>42428</v>
      </c>
      <c r="QD3" s="61">
        <f t="shared" ref="QD3" si="186">QC3+1</f>
        <v>42429</v>
      </c>
      <c r="QE3" s="61">
        <f t="shared" ref="QE3" si="187">QD3+1</f>
        <v>42430</v>
      </c>
      <c r="QF3" s="61">
        <f t="shared" ref="QF3" si="188">QE3+1</f>
        <v>42431</v>
      </c>
      <c r="QG3" s="61">
        <f t="shared" ref="QG3" si="189">QF3+1</f>
        <v>42432</v>
      </c>
      <c r="QH3" s="61">
        <f t="shared" ref="QH3" si="190">QG3+1</f>
        <v>42433</v>
      </c>
      <c r="QI3" s="61">
        <f t="shared" ref="QI3" si="191">QH3+1</f>
        <v>42434</v>
      </c>
      <c r="QJ3" s="61">
        <f t="shared" ref="QJ3" si="192">QI3+1</f>
        <v>42435</v>
      </c>
      <c r="QK3" s="61">
        <f t="shared" ref="QK3" si="193">QJ3+1</f>
        <v>42436</v>
      </c>
      <c r="QL3" s="61">
        <f t="shared" ref="QL3" si="194">QK3+1</f>
        <v>42437</v>
      </c>
      <c r="QM3" s="61">
        <f t="shared" ref="QM3" si="195">QL3+1</f>
        <v>42438</v>
      </c>
      <c r="QN3" s="61">
        <f t="shared" ref="QN3" si="196">QM3+1</f>
        <v>42439</v>
      </c>
      <c r="QO3" s="61">
        <f t="shared" ref="QO3" si="197">QN3+1</f>
        <v>42440</v>
      </c>
      <c r="QP3" s="61">
        <f t="shared" ref="QP3" si="198">QO3+1</f>
        <v>42441</v>
      </c>
      <c r="QQ3" s="61">
        <f t="shared" ref="QQ3" si="199">QP3+1</f>
        <v>42442</v>
      </c>
      <c r="QR3" s="61">
        <f t="shared" ref="QR3" si="200">QQ3+1</f>
        <v>42443</v>
      </c>
      <c r="QS3" s="61">
        <f t="shared" ref="QS3" si="201">QR3+1</f>
        <v>42444</v>
      </c>
      <c r="QT3" s="61">
        <f t="shared" ref="QT3" si="202">QS3+1</f>
        <v>42445</v>
      </c>
      <c r="QU3" s="61">
        <f t="shared" ref="QU3" si="203">QT3+1</f>
        <v>42446</v>
      </c>
      <c r="QV3" s="61">
        <f t="shared" ref="QV3" si="204">QU3+1</f>
        <v>42447</v>
      </c>
      <c r="QW3" s="61">
        <f t="shared" ref="QW3" si="205">QV3+1</f>
        <v>42448</v>
      </c>
      <c r="QX3" s="61">
        <f t="shared" ref="QX3" si="206">QW3+1</f>
        <v>42449</v>
      </c>
      <c r="QY3" s="61">
        <f t="shared" ref="QY3" si="207">QX3+1</f>
        <v>42450</v>
      </c>
      <c r="QZ3" s="61">
        <f t="shared" ref="QZ3" si="208">QY3+1</f>
        <v>42451</v>
      </c>
      <c r="RA3" s="61">
        <f t="shared" ref="RA3" si="209">QZ3+1</f>
        <v>42452</v>
      </c>
      <c r="RB3" s="61">
        <f t="shared" ref="RB3" si="210">RA3+1</f>
        <v>42453</v>
      </c>
      <c r="RC3" s="61">
        <f t="shared" ref="RC3" si="211">RB3+1</f>
        <v>42454</v>
      </c>
      <c r="RD3" s="61">
        <f t="shared" ref="RD3" si="212">RC3+1</f>
        <v>42455</v>
      </c>
      <c r="RE3" s="61">
        <f t="shared" ref="RE3" si="213">RD3+1</f>
        <v>42456</v>
      </c>
      <c r="RF3" s="61">
        <f t="shared" ref="RF3" si="214">RE3+1</f>
        <v>42457</v>
      </c>
      <c r="RG3" s="61">
        <f t="shared" ref="RG3" si="215">RF3+1</f>
        <v>42458</v>
      </c>
      <c r="RH3" s="61">
        <f t="shared" ref="RH3" si="216">RG3+1</f>
        <v>42459</v>
      </c>
      <c r="RI3" s="61">
        <f t="shared" ref="RI3" si="217">RH3+1</f>
        <v>42460</v>
      </c>
      <c r="RJ3" s="61">
        <f t="shared" ref="RJ3" si="218">RI3+1</f>
        <v>42461</v>
      </c>
      <c r="RK3" s="61">
        <f t="shared" ref="RK3" si="219">RJ3+1</f>
        <v>42462</v>
      </c>
      <c r="RL3" s="61">
        <f t="shared" ref="RL3" si="220">RK3+1</f>
        <v>42463</v>
      </c>
      <c r="RM3" s="61">
        <f t="shared" ref="RM3" si="221">RL3+1</f>
        <v>42464</v>
      </c>
      <c r="RN3" s="61">
        <f t="shared" ref="RN3" si="222">RM3+1</f>
        <v>42465</v>
      </c>
      <c r="RO3" s="61">
        <f t="shared" ref="RO3" si="223">RN3+1</f>
        <v>42466</v>
      </c>
      <c r="RP3" s="61">
        <f t="shared" ref="RP3" si="224">RO3+1</f>
        <v>42467</v>
      </c>
      <c r="RQ3" s="61">
        <f t="shared" ref="RQ3" si="225">RP3+1</f>
        <v>42468</v>
      </c>
      <c r="RR3" s="61">
        <f t="shared" ref="RR3" si="226">RQ3+1</f>
        <v>42469</v>
      </c>
      <c r="RS3" s="61">
        <f t="shared" ref="RS3" si="227">RR3+1</f>
        <v>42470</v>
      </c>
      <c r="RT3" s="61">
        <f t="shared" ref="RT3" si="228">RS3+1</f>
        <v>42471</v>
      </c>
      <c r="RU3" s="61">
        <f t="shared" ref="RU3" si="229">RT3+1</f>
        <v>42472</v>
      </c>
      <c r="RV3" s="61">
        <f t="shared" ref="RV3" si="230">RU3+1</f>
        <v>42473</v>
      </c>
      <c r="RW3" s="61">
        <f t="shared" ref="RW3" si="231">RV3+1</f>
        <v>42474</v>
      </c>
      <c r="RX3" s="61">
        <f t="shared" ref="RX3" si="232">RW3+1</f>
        <v>42475</v>
      </c>
      <c r="RY3" s="61">
        <f t="shared" ref="RY3" si="233">RX3+1</f>
        <v>42476</v>
      </c>
      <c r="RZ3" s="61">
        <f t="shared" ref="RZ3" si="234">RY3+1</f>
        <v>42477</v>
      </c>
      <c r="SA3" s="61">
        <f t="shared" ref="SA3" si="235">RZ3+1</f>
        <v>42478</v>
      </c>
      <c r="SB3" s="61">
        <f t="shared" ref="SB3" si="236">SA3+1</f>
        <v>42479</v>
      </c>
      <c r="SC3" s="61">
        <f t="shared" ref="SC3" si="237">SB3+1</f>
        <v>42480</v>
      </c>
      <c r="SD3" s="61">
        <f t="shared" ref="SD3" si="238">SC3+1</f>
        <v>42481</v>
      </c>
      <c r="SE3" s="61">
        <f t="shared" ref="SE3" si="239">SD3+1</f>
        <v>42482</v>
      </c>
      <c r="SF3" s="61">
        <f t="shared" ref="SF3" si="240">SE3+1</f>
        <v>42483</v>
      </c>
      <c r="SG3" s="61">
        <f t="shared" ref="SG3" si="241">SF3+1</f>
        <v>42484</v>
      </c>
      <c r="SH3" s="61">
        <f t="shared" ref="SH3" si="242">SG3+1</f>
        <v>42485</v>
      </c>
      <c r="SI3" s="61">
        <f t="shared" ref="SI3" si="243">SH3+1</f>
        <v>42486</v>
      </c>
      <c r="SJ3" s="61">
        <f t="shared" ref="SJ3" si="244">SI3+1</f>
        <v>42487</v>
      </c>
      <c r="SK3" s="61">
        <f t="shared" ref="SK3" si="245">SJ3+1</f>
        <v>42488</v>
      </c>
      <c r="SL3" s="61">
        <f t="shared" ref="SL3" si="246">SK3+1</f>
        <v>42489</v>
      </c>
      <c r="SM3" s="61">
        <f t="shared" ref="SM3" si="247">SL3+1</f>
        <v>42490</v>
      </c>
      <c r="SN3" s="61">
        <f t="shared" ref="SN3" si="248">SM3+1</f>
        <v>42491</v>
      </c>
      <c r="SO3" s="61">
        <f t="shared" ref="SO3" si="249">SN3+1</f>
        <v>42492</v>
      </c>
      <c r="SP3" s="61">
        <f t="shared" ref="SP3" si="250">SO3+1</f>
        <v>42493</v>
      </c>
      <c r="SQ3" s="61">
        <f t="shared" ref="SQ3" si="251">SP3+1</f>
        <v>42494</v>
      </c>
      <c r="SR3" s="61">
        <f t="shared" ref="SR3" si="252">SQ3+1</f>
        <v>42495</v>
      </c>
      <c r="SS3" s="61">
        <f t="shared" ref="SS3" si="253">SR3+1</f>
        <v>42496</v>
      </c>
      <c r="ST3" s="61">
        <f t="shared" ref="ST3" si="254">SS3+1</f>
        <v>42497</v>
      </c>
      <c r="SU3" s="61">
        <f t="shared" ref="SU3" si="255">ST3+1</f>
        <v>42498</v>
      </c>
      <c r="SV3" s="61">
        <f t="shared" ref="SV3" si="256">SU3+1</f>
        <v>42499</v>
      </c>
      <c r="SW3" s="61">
        <f t="shared" ref="SW3" si="257">SV3+1</f>
        <v>42500</v>
      </c>
      <c r="SX3" s="61">
        <f t="shared" ref="SX3" si="258">SW3+1</f>
        <v>42501</v>
      </c>
      <c r="SY3" s="61">
        <f t="shared" ref="SY3" si="259">SX3+1</f>
        <v>42502</v>
      </c>
      <c r="SZ3" s="61">
        <f t="shared" ref="SZ3" si="260">SY3+1</f>
        <v>42503</v>
      </c>
      <c r="TA3" s="61">
        <f t="shared" ref="TA3" si="261">SZ3+1</f>
        <v>42504</v>
      </c>
      <c r="TB3" s="61">
        <f t="shared" ref="TB3" si="262">TA3+1</f>
        <v>42505</v>
      </c>
      <c r="TC3" s="61">
        <f t="shared" ref="TC3" si="263">TB3+1</f>
        <v>42506</v>
      </c>
      <c r="TD3" s="61">
        <f t="shared" ref="TD3" si="264">TC3+1</f>
        <v>42507</v>
      </c>
      <c r="TE3" s="61">
        <f t="shared" ref="TE3" si="265">TD3+1</f>
        <v>42508</v>
      </c>
      <c r="TF3" s="61">
        <f t="shared" ref="TF3" si="266">TE3+1</f>
        <v>42509</v>
      </c>
      <c r="TG3" s="61">
        <f t="shared" ref="TG3" si="267">TF3+1</f>
        <v>42510</v>
      </c>
      <c r="TH3" s="61">
        <f t="shared" ref="TH3" si="268">TG3+1</f>
        <v>42511</v>
      </c>
      <c r="TI3" s="61">
        <f t="shared" ref="TI3" si="269">TH3+1</f>
        <v>42512</v>
      </c>
      <c r="TJ3" s="61">
        <f t="shared" ref="TJ3" si="270">TI3+1</f>
        <v>42513</v>
      </c>
      <c r="TK3" s="61">
        <f t="shared" ref="TK3" si="271">TJ3+1</f>
        <v>42514</v>
      </c>
      <c r="TL3" s="61">
        <f t="shared" ref="TL3" si="272">TK3+1</f>
        <v>42515</v>
      </c>
      <c r="TM3" s="61">
        <f t="shared" ref="TM3" si="273">TL3+1</f>
        <v>42516</v>
      </c>
      <c r="TN3" s="61">
        <f t="shared" ref="TN3" si="274">TM3+1</f>
        <v>42517</v>
      </c>
      <c r="TO3" s="61">
        <f t="shared" ref="TO3" si="275">TN3+1</f>
        <v>42518</v>
      </c>
      <c r="TP3" s="61">
        <f t="shared" ref="TP3" si="276">TO3+1</f>
        <v>42519</v>
      </c>
      <c r="TQ3" s="61">
        <f t="shared" ref="TQ3" si="277">TP3+1</f>
        <v>42520</v>
      </c>
      <c r="TR3" s="61">
        <f t="shared" ref="TR3" si="278">TQ3+1</f>
        <v>42521</v>
      </c>
      <c r="TS3" s="61">
        <f t="shared" ref="TS3" si="279">TR3+1</f>
        <v>42522</v>
      </c>
      <c r="TT3" s="61">
        <f t="shared" ref="TT3" si="280">TS3+1</f>
        <v>42523</v>
      </c>
      <c r="TU3" s="61">
        <f t="shared" ref="TU3" si="281">TT3+1</f>
        <v>42524</v>
      </c>
      <c r="TV3" s="61">
        <f t="shared" ref="TV3" si="282">TU3+1</f>
        <v>42525</v>
      </c>
      <c r="TW3" s="61">
        <f t="shared" ref="TW3" si="283">TV3+1</f>
        <v>42526</v>
      </c>
      <c r="TX3" s="61">
        <f t="shared" ref="TX3" si="284">TW3+1</f>
        <v>42527</v>
      </c>
      <c r="TY3" s="61">
        <f t="shared" ref="TY3" si="285">TX3+1</f>
        <v>42528</v>
      </c>
      <c r="TZ3" s="61">
        <f t="shared" ref="TZ3" si="286">TY3+1</f>
        <v>42529</v>
      </c>
      <c r="UA3" s="61">
        <f t="shared" ref="UA3" si="287">TZ3+1</f>
        <v>42530</v>
      </c>
      <c r="UB3" s="61">
        <f t="shared" ref="UB3" si="288">UA3+1</f>
        <v>42531</v>
      </c>
      <c r="UC3" s="61">
        <f t="shared" ref="UC3" si="289">UB3+1</f>
        <v>42532</v>
      </c>
      <c r="UD3" s="61">
        <f t="shared" ref="UD3" si="290">UC3+1</f>
        <v>42533</v>
      </c>
      <c r="UE3" s="61">
        <f t="shared" ref="UE3" si="291">UD3+1</f>
        <v>42534</v>
      </c>
      <c r="UF3" s="61">
        <f t="shared" ref="UF3" si="292">UE3+1</f>
        <v>42535</v>
      </c>
      <c r="UG3" s="61">
        <f t="shared" ref="UG3" si="293">UF3+1</f>
        <v>42536</v>
      </c>
      <c r="UH3" s="61">
        <f t="shared" ref="UH3" si="294">UG3+1</f>
        <v>42537</v>
      </c>
      <c r="UI3" s="61">
        <f t="shared" ref="UI3" si="295">UH3+1</f>
        <v>42538</v>
      </c>
      <c r="UJ3" s="61">
        <f t="shared" ref="UJ3" si="296">UI3+1</f>
        <v>42539</v>
      </c>
      <c r="UK3" s="61">
        <f t="shared" ref="UK3" si="297">UJ3+1</f>
        <v>42540</v>
      </c>
      <c r="UL3" s="61">
        <f t="shared" ref="UL3" si="298">UK3+1</f>
        <v>42541</v>
      </c>
      <c r="UM3" s="61">
        <f t="shared" ref="UM3" si="299">UL3+1</f>
        <v>42542</v>
      </c>
      <c r="UN3" s="61">
        <f t="shared" ref="UN3" si="300">UM3+1</f>
        <v>42543</v>
      </c>
      <c r="UO3" s="61">
        <f t="shared" ref="UO3" si="301">UN3+1</f>
        <v>42544</v>
      </c>
      <c r="UP3" s="61">
        <f t="shared" ref="UP3" si="302">UO3+1</f>
        <v>42545</v>
      </c>
      <c r="UQ3" s="61">
        <f t="shared" ref="UQ3" si="303">UP3+1</f>
        <v>42546</v>
      </c>
      <c r="UR3" s="61">
        <f t="shared" ref="UR3" si="304">UQ3+1</f>
        <v>42547</v>
      </c>
      <c r="US3" s="61">
        <f t="shared" ref="US3" si="305">UR3+1</f>
        <v>42548</v>
      </c>
      <c r="UT3" s="61">
        <f t="shared" ref="UT3" si="306">US3+1</f>
        <v>42549</v>
      </c>
      <c r="UU3" s="61">
        <f t="shared" ref="UU3" si="307">UT3+1</f>
        <v>42550</v>
      </c>
      <c r="UV3" s="61">
        <f t="shared" ref="UV3" si="308">UU3+1</f>
        <v>42551</v>
      </c>
      <c r="UW3" s="61">
        <f t="shared" ref="UW3" si="309">UV3+1</f>
        <v>42552</v>
      </c>
      <c r="UX3" s="61">
        <f t="shared" ref="UX3" si="310">UW3+1</f>
        <v>42553</v>
      </c>
      <c r="UY3" s="61">
        <f t="shared" ref="UY3" si="311">UX3+1</f>
        <v>42554</v>
      </c>
      <c r="UZ3" s="61">
        <f t="shared" ref="UZ3" si="312">UY3+1</f>
        <v>42555</v>
      </c>
      <c r="VA3" s="61">
        <f t="shared" ref="VA3" si="313">UZ3+1</f>
        <v>42556</v>
      </c>
      <c r="VB3" s="61">
        <f t="shared" ref="VB3" si="314">VA3+1</f>
        <v>42557</v>
      </c>
      <c r="VC3" s="61">
        <f t="shared" ref="VC3" si="315">VB3+1</f>
        <v>42558</v>
      </c>
      <c r="VD3" s="61">
        <f t="shared" ref="VD3" si="316">VC3+1</f>
        <v>42559</v>
      </c>
      <c r="VE3" s="61">
        <f t="shared" ref="VE3" si="317">VD3+1</f>
        <v>42560</v>
      </c>
      <c r="VF3" s="61">
        <f t="shared" ref="VF3" si="318">VE3+1</f>
        <v>42561</v>
      </c>
      <c r="VG3" s="61">
        <f t="shared" ref="VG3" si="319">VF3+1</f>
        <v>42562</v>
      </c>
      <c r="VH3" s="61">
        <f t="shared" ref="VH3" si="320">VG3+1</f>
        <v>42563</v>
      </c>
      <c r="VI3" s="61">
        <f t="shared" ref="VI3" si="321">VH3+1</f>
        <v>42564</v>
      </c>
      <c r="VJ3" s="61">
        <f t="shared" ref="VJ3" si="322">VI3+1</f>
        <v>42565</v>
      </c>
      <c r="VK3" s="61">
        <f t="shared" ref="VK3" si="323">VJ3+1</f>
        <v>42566</v>
      </c>
      <c r="VL3" s="61">
        <f t="shared" ref="VL3" si="324">VK3+1</f>
        <v>42567</v>
      </c>
      <c r="VM3" s="61">
        <f t="shared" ref="VM3" si="325">VL3+1</f>
        <v>42568</v>
      </c>
      <c r="VN3" s="61">
        <f t="shared" ref="VN3" si="326">VM3+1</f>
        <v>42569</v>
      </c>
      <c r="VO3" s="61">
        <f t="shared" ref="VO3" si="327">VN3+1</f>
        <v>42570</v>
      </c>
      <c r="VP3" s="61">
        <f t="shared" ref="VP3" si="328">VO3+1</f>
        <v>42571</v>
      </c>
      <c r="VQ3" s="61">
        <f t="shared" ref="VQ3" si="329">VP3+1</f>
        <v>42572</v>
      </c>
      <c r="VR3" s="61">
        <f t="shared" ref="VR3" si="330">VQ3+1</f>
        <v>42573</v>
      </c>
      <c r="VS3" s="61">
        <f t="shared" ref="VS3" si="331">VR3+1</f>
        <v>42574</v>
      </c>
      <c r="VT3" s="61">
        <f t="shared" ref="VT3" si="332">VS3+1</f>
        <v>42575</v>
      </c>
      <c r="VU3" s="61">
        <f t="shared" ref="VU3" si="333">VT3+1</f>
        <v>42576</v>
      </c>
      <c r="VV3" s="61">
        <f t="shared" ref="VV3" si="334">VU3+1</f>
        <v>42577</v>
      </c>
      <c r="VW3" s="61">
        <f t="shared" ref="VW3" si="335">VV3+1</f>
        <v>42578</v>
      </c>
      <c r="VX3" s="61">
        <f t="shared" ref="VX3" si="336">VW3+1</f>
        <v>42579</v>
      </c>
      <c r="VY3" s="61">
        <f t="shared" ref="VY3" si="337">VX3+1</f>
        <v>42580</v>
      </c>
      <c r="VZ3" s="61">
        <f t="shared" ref="VZ3" si="338">VY3+1</f>
        <v>42581</v>
      </c>
      <c r="WA3" s="61">
        <f t="shared" ref="WA3" si="339">VZ3+1</f>
        <v>42582</v>
      </c>
      <c r="WB3" s="61">
        <f t="shared" ref="WB3" si="340">WA3+1</f>
        <v>42583</v>
      </c>
      <c r="WC3" s="61">
        <f t="shared" ref="WC3" si="341">WB3+1</f>
        <v>42584</v>
      </c>
      <c r="WD3" s="61">
        <f t="shared" ref="WD3" si="342">WC3+1</f>
        <v>42585</v>
      </c>
      <c r="WE3" s="61">
        <f t="shared" ref="WE3" si="343">WD3+1</f>
        <v>42586</v>
      </c>
      <c r="WF3" s="61">
        <f t="shared" ref="WF3" si="344">WE3+1</f>
        <v>42587</v>
      </c>
      <c r="WG3" s="61">
        <f t="shared" ref="WG3" si="345">WF3+1</f>
        <v>42588</v>
      </c>
      <c r="WH3" s="61">
        <f t="shared" ref="WH3" si="346">WG3+1</f>
        <v>42589</v>
      </c>
      <c r="WI3" s="61">
        <f t="shared" ref="WI3" si="347">WH3+1</f>
        <v>42590</v>
      </c>
      <c r="WJ3" s="61">
        <f t="shared" ref="WJ3" si="348">WI3+1</f>
        <v>42591</v>
      </c>
      <c r="WK3" s="61">
        <f t="shared" ref="WK3" si="349">WJ3+1</f>
        <v>42592</v>
      </c>
      <c r="WL3" s="61">
        <f t="shared" ref="WL3" si="350">WK3+1</f>
        <v>42593</v>
      </c>
      <c r="WM3" s="61">
        <f t="shared" ref="WM3" si="351">WL3+1</f>
        <v>42594</v>
      </c>
      <c r="WN3" s="61">
        <f t="shared" ref="WN3" si="352">WM3+1</f>
        <v>42595</v>
      </c>
      <c r="WO3" s="61">
        <f t="shared" ref="WO3" si="353">WN3+1</f>
        <v>42596</v>
      </c>
      <c r="WP3" s="61">
        <f t="shared" ref="WP3" si="354">WO3+1</f>
        <v>42597</v>
      </c>
      <c r="WQ3" s="61">
        <f t="shared" ref="WQ3" si="355">WP3+1</f>
        <v>42598</v>
      </c>
      <c r="WR3" s="61">
        <f t="shared" ref="WR3" si="356">WQ3+1</f>
        <v>42599</v>
      </c>
      <c r="WS3" s="61">
        <f t="shared" ref="WS3" si="357">WR3+1</f>
        <v>42600</v>
      </c>
      <c r="WT3" s="61">
        <f t="shared" ref="WT3" si="358">WS3+1</f>
        <v>42601</v>
      </c>
      <c r="WU3" s="61">
        <f t="shared" ref="WU3" si="359">WT3+1</f>
        <v>42602</v>
      </c>
      <c r="WV3" s="61">
        <f t="shared" ref="WV3" si="360">WU3+1</f>
        <v>42603</v>
      </c>
      <c r="WW3" s="61">
        <f t="shared" ref="WW3" si="361">WV3+1</f>
        <v>42604</v>
      </c>
      <c r="WX3" s="61">
        <f t="shared" ref="WX3" si="362">WW3+1</f>
        <v>42605</v>
      </c>
      <c r="WY3" s="61">
        <f t="shared" ref="WY3" si="363">WX3+1</f>
        <v>42606</v>
      </c>
      <c r="WZ3" s="61">
        <f t="shared" ref="WZ3" si="364">WY3+1</f>
        <v>42607</v>
      </c>
      <c r="XA3" s="61">
        <f t="shared" ref="XA3" si="365">WZ3+1</f>
        <v>42608</v>
      </c>
      <c r="XB3" s="61">
        <f t="shared" ref="XB3" si="366">XA3+1</f>
        <v>42609</v>
      </c>
      <c r="XC3" s="61">
        <f t="shared" ref="XC3" si="367">XB3+1</f>
        <v>42610</v>
      </c>
      <c r="XD3" s="61">
        <f t="shared" ref="XD3" si="368">XC3+1</f>
        <v>42611</v>
      </c>
      <c r="XE3" s="61">
        <f t="shared" ref="XE3" si="369">XD3+1</f>
        <v>42612</v>
      </c>
      <c r="XF3" s="61">
        <f t="shared" ref="XF3" si="370">XE3+1</f>
        <v>42613</v>
      </c>
      <c r="XG3" s="61">
        <f t="shared" ref="XG3" si="371">XF3+1</f>
        <v>42614</v>
      </c>
      <c r="XH3" s="61">
        <f t="shared" ref="XH3" si="372">XG3+1</f>
        <v>42615</v>
      </c>
      <c r="XI3" s="61">
        <f t="shared" ref="XI3" si="373">XH3+1</f>
        <v>42616</v>
      </c>
      <c r="XJ3" s="61">
        <f t="shared" ref="XJ3" si="374">XI3+1</f>
        <v>42617</v>
      </c>
      <c r="XK3" s="61">
        <f t="shared" ref="XK3" si="375">XJ3+1</f>
        <v>42618</v>
      </c>
      <c r="XL3" s="61">
        <f t="shared" ref="XL3" si="376">XK3+1</f>
        <v>42619</v>
      </c>
      <c r="XM3" s="61">
        <f t="shared" ref="XM3" si="377">XL3+1</f>
        <v>42620</v>
      </c>
      <c r="XN3" s="61">
        <f t="shared" ref="XN3" si="378">XM3+1</f>
        <v>42621</v>
      </c>
      <c r="XO3" s="61">
        <f t="shared" ref="XO3" si="379">XN3+1</f>
        <v>42622</v>
      </c>
      <c r="XP3" s="61">
        <f t="shared" ref="XP3" si="380">XO3+1</f>
        <v>42623</v>
      </c>
      <c r="XQ3" s="61">
        <f t="shared" ref="XQ3" si="381">XP3+1</f>
        <v>42624</v>
      </c>
      <c r="XR3" s="61">
        <f t="shared" ref="XR3" si="382">XQ3+1</f>
        <v>42625</v>
      </c>
      <c r="XS3" s="61">
        <f t="shared" ref="XS3" si="383">XR3+1</f>
        <v>42626</v>
      </c>
      <c r="XT3" s="61">
        <f t="shared" ref="XT3" si="384">XS3+1</f>
        <v>42627</v>
      </c>
      <c r="XU3" s="61">
        <f t="shared" ref="XU3" si="385">XT3+1</f>
        <v>42628</v>
      </c>
      <c r="XV3" s="61">
        <f t="shared" ref="XV3" si="386">XU3+1</f>
        <v>42629</v>
      </c>
      <c r="XW3" s="61">
        <f t="shared" ref="XW3" si="387">XV3+1</f>
        <v>42630</v>
      </c>
      <c r="XX3" s="61">
        <f t="shared" ref="XX3" si="388">XW3+1</f>
        <v>42631</v>
      </c>
      <c r="XY3" s="61">
        <f t="shared" ref="XY3" si="389">XX3+1</f>
        <v>42632</v>
      </c>
      <c r="XZ3" s="61">
        <f t="shared" ref="XZ3" si="390">XY3+1</f>
        <v>42633</v>
      </c>
      <c r="YA3" s="61">
        <f t="shared" ref="YA3" si="391">XZ3+1</f>
        <v>42634</v>
      </c>
      <c r="YB3" s="61">
        <f t="shared" ref="YB3" si="392">YA3+1</f>
        <v>42635</v>
      </c>
      <c r="YC3" s="61">
        <f t="shared" ref="YC3" si="393">YB3+1</f>
        <v>42636</v>
      </c>
      <c r="YD3" s="61">
        <f t="shared" ref="YD3" si="394">YC3+1</f>
        <v>42637</v>
      </c>
      <c r="YE3" s="61">
        <f t="shared" ref="YE3" si="395">YD3+1</f>
        <v>42638</v>
      </c>
      <c r="YF3" s="61">
        <f t="shared" ref="YF3" si="396">YE3+1</f>
        <v>42639</v>
      </c>
      <c r="YG3" s="61">
        <f t="shared" ref="YG3" si="397">YF3+1</f>
        <v>42640</v>
      </c>
      <c r="YH3" s="61">
        <f t="shared" ref="YH3" si="398">YG3+1</f>
        <v>42641</v>
      </c>
      <c r="YI3" s="61">
        <f t="shared" ref="YI3" si="399">YH3+1</f>
        <v>42642</v>
      </c>
      <c r="YJ3" s="61">
        <f t="shared" ref="YJ3" si="400">YI3+1</f>
        <v>42643</v>
      </c>
      <c r="YK3" s="61">
        <f t="shared" ref="YK3" si="401">YJ3+1</f>
        <v>42644</v>
      </c>
      <c r="YL3" s="61">
        <f t="shared" ref="YL3" si="402">YK3+1</f>
        <v>42645</v>
      </c>
      <c r="YM3" s="61">
        <f t="shared" ref="YM3" si="403">YL3+1</f>
        <v>42646</v>
      </c>
      <c r="YN3" s="61">
        <f t="shared" ref="YN3" si="404">YM3+1</f>
        <v>42647</v>
      </c>
      <c r="YO3" s="61">
        <f t="shared" ref="YO3" si="405">YN3+1</f>
        <v>42648</v>
      </c>
      <c r="YP3" s="61">
        <f t="shared" ref="YP3" si="406">YO3+1</f>
        <v>42649</v>
      </c>
      <c r="YQ3" s="61">
        <f t="shared" ref="YQ3" si="407">YP3+1</f>
        <v>42650</v>
      </c>
      <c r="YR3" s="61">
        <f t="shared" ref="YR3" si="408">YQ3+1</f>
        <v>42651</v>
      </c>
      <c r="YS3" s="61">
        <f t="shared" ref="YS3" si="409">YR3+1</f>
        <v>42652</v>
      </c>
      <c r="YT3" s="61">
        <f t="shared" ref="YT3" si="410">YS3+1</f>
        <v>42653</v>
      </c>
      <c r="YU3" s="61">
        <f t="shared" ref="YU3" si="411">YT3+1</f>
        <v>42654</v>
      </c>
      <c r="YV3" s="61">
        <f t="shared" ref="YV3" si="412">YU3+1</f>
        <v>42655</v>
      </c>
      <c r="YW3" s="61">
        <f t="shared" ref="YW3" si="413">YV3+1</f>
        <v>42656</v>
      </c>
      <c r="YX3" s="61">
        <f t="shared" ref="YX3" si="414">YW3+1</f>
        <v>42657</v>
      </c>
      <c r="YY3" s="61">
        <f t="shared" ref="YY3" si="415">YX3+1</f>
        <v>42658</v>
      </c>
      <c r="YZ3" s="61">
        <f t="shared" ref="YZ3" si="416">YY3+1</f>
        <v>42659</v>
      </c>
      <c r="ZA3" s="61">
        <f t="shared" ref="ZA3" si="417">YZ3+1</f>
        <v>42660</v>
      </c>
      <c r="ZB3" s="61">
        <f t="shared" ref="ZB3" si="418">ZA3+1</f>
        <v>42661</v>
      </c>
      <c r="ZC3" s="61">
        <f t="shared" ref="ZC3" si="419">ZB3+1</f>
        <v>42662</v>
      </c>
      <c r="ZD3" s="61">
        <f t="shared" ref="ZD3" si="420">ZC3+1</f>
        <v>42663</v>
      </c>
      <c r="ZE3" s="61">
        <f t="shared" ref="ZE3" si="421">ZD3+1</f>
        <v>42664</v>
      </c>
      <c r="ZF3" s="61">
        <f t="shared" ref="ZF3" si="422">ZE3+1</f>
        <v>42665</v>
      </c>
      <c r="ZG3" s="61">
        <f t="shared" ref="ZG3" si="423">ZF3+1</f>
        <v>42666</v>
      </c>
      <c r="ZH3" s="61">
        <f t="shared" ref="ZH3" si="424">ZG3+1</f>
        <v>42667</v>
      </c>
      <c r="ZI3" s="61">
        <f t="shared" ref="ZI3" si="425">ZH3+1</f>
        <v>42668</v>
      </c>
      <c r="ZJ3" s="61">
        <f t="shared" ref="ZJ3" si="426">ZI3+1</f>
        <v>42669</v>
      </c>
      <c r="ZK3" s="61">
        <f t="shared" ref="ZK3" si="427">ZJ3+1</f>
        <v>42670</v>
      </c>
      <c r="ZL3" s="61">
        <f t="shared" ref="ZL3" si="428">ZK3+1</f>
        <v>42671</v>
      </c>
      <c r="ZM3" s="61">
        <f t="shared" ref="ZM3" si="429">ZL3+1</f>
        <v>42672</v>
      </c>
      <c r="ZN3" s="61">
        <f t="shared" ref="ZN3" si="430">ZM3+1</f>
        <v>42673</v>
      </c>
      <c r="ZO3" s="61">
        <f t="shared" ref="ZO3" si="431">ZN3+1</f>
        <v>42674</v>
      </c>
      <c r="ZP3" s="61">
        <f t="shared" ref="ZP3" si="432">ZO3+1</f>
        <v>42675</v>
      </c>
      <c r="ZQ3" s="61">
        <f t="shared" ref="ZQ3" si="433">ZP3+1</f>
        <v>42676</v>
      </c>
      <c r="ZR3" s="61">
        <f t="shared" ref="ZR3" si="434">ZQ3+1</f>
        <v>42677</v>
      </c>
      <c r="ZS3" s="61">
        <f t="shared" ref="ZS3" si="435">ZR3+1</f>
        <v>42678</v>
      </c>
      <c r="ZT3" s="61">
        <f t="shared" ref="ZT3" si="436">ZS3+1</f>
        <v>42679</v>
      </c>
      <c r="ZU3" s="61">
        <f t="shared" ref="ZU3" si="437">ZT3+1</f>
        <v>42680</v>
      </c>
      <c r="ZV3" s="61">
        <f t="shared" ref="ZV3" si="438">ZU3+1</f>
        <v>42681</v>
      </c>
      <c r="ZW3" s="61">
        <f t="shared" ref="ZW3" si="439">ZV3+1</f>
        <v>42682</v>
      </c>
      <c r="ZX3" s="61">
        <f t="shared" ref="ZX3" si="440">ZW3+1</f>
        <v>42683</v>
      </c>
      <c r="ZY3" s="61">
        <f t="shared" ref="ZY3" si="441">ZX3+1</f>
        <v>42684</v>
      </c>
      <c r="ZZ3" s="61">
        <f t="shared" ref="ZZ3" si="442">ZY3+1</f>
        <v>42685</v>
      </c>
      <c r="AAA3" s="61">
        <f t="shared" ref="AAA3" si="443">ZZ3+1</f>
        <v>42686</v>
      </c>
      <c r="AAB3" s="61">
        <f t="shared" ref="AAB3" si="444">AAA3+1</f>
        <v>42687</v>
      </c>
      <c r="AAC3" s="61">
        <f t="shared" ref="AAC3" si="445">AAB3+1</f>
        <v>42688</v>
      </c>
      <c r="AAD3" s="61">
        <f t="shared" ref="AAD3" si="446">AAC3+1</f>
        <v>42689</v>
      </c>
      <c r="AAE3" s="61">
        <f t="shared" ref="AAE3" si="447">AAD3+1</f>
        <v>42690</v>
      </c>
      <c r="AAF3" s="61">
        <f t="shared" ref="AAF3" si="448">AAE3+1</f>
        <v>42691</v>
      </c>
      <c r="AAG3" s="61">
        <f t="shared" ref="AAG3" si="449">AAF3+1</f>
        <v>42692</v>
      </c>
      <c r="AAH3" s="61">
        <f t="shared" ref="AAH3" si="450">AAG3+1</f>
        <v>42693</v>
      </c>
      <c r="AAI3" s="61">
        <f t="shared" ref="AAI3" si="451">AAH3+1</f>
        <v>42694</v>
      </c>
      <c r="AAJ3" s="61">
        <f t="shared" ref="AAJ3" si="452">AAI3+1</f>
        <v>42695</v>
      </c>
      <c r="AAK3" s="61">
        <f t="shared" ref="AAK3" si="453">AAJ3+1</f>
        <v>42696</v>
      </c>
      <c r="AAL3" s="61">
        <f t="shared" ref="AAL3" si="454">AAK3+1</f>
        <v>42697</v>
      </c>
      <c r="AAM3" s="61">
        <f t="shared" ref="AAM3" si="455">AAL3+1</f>
        <v>42698</v>
      </c>
      <c r="AAN3" s="61">
        <f t="shared" ref="AAN3" si="456">AAM3+1</f>
        <v>42699</v>
      </c>
      <c r="AAO3" s="61">
        <f t="shared" ref="AAO3" si="457">AAN3+1</f>
        <v>42700</v>
      </c>
      <c r="AAP3" s="61">
        <f t="shared" ref="AAP3" si="458">AAO3+1</f>
        <v>42701</v>
      </c>
      <c r="AAQ3" s="61">
        <f t="shared" ref="AAQ3" si="459">AAP3+1</f>
        <v>42702</v>
      </c>
      <c r="AAR3" s="61">
        <f t="shared" ref="AAR3" si="460">AAQ3+1</f>
        <v>42703</v>
      </c>
      <c r="AAS3" s="61">
        <f t="shared" ref="AAS3" si="461">AAR3+1</f>
        <v>42704</v>
      </c>
      <c r="AAT3" s="61">
        <f t="shared" ref="AAT3" si="462">AAS3+1</f>
        <v>42705</v>
      </c>
      <c r="AAU3" s="61">
        <f t="shared" ref="AAU3" si="463">AAT3+1</f>
        <v>42706</v>
      </c>
      <c r="AAV3" s="61">
        <f t="shared" ref="AAV3" si="464">AAU3+1</f>
        <v>42707</v>
      </c>
      <c r="AAW3" s="61">
        <f t="shared" ref="AAW3" si="465">AAV3+1</f>
        <v>42708</v>
      </c>
      <c r="AAX3" s="61">
        <f t="shared" ref="AAX3" si="466">AAW3+1</f>
        <v>42709</v>
      </c>
      <c r="AAY3" s="61">
        <f t="shared" ref="AAY3" si="467">AAX3+1</f>
        <v>42710</v>
      </c>
      <c r="AAZ3" s="61">
        <f t="shared" ref="AAZ3" si="468">AAY3+1</f>
        <v>42711</v>
      </c>
      <c r="ABA3" s="61">
        <f t="shared" ref="ABA3" si="469">AAZ3+1</f>
        <v>42712</v>
      </c>
      <c r="ABB3" s="61">
        <f t="shared" ref="ABB3" si="470">ABA3+1</f>
        <v>42713</v>
      </c>
      <c r="ABC3" s="61">
        <f t="shared" ref="ABC3" si="471">ABB3+1</f>
        <v>42714</v>
      </c>
      <c r="ABD3" s="61">
        <f t="shared" ref="ABD3" si="472">ABC3+1</f>
        <v>42715</v>
      </c>
      <c r="ABE3" s="61">
        <f t="shared" ref="ABE3" si="473">ABD3+1</f>
        <v>42716</v>
      </c>
      <c r="ABF3" s="61">
        <f t="shared" ref="ABF3" si="474">ABE3+1</f>
        <v>42717</v>
      </c>
      <c r="ABG3" s="61">
        <f t="shared" ref="ABG3" si="475">ABF3+1</f>
        <v>42718</v>
      </c>
      <c r="ABH3" s="61">
        <f t="shared" ref="ABH3" si="476">ABG3+1</f>
        <v>42719</v>
      </c>
      <c r="ABI3" s="61">
        <f t="shared" ref="ABI3" si="477">ABH3+1</f>
        <v>42720</v>
      </c>
      <c r="ABJ3" s="61">
        <f t="shared" ref="ABJ3" si="478">ABI3+1</f>
        <v>42721</v>
      </c>
      <c r="ABK3" s="61">
        <f t="shared" ref="ABK3" si="479">ABJ3+1</f>
        <v>42722</v>
      </c>
      <c r="ABL3" s="61">
        <f t="shared" ref="ABL3" si="480">ABK3+1</f>
        <v>42723</v>
      </c>
      <c r="ABM3" s="61">
        <f t="shared" ref="ABM3" si="481">ABL3+1</f>
        <v>42724</v>
      </c>
      <c r="ABN3" s="61">
        <f t="shared" ref="ABN3" si="482">ABM3+1</f>
        <v>42725</v>
      </c>
      <c r="ABO3" s="61">
        <f t="shared" ref="ABO3" si="483">ABN3+1</f>
        <v>42726</v>
      </c>
      <c r="ABP3" s="61">
        <f t="shared" ref="ABP3" si="484">ABO3+1</f>
        <v>42727</v>
      </c>
      <c r="ABQ3" s="61">
        <f t="shared" ref="ABQ3" si="485">ABP3+1</f>
        <v>42728</v>
      </c>
      <c r="ABR3" s="61">
        <f t="shared" ref="ABR3" si="486">ABQ3+1</f>
        <v>42729</v>
      </c>
      <c r="ABS3" s="61">
        <f t="shared" ref="ABS3" si="487">ABR3+1</f>
        <v>42730</v>
      </c>
      <c r="ABT3" s="61">
        <f t="shared" ref="ABT3" si="488">ABS3+1</f>
        <v>42731</v>
      </c>
      <c r="ABU3" s="61">
        <f t="shared" ref="ABU3" si="489">ABT3+1</f>
        <v>42732</v>
      </c>
      <c r="ABV3" s="61">
        <f t="shared" ref="ABV3" si="490">ABU3+1</f>
        <v>42733</v>
      </c>
      <c r="ABW3" s="61">
        <f t="shared" ref="ABW3" si="491">ABV3+1</f>
        <v>42734</v>
      </c>
      <c r="ABX3" s="61">
        <f t="shared" ref="ABX3" si="492">ABW3+1</f>
        <v>42735</v>
      </c>
      <c r="ABY3" s="61">
        <f t="shared" ref="ABY3" si="493">ABX3+1</f>
        <v>42736</v>
      </c>
      <c r="ABZ3" s="61">
        <f t="shared" ref="ABZ3" si="494">ABY3+1</f>
        <v>42737</v>
      </c>
      <c r="ACA3" s="61">
        <f t="shared" ref="ACA3" si="495">ABZ3+1</f>
        <v>42738</v>
      </c>
      <c r="ACB3" s="61">
        <f t="shared" ref="ACB3" si="496">ACA3+1</f>
        <v>42739</v>
      </c>
      <c r="ACC3" s="61">
        <f t="shared" ref="ACC3" si="497">ACB3+1</f>
        <v>42740</v>
      </c>
      <c r="ACD3" s="61">
        <f t="shared" ref="ACD3" si="498">ACC3+1</f>
        <v>42741</v>
      </c>
      <c r="ACE3" s="61">
        <f t="shared" ref="ACE3" si="499">ACD3+1</f>
        <v>42742</v>
      </c>
      <c r="ACF3" s="61">
        <f t="shared" ref="ACF3" si="500">ACE3+1</f>
        <v>42743</v>
      </c>
      <c r="ACG3" s="61">
        <f t="shared" ref="ACG3" si="501">ACF3+1</f>
        <v>42744</v>
      </c>
      <c r="ACH3" s="61">
        <f t="shared" ref="ACH3" si="502">ACG3+1</f>
        <v>42745</v>
      </c>
      <c r="ACI3" s="61">
        <f t="shared" ref="ACI3" si="503">ACH3+1</f>
        <v>42746</v>
      </c>
      <c r="ACJ3" s="61">
        <f t="shared" ref="ACJ3" si="504">ACI3+1</f>
        <v>42747</v>
      </c>
      <c r="ACK3" s="61">
        <f t="shared" ref="ACK3" si="505">ACJ3+1</f>
        <v>42748</v>
      </c>
      <c r="ACL3" s="61">
        <f t="shared" ref="ACL3" si="506">ACK3+1</f>
        <v>42749</v>
      </c>
      <c r="ACM3" s="61">
        <f t="shared" ref="ACM3" si="507">ACL3+1</f>
        <v>42750</v>
      </c>
      <c r="ACN3" s="61">
        <f t="shared" ref="ACN3" si="508">ACM3+1</f>
        <v>42751</v>
      </c>
      <c r="ACO3" s="61">
        <f t="shared" ref="ACO3" si="509">ACN3+1</f>
        <v>42752</v>
      </c>
      <c r="ACP3" s="61">
        <f t="shared" ref="ACP3" si="510">ACO3+1</f>
        <v>42753</v>
      </c>
      <c r="ACQ3" s="61">
        <f t="shared" ref="ACQ3" si="511">ACP3+1</f>
        <v>42754</v>
      </c>
      <c r="ACR3" s="61">
        <f t="shared" ref="ACR3" si="512">ACQ3+1</f>
        <v>42755</v>
      </c>
      <c r="ACS3" s="61">
        <f t="shared" ref="ACS3" si="513">ACR3+1</f>
        <v>42756</v>
      </c>
      <c r="ACT3" s="61">
        <f t="shared" ref="ACT3" si="514">ACS3+1</f>
        <v>42757</v>
      </c>
      <c r="ACU3" s="61">
        <f t="shared" ref="ACU3" si="515">ACT3+1</f>
        <v>42758</v>
      </c>
      <c r="ACV3" s="61">
        <f t="shared" ref="ACV3" si="516">ACU3+1</f>
        <v>42759</v>
      </c>
      <c r="ACW3" s="61">
        <f t="shared" ref="ACW3" si="517">ACV3+1</f>
        <v>42760</v>
      </c>
      <c r="ACX3" s="61">
        <f t="shared" ref="ACX3" si="518">ACW3+1</f>
        <v>42761</v>
      </c>
      <c r="ACY3" s="61">
        <f t="shared" ref="ACY3" si="519">ACX3+1</f>
        <v>42762</v>
      </c>
      <c r="ACZ3" s="61">
        <f t="shared" ref="ACZ3" si="520">ACY3+1</f>
        <v>42763</v>
      </c>
      <c r="ADA3" s="61">
        <f t="shared" ref="ADA3" si="521">ACZ3+1</f>
        <v>42764</v>
      </c>
      <c r="ADB3" s="61">
        <f t="shared" ref="ADB3" si="522">ADA3+1</f>
        <v>42765</v>
      </c>
      <c r="ADC3" s="61">
        <f t="shared" ref="ADC3" si="523">ADB3+1</f>
        <v>42766</v>
      </c>
      <c r="ADD3" s="61">
        <f t="shared" ref="ADD3" si="524">ADC3+1</f>
        <v>42767</v>
      </c>
      <c r="ADE3" s="61">
        <f t="shared" ref="ADE3" si="525">ADD3+1</f>
        <v>42768</v>
      </c>
      <c r="ADF3" s="61">
        <f t="shared" ref="ADF3" si="526">ADE3+1</f>
        <v>42769</v>
      </c>
      <c r="ADG3" s="61">
        <f t="shared" ref="ADG3" si="527">ADF3+1</f>
        <v>42770</v>
      </c>
      <c r="ADH3" s="61">
        <f t="shared" ref="ADH3" si="528">ADG3+1</f>
        <v>42771</v>
      </c>
      <c r="ADI3" s="61">
        <f t="shared" ref="ADI3" si="529">ADH3+1</f>
        <v>42772</v>
      </c>
      <c r="ADJ3" s="61">
        <f t="shared" ref="ADJ3" si="530">ADI3+1</f>
        <v>42773</v>
      </c>
      <c r="ADK3" s="61">
        <f t="shared" ref="ADK3" si="531">ADJ3+1</f>
        <v>42774</v>
      </c>
      <c r="ADL3" s="61">
        <f t="shared" ref="ADL3" si="532">ADK3+1</f>
        <v>42775</v>
      </c>
      <c r="ADM3" s="61">
        <f t="shared" ref="ADM3" si="533">ADL3+1</f>
        <v>42776</v>
      </c>
      <c r="ADN3" s="61">
        <f t="shared" ref="ADN3" si="534">ADM3+1</f>
        <v>42777</v>
      </c>
      <c r="ADO3" s="61">
        <f t="shared" ref="ADO3" si="535">ADN3+1</f>
        <v>42778</v>
      </c>
    </row>
    <row r="4" spans="1:795" s="15" customFormat="1" ht="30.75" customHeight="1" x14ac:dyDescent="0.2">
      <c r="A4" s="24"/>
      <c r="B4" s="24"/>
      <c r="C4" s="2"/>
      <c r="D4" s="2"/>
      <c r="E4" s="2"/>
      <c r="F4" s="2"/>
      <c r="G4" s="2"/>
      <c r="H4" s="102"/>
      <c r="I4" s="2"/>
      <c r="J4" s="25"/>
      <c r="K4" s="25"/>
      <c r="L4" s="26"/>
      <c r="M4" s="26"/>
      <c r="N4" s="27"/>
      <c r="O4" s="27"/>
      <c r="P4" s="165" t="s">
        <v>3</v>
      </c>
      <c r="Q4" s="165" t="s">
        <v>4</v>
      </c>
      <c r="R4" s="14"/>
      <c r="S4" s="158">
        <f>S3</f>
        <v>42002</v>
      </c>
      <c r="T4" s="159"/>
      <c r="U4" s="159"/>
      <c r="V4" s="159"/>
      <c r="W4" s="159"/>
      <c r="X4" s="159"/>
      <c r="Y4" s="160"/>
      <c r="Z4" s="158">
        <f>IF(YEAR(Z3)=YEAR(S3),"",Z3)</f>
        <v>42009</v>
      </c>
      <c r="AA4" s="159"/>
      <c r="AB4" s="159"/>
      <c r="AC4" s="159"/>
      <c r="AD4" s="159"/>
      <c r="AE4" s="159"/>
      <c r="AF4" s="160"/>
      <c r="AG4" s="158" t="str">
        <f>IF(YEAR(AG3)=YEAR(Z3),"",AG3)</f>
        <v/>
      </c>
      <c r="AH4" s="159"/>
      <c r="AI4" s="159"/>
      <c r="AJ4" s="159"/>
      <c r="AK4" s="159"/>
      <c r="AL4" s="159"/>
      <c r="AM4" s="160"/>
      <c r="AN4" s="158" t="str">
        <f>IF(YEAR(AN3)=YEAR(AG3),"",AN3)</f>
        <v/>
      </c>
      <c r="AO4" s="159"/>
      <c r="AP4" s="159"/>
      <c r="AQ4" s="159"/>
      <c r="AR4" s="159"/>
      <c r="AS4" s="159"/>
      <c r="AT4" s="160"/>
      <c r="AU4" s="158" t="str">
        <f>IF(YEAR(AU3)=YEAR(AN3),"",AU3)</f>
        <v/>
      </c>
      <c r="AV4" s="159"/>
      <c r="AW4" s="159"/>
      <c r="AX4" s="159"/>
      <c r="AY4" s="159"/>
      <c r="AZ4" s="159"/>
      <c r="BA4" s="160"/>
      <c r="BB4" s="158" t="str">
        <f>IF(YEAR(BB3)=YEAR(AU3),"",BB3)</f>
        <v/>
      </c>
      <c r="BC4" s="159"/>
      <c r="BD4" s="159"/>
      <c r="BE4" s="159"/>
      <c r="BF4" s="159"/>
      <c r="BG4" s="159"/>
      <c r="BH4" s="160"/>
      <c r="BI4" s="158" t="str">
        <f>IF(YEAR(BI3)=YEAR(BB3),"",BI3)</f>
        <v/>
      </c>
      <c r="BJ4" s="159"/>
      <c r="BK4" s="159"/>
      <c r="BL4" s="159"/>
      <c r="BM4" s="159"/>
      <c r="BN4" s="159"/>
      <c r="BO4" s="160"/>
      <c r="BP4" s="158" t="str">
        <f>IF(YEAR(BP3)=YEAR(BI3),"",BP3)</f>
        <v/>
      </c>
      <c r="BQ4" s="159"/>
      <c r="BR4" s="159"/>
      <c r="BS4" s="159"/>
      <c r="BT4" s="159"/>
      <c r="BU4" s="159"/>
      <c r="BV4" s="160"/>
      <c r="BW4" s="158" t="str">
        <f>IF(YEAR(BW3)=YEAR(BP3),"",BW3)</f>
        <v/>
      </c>
      <c r="BX4" s="159"/>
      <c r="BY4" s="159"/>
      <c r="BZ4" s="159"/>
      <c r="CA4" s="159"/>
      <c r="CB4" s="159"/>
      <c r="CC4" s="160"/>
      <c r="CD4" s="158" t="str">
        <f>IF(YEAR(CD3)=YEAR(BW3),"",CD3)</f>
        <v/>
      </c>
      <c r="CE4" s="159"/>
      <c r="CF4" s="159"/>
      <c r="CG4" s="159"/>
      <c r="CH4" s="159"/>
      <c r="CI4" s="159"/>
      <c r="CJ4" s="160"/>
      <c r="CK4" s="158" t="str">
        <f>IF(YEAR(CK3)=YEAR(CD3),"",CK3)</f>
        <v/>
      </c>
      <c r="CL4" s="159"/>
      <c r="CM4" s="159"/>
      <c r="CN4" s="159"/>
      <c r="CO4" s="159"/>
      <c r="CP4" s="159"/>
      <c r="CQ4" s="160"/>
      <c r="CR4" s="158" t="str">
        <f>IF(YEAR(CR3)=YEAR(CK3),"",CR3)</f>
        <v/>
      </c>
      <c r="CS4" s="159"/>
      <c r="CT4" s="159"/>
      <c r="CU4" s="159"/>
      <c r="CV4" s="159"/>
      <c r="CW4" s="159"/>
      <c r="CX4" s="160"/>
      <c r="CY4" s="158" t="str">
        <f>IF(YEAR(CY3)=YEAR(CR3),"",CY3)</f>
        <v/>
      </c>
      <c r="CZ4" s="159"/>
      <c r="DA4" s="159"/>
      <c r="DB4" s="159"/>
      <c r="DC4" s="159"/>
      <c r="DD4" s="159"/>
      <c r="DE4" s="160"/>
      <c r="DF4" s="158" t="str">
        <f>IF(YEAR(DF3)=YEAR(CY3),"",DF3)</f>
        <v/>
      </c>
      <c r="DG4" s="159"/>
      <c r="DH4" s="159"/>
      <c r="DI4" s="159"/>
      <c r="DJ4" s="159"/>
      <c r="DK4" s="159"/>
      <c r="DL4" s="160"/>
      <c r="DM4" s="158" t="str">
        <f>IF(YEAR(DM3)=YEAR(DF3),"",DM3)</f>
        <v/>
      </c>
      <c r="DN4" s="159"/>
      <c r="DO4" s="159"/>
      <c r="DP4" s="159"/>
      <c r="DQ4" s="159"/>
      <c r="DR4" s="159"/>
      <c r="DS4" s="160"/>
      <c r="DT4" s="158" t="str">
        <f>IF(YEAR(DT3)=YEAR(DM3),"",DT3)</f>
        <v/>
      </c>
      <c r="DU4" s="159"/>
      <c r="DV4" s="159"/>
      <c r="DW4" s="159"/>
      <c r="DX4" s="159"/>
      <c r="DY4" s="159"/>
      <c r="DZ4" s="160"/>
      <c r="EA4" s="158" t="str">
        <f>IF(YEAR(EA3)=YEAR(DT3),"",EA3)</f>
        <v/>
      </c>
      <c r="EB4" s="159"/>
      <c r="EC4" s="159"/>
      <c r="ED4" s="159"/>
      <c r="EE4" s="159"/>
      <c r="EF4" s="159"/>
      <c r="EG4" s="160"/>
      <c r="EH4" s="158" t="str">
        <f>IF(YEAR(EH3)=YEAR(EA3),"",EH3)</f>
        <v/>
      </c>
      <c r="EI4" s="159"/>
      <c r="EJ4" s="159"/>
      <c r="EK4" s="159"/>
      <c r="EL4" s="159"/>
      <c r="EM4" s="159"/>
      <c r="EN4" s="160"/>
      <c r="EO4" s="158" t="str">
        <f>IF(YEAR(EO3)=YEAR(EH3),"",EO3)</f>
        <v/>
      </c>
      <c r="EP4" s="159"/>
      <c r="EQ4" s="159"/>
      <c r="ER4" s="159"/>
      <c r="ES4" s="159"/>
      <c r="ET4" s="159"/>
      <c r="EU4" s="160"/>
      <c r="EV4" s="158" t="str">
        <f>IF(YEAR(EV3)=YEAR(EO3),"",EV3)</f>
        <v/>
      </c>
      <c r="EW4" s="159"/>
      <c r="EX4" s="159"/>
      <c r="EY4" s="159"/>
      <c r="EZ4" s="159"/>
      <c r="FA4" s="159"/>
      <c r="FB4" s="160"/>
      <c r="FC4" s="158" t="str">
        <f>IF(YEAR(FC3)=YEAR(EV3),"",FC3)</f>
        <v/>
      </c>
      <c r="FD4" s="159"/>
      <c r="FE4" s="159"/>
      <c r="FF4" s="159"/>
      <c r="FG4" s="159"/>
      <c r="FH4" s="159"/>
      <c r="FI4" s="160"/>
      <c r="FJ4" s="158" t="str">
        <f>IF(YEAR(FJ3)=YEAR(FC3),"",FJ3)</f>
        <v/>
      </c>
      <c r="FK4" s="159"/>
      <c r="FL4" s="159"/>
      <c r="FM4" s="159"/>
      <c r="FN4" s="159"/>
      <c r="FO4" s="159"/>
      <c r="FP4" s="160"/>
      <c r="FQ4" s="158" t="str">
        <f>IF(YEAR(FQ3)=YEAR(FJ3),"",FQ3)</f>
        <v/>
      </c>
      <c r="FR4" s="159"/>
      <c r="FS4" s="159"/>
      <c r="FT4" s="159"/>
      <c r="FU4" s="159"/>
      <c r="FV4" s="159"/>
      <c r="FW4" s="160"/>
      <c r="FX4" s="158" t="str">
        <f>IF(YEAR(FX3)=YEAR(FQ3),"",FX3)</f>
        <v/>
      </c>
      <c r="FY4" s="159"/>
      <c r="FZ4" s="159"/>
      <c r="GA4" s="159"/>
      <c r="GB4" s="159"/>
      <c r="GC4" s="159"/>
      <c r="GD4" s="160"/>
      <c r="GE4" s="158" t="str">
        <f>IF(YEAR(GE3)=YEAR(FX3),"",GE3)</f>
        <v/>
      </c>
      <c r="GF4" s="159"/>
      <c r="GG4" s="159"/>
      <c r="GH4" s="159"/>
      <c r="GI4" s="159"/>
      <c r="GJ4" s="159"/>
      <c r="GK4" s="160"/>
      <c r="GL4" s="158" t="str">
        <f>IF(YEAR(GL3)=YEAR(GE3),"",GL3)</f>
        <v/>
      </c>
      <c r="GM4" s="159"/>
      <c r="GN4" s="159"/>
      <c r="GO4" s="159"/>
      <c r="GP4" s="159"/>
      <c r="GQ4" s="159"/>
      <c r="GR4" s="160"/>
      <c r="GS4" s="158" t="str">
        <f>IF(YEAR(GS3)=YEAR(GL3),"",GS3)</f>
        <v/>
      </c>
      <c r="GT4" s="159"/>
      <c r="GU4" s="159"/>
      <c r="GV4" s="159"/>
      <c r="GW4" s="159"/>
      <c r="GX4" s="159"/>
      <c r="GY4" s="160"/>
      <c r="GZ4" s="158" t="str">
        <f>IF(YEAR(GZ3)=YEAR(GS3),"",GZ3)</f>
        <v/>
      </c>
      <c r="HA4" s="159"/>
      <c r="HB4" s="159"/>
      <c r="HC4" s="159"/>
      <c r="HD4" s="159"/>
      <c r="HE4" s="159"/>
      <c r="HF4" s="160"/>
      <c r="HG4" s="158" t="str">
        <f>IF(YEAR(HG3)=YEAR(GZ3),"",HG3)</f>
        <v/>
      </c>
      <c r="HH4" s="159"/>
      <c r="HI4" s="159"/>
      <c r="HJ4" s="159"/>
      <c r="HK4" s="159"/>
      <c r="HL4" s="159"/>
      <c r="HM4" s="160"/>
      <c r="HN4" s="158" t="str">
        <f>IF(YEAR(HN3)=YEAR(HG3),"",HN3)</f>
        <v/>
      </c>
      <c r="HO4" s="159"/>
      <c r="HP4" s="159"/>
      <c r="HQ4" s="159"/>
      <c r="HR4" s="159"/>
      <c r="HS4" s="159"/>
      <c r="HT4" s="160"/>
      <c r="HU4" s="158" t="str">
        <f>IF(YEAR(HU3)=YEAR(HN3),"",HU3)</f>
        <v/>
      </c>
      <c r="HV4" s="159"/>
      <c r="HW4" s="159"/>
      <c r="HX4" s="159"/>
      <c r="HY4" s="159"/>
      <c r="HZ4" s="159"/>
      <c r="IA4" s="160"/>
      <c r="IB4" s="158" t="str">
        <f>IF(YEAR(IB3)=YEAR(HU3),"",IB3)</f>
        <v/>
      </c>
      <c r="IC4" s="159"/>
      <c r="ID4" s="159"/>
      <c r="IE4" s="159"/>
      <c r="IF4" s="159"/>
      <c r="IG4" s="159"/>
      <c r="IH4" s="160"/>
      <c r="II4" s="158" t="str">
        <f>IF(YEAR(II3)=YEAR(IB3),"",II3)</f>
        <v/>
      </c>
      <c r="IJ4" s="159"/>
      <c r="IK4" s="159"/>
      <c r="IL4" s="159"/>
      <c r="IM4" s="159"/>
      <c r="IN4" s="159"/>
      <c r="IO4" s="160"/>
      <c r="IP4" s="158" t="str">
        <f>IF(YEAR(IP3)=YEAR(II3),"",IP3)</f>
        <v/>
      </c>
      <c r="IQ4" s="159"/>
      <c r="IR4" s="159"/>
      <c r="IS4" s="159"/>
      <c r="IT4" s="159"/>
      <c r="IU4" s="159"/>
      <c r="IV4" s="160"/>
      <c r="IW4" s="158" t="str">
        <f>IF(YEAR(IW3)=YEAR(IP3),"",IW3)</f>
        <v/>
      </c>
      <c r="IX4" s="159"/>
      <c r="IY4" s="159"/>
      <c r="IZ4" s="159"/>
      <c r="JA4" s="159"/>
      <c r="JB4" s="159"/>
      <c r="JC4" s="160"/>
      <c r="JD4" s="158" t="str">
        <f t="shared" ref="JD4" si="536">IF(YEAR(JD3)=YEAR(IW3),"",JD3)</f>
        <v/>
      </c>
      <c r="JE4" s="159"/>
      <c r="JF4" s="159"/>
      <c r="JG4" s="159"/>
      <c r="JH4" s="159"/>
      <c r="JI4" s="159"/>
      <c r="JJ4" s="160"/>
      <c r="JK4" s="158" t="str">
        <f t="shared" ref="JK4" si="537">IF(YEAR(JK3)=YEAR(JD3),"",JK3)</f>
        <v/>
      </c>
      <c r="JL4" s="159"/>
      <c r="JM4" s="159"/>
      <c r="JN4" s="159"/>
      <c r="JO4" s="159"/>
      <c r="JP4" s="159"/>
      <c r="JQ4" s="160"/>
      <c r="JR4" s="158" t="str">
        <f t="shared" ref="JR4" si="538">IF(YEAR(JR3)=YEAR(JK3),"",JR3)</f>
        <v/>
      </c>
      <c r="JS4" s="159"/>
      <c r="JT4" s="159"/>
      <c r="JU4" s="159"/>
      <c r="JV4" s="159"/>
      <c r="JW4" s="159"/>
      <c r="JX4" s="160"/>
      <c r="JY4" s="158" t="str">
        <f t="shared" ref="JY4" si="539">IF(YEAR(JY3)=YEAR(JR3),"",JY3)</f>
        <v/>
      </c>
      <c r="JZ4" s="159"/>
      <c r="KA4" s="159"/>
      <c r="KB4" s="159"/>
      <c r="KC4" s="159"/>
      <c r="KD4" s="159"/>
      <c r="KE4" s="160"/>
      <c r="KF4" s="158" t="str">
        <f t="shared" ref="KF4" si="540">IF(YEAR(KF3)=YEAR(JY3),"",KF3)</f>
        <v/>
      </c>
      <c r="KG4" s="159"/>
      <c r="KH4" s="159"/>
      <c r="KI4" s="159"/>
      <c r="KJ4" s="159"/>
      <c r="KK4" s="159"/>
      <c r="KL4" s="160"/>
      <c r="KM4" s="158" t="str">
        <f t="shared" ref="KM4" si="541">IF(YEAR(KM3)=YEAR(KF3),"",KM3)</f>
        <v/>
      </c>
      <c r="KN4" s="159"/>
      <c r="KO4" s="159"/>
      <c r="KP4" s="159"/>
      <c r="KQ4" s="159"/>
      <c r="KR4" s="159"/>
      <c r="KS4" s="160"/>
      <c r="KT4" s="158" t="str">
        <f t="shared" ref="KT4" si="542">IF(YEAR(KT3)=YEAR(KM3),"",KT3)</f>
        <v/>
      </c>
      <c r="KU4" s="159"/>
      <c r="KV4" s="159"/>
      <c r="KW4" s="159"/>
      <c r="KX4" s="159"/>
      <c r="KY4" s="159"/>
      <c r="KZ4" s="160"/>
      <c r="LA4" s="158" t="str">
        <f t="shared" ref="LA4" si="543">IF(YEAR(LA3)=YEAR(KT3),"",LA3)</f>
        <v/>
      </c>
      <c r="LB4" s="159"/>
      <c r="LC4" s="159"/>
      <c r="LD4" s="159"/>
      <c r="LE4" s="159"/>
      <c r="LF4" s="159"/>
      <c r="LG4" s="160"/>
      <c r="LH4" s="158" t="str">
        <f t="shared" ref="LH4" si="544">IF(YEAR(LH3)=YEAR(LA3),"",LH3)</f>
        <v/>
      </c>
      <c r="LI4" s="159"/>
      <c r="LJ4" s="159"/>
      <c r="LK4" s="159"/>
      <c r="LL4" s="159"/>
      <c r="LM4" s="159"/>
      <c r="LN4" s="160"/>
      <c r="LO4" s="158" t="str">
        <f t="shared" ref="LO4" si="545">IF(YEAR(LO3)=YEAR(LH3),"",LO3)</f>
        <v/>
      </c>
      <c r="LP4" s="159"/>
      <c r="LQ4" s="159"/>
      <c r="LR4" s="159"/>
      <c r="LS4" s="159"/>
      <c r="LT4" s="159"/>
      <c r="LU4" s="160"/>
      <c r="LV4" s="158" t="str">
        <f t="shared" ref="LV4" si="546">IF(YEAR(LV3)=YEAR(LO3),"",LV3)</f>
        <v/>
      </c>
      <c r="LW4" s="159"/>
      <c r="LX4" s="159"/>
      <c r="LY4" s="159"/>
      <c r="LZ4" s="159"/>
      <c r="MA4" s="159"/>
      <c r="MB4" s="160"/>
      <c r="MC4" s="158" t="str">
        <f t="shared" ref="MC4" si="547">IF(YEAR(MC3)=YEAR(LV3),"",MC3)</f>
        <v/>
      </c>
      <c r="MD4" s="159"/>
      <c r="ME4" s="159"/>
      <c r="MF4" s="159"/>
      <c r="MG4" s="159"/>
      <c r="MH4" s="159"/>
      <c r="MI4" s="160"/>
      <c r="MJ4" s="158" t="str">
        <f t="shared" ref="MJ4" si="548">IF(YEAR(MJ3)=YEAR(MC3),"",MJ3)</f>
        <v/>
      </c>
      <c r="MK4" s="159"/>
      <c r="ML4" s="159"/>
      <c r="MM4" s="159"/>
      <c r="MN4" s="159"/>
      <c r="MO4" s="159"/>
      <c r="MP4" s="160"/>
      <c r="MQ4" s="158" t="str">
        <f t="shared" ref="MQ4" si="549">IF(YEAR(MQ3)=YEAR(MJ3),"",MQ3)</f>
        <v/>
      </c>
      <c r="MR4" s="159"/>
      <c r="MS4" s="159"/>
      <c r="MT4" s="159"/>
      <c r="MU4" s="159"/>
      <c r="MV4" s="159"/>
      <c r="MW4" s="160"/>
      <c r="MX4" s="158" t="str">
        <f t="shared" ref="MX4" si="550">IF(YEAR(MX3)=YEAR(MQ3),"",MX3)</f>
        <v/>
      </c>
      <c r="MY4" s="159"/>
      <c r="MZ4" s="159"/>
      <c r="NA4" s="159"/>
      <c r="NB4" s="159"/>
      <c r="NC4" s="159"/>
      <c r="ND4" s="160"/>
      <c r="NE4" s="158" t="str">
        <f t="shared" ref="NE4" si="551">IF(YEAR(NE3)=YEAR(MX3),"",NE3)</f>
        <v/>
      </c>
      <c r="NF4" s="159"/>
      <c r="NG4" s="159"/>
      <c r="NH4" s="159"/>
      <c r="NI4" s="159"/>
      <c r="NJ4" s="159"/>
      <c r="NK4" s="160"/>
      <c r="NL4" s="158" t="str">
        <f t="shared" ref="NL4" si="552">IF(YEAR(NL3)=YEAR(NE3),"",NL3)</f>
        <v/>
      </c>
      <c r="NM4" s="159"/>
      <c r="NN4" s="159"/>
      <c r="NO4" s="159"/>
      <c r="NP4" s="159"/>
      <c r="NQ4" s="159"/>
      <c r="NR4" s="160"/>
      <c r="NS4" s="158" t="str">
        <f t="shared" ref="NS4" si="553">IF(YEAR(NS3)=YEAR(NL3),"",NS3)</f>
        <v/>
      </c>
      <c r="NT4" s="159"/>
      <c r="NU4" s="159"/>
      <c r="NV4" s="159"/>
      <c r="NW4" s="159"/>
      <c r="NX4" s="159"/>
      <c r="NY4" s="160"/>
      <c r="NZ4" s="158">
        <f t="shared" ref="NZ4" si="554">IF(YEAR(NZ3)=YEAR(NS3),"",NZ3)</f>
        <v>42373</v>
      </c>
      <c r="OA4" s="159"/>
      <c r="OB4" s="159"/>
      <c r="OC4" s="159"/>
      <c r="OD4" s="159"/>
      <c r="OE4" s="159"/>
      <c r="OF4" s="160"/>
      <c r="OG4" s="158" t="str">
        <f t="shared" ref="OG4" si="555">IF(YEAR(OG3)=YEAR(NZ3),"",OG3)</f>
        <v/>
      </c>
      <c r="OH4" s="159"/>
      <c r="OI4" s="159"/>
      <c r="OJ4" s="159"/>
      <c r="OK4" s="159"/>
      <c r="OL4" s="159"/>
      <c r="OM4" s="160"/>
      <c r="ON4" s="158" t="str">
        <f t="shared" ref="ON4" si="556">IF(YEAR(ON3)=YEAR(OG3),"",ON3)</f>
        <v/>
      </c>
      <c r="OO4" s="159"/>
      <c r="OP4" s="159"/>
      <c r="OQ4" s="159"/>
      <c r="OR4" s="159"/>
      <c r="OS4" s="159"/>
      <c r="OT4" s="160"/>
      <c r="OU4" s="158" t="str">
        <f t="shared" ref="OU4" si="557">IF(YEAR(OU3)=YEAR(ON3),"",OU3)</f>
        <v/>
      </c>
      <c r="OV4" s="159"/>
      <c r="OW4" s="159"/>
      <c r="OX4" s="159"/>
      <c r="OY4" s="159"/>
      <c r="OZ4" s="159"/>
      <c r="PA4" s="160"/>
      <c r="PB4" s="158" t="str">
        <f t="shared" ref="PB4" si="558">IF(YEAR(PB3)=YEAR(OU3),"",PB3)</f>
        <v/>
      </c>
      <c r="PC4" s="159"/>
      <c r="PD4" s="159"/>
      <c r="PE4" s="159"/>
      <c r="PF4" s="159"/>
      <c r="PG4" s="159"/>
      <c r="PH4" s="160"/>
      <c r="PI4" s="158" t="str">
        <f t="shared" ref="PI4" si="559">IF(YEAR(PI3)=YEAR(PB3),"",PI3)</f>
        <v/>
      </c>
      <c r="PJ4" s="159"/>
      <c r="PK4" s="159"/>
      <c r="PL4" s="159"/>
      <c r="PM4" s="159"/>
      <c r="PN4" s="159"/>
      <c r="PO4" s="160"/>
      <c r="PP4" s="158" t="str">
        <f t="shared" ref="PP4" si="560">IF(YEAR(PP3)=YEAR(PI3),"",PP3)</f>
        <v/>
      </c>
      <c r="PQ4" s="159"/>
      <c r="PR4" s="159"/>
      <c r="PS4" s="159"/>
      <c r="PT4" s="159"/>
      <c r="PU4" s="159"/>
      <c r="PV4" s="160"/>
      <c r="PW4" s="158" t="str">
        <f t="shared" ref="PW4" si="561">IF(YEAR(PW3)=YEAR(PP3),"",PW3)</f>
        <v/>
      </c>
      <c r="PX4" s="159"/>
      <c r="PY4" s="159"/>
      <c r="PZ4" s="159"/>
      <c r="QA4" s="159"/>
      <c r="QB4" s="159"/>
      <c r="QC4" s="160"/>
      <c r="QD4" s="158" t="str">
        <f t="shared" ref="QD4" si="562">IF(YEAR(QD3)=YEAR(PW3),"",QD3)</f>
        <v/>
      </c>
      <c r="QE4" s="159"/>
      <c r="QF4" s="159"/>
      <c r="QG4" s="159"/>
      <c r="QH4" s="159"/>
      <c r="QI4" s="159"/>
      <c r="QJ4" s="160"/>
      <c r="QK4" s="158" t="str">
        <f t="shared" ref="QK4" si="563">IF(YEAR(QK3)=YEAR(QD3),"",QK3)</f>
        <v/>
      </c>
      <c r="QL4" s="159"/>
      <c r="QM4" s="159"/>
      <c r="QN4" s="159"/>
      <c r="QO4" s="159"/>
      <c r="QP4" s="159"/>
      <c r="QQ4" s="160"/>
      <c r="QR4" s="158" t="str">
        <f t="shared" ref="QR4" si="564">IF(YEAR(QR3)=YEAR(QK3),"",QR3)</f>
        <v/>
      </c>
      <c r="QS4" s="159"/>
      <c r="QT4" s="159"/>
      <c r="QU4" s="159"/>
      <c r="QV4" s="159"/>
      <c r="QW4" s="159"/>
      <c r="QX4" s="160"/>
      <c r="QY4" s="158" t="str">
        <f t="shared" ref="QY4" si="565">IF(YEAR(QY3)=YEAR(QR3),"",QY3)</f>
        <v/>
      </c>
      <c r="QZ4" s="159"/>
      <c r="RA4" s="159"/>
      <c r="RB4" s="159"/>
      <c r="RC4" s="159"/>
      <c r="RD4" s="159"/>
      <c r="RE4" s="160"/>
      <c r="RF4" s="158" t="str">
        <f t="shared" ref="RF4" si="566">IF(YEAR(RF3)=YEAR(QY3),"",RF3)</f>
        <v/>
      </c>
      <c r="RG4" s="159"/>
      <c r="RH4" s="159"/>
      <c r="RI4" s="159"/>
      <c r="RJ4" s="159"/>
      <c r="RK4" s="159"/>
      <c r="RL4" s="160"/>
      <c r="RM4" s="158" t="str">
        <f t="shared" ref="RM4" si="567">IF(YEAR(RM3)=YEAR(RF3),"",RM3)</f>
        <v/>
      </c>
      <c r="RN4" s="159"/>
      <c r="RO4" s="159"/>
      <c r="RP4" s="159"/>
      <c r="RQ4" s="159"/>
      <c r="RR4" s="159"/>
      <c r="RS4" s="160"/>
      <c r="RT4" s="158" t="str">
        <f t="shared" ref="RT4" si="568">IF(YEAR(RT3)=YEAR(RM3),"",RT3)</f>
        <v/>
      </c>
      <c r="RU4" s="159"/>
      <c r="RV4" s="159"/>
      <c r="RW4" s="159"/>
      <c r="RX4" s="159"/>
      <c r="RY4" s="159"/>
      <c r="RZ4" s="160"/>
      <c r="SA4" s="158" t="str">
        <f t="shared" ref="SA4" si="569">IF(YEAR(SA3)=YEAR(RT3),"",SA3)</f>
        <v/>
      </c>
      <c r="SB4" s="159"/>
      <c r="SC4" s="159"/>
      <c r="SD4" s="159"/>
      <c r="SE4" s="159"/>
      <c r="SF4" s="159"/>
      <c r="SG4" s="160"/>
      <c r="SH4" s="158" t="str">
        <f t="shared" ref="SH4" si="570">IF(YEAR(SH3)=YEAR(SA3),"",SH3)</f>
        <v/>
      </c>
      <c r="SI4" s="159"/>
      <c r="SJ4" s="159"/>
      <c r="SK4" s="159"/>
      <c r="SL4" s="159"/>
      <c r="SM4" s="159"/>
      <c r="SN4" s="160"/>
      <c r="SO4" s="158" t="str">
        <f t="shared" ref="SO4" si="571">IF(YEAR(SO3)=YEAR(SH3),"",SO3)</f>
        <v/>
      </c>
      <c r="SP4" s="159"/>
      <c r="SQ4" s="159"/>
      <c r="SR4" s="159"/>
      <c r="SS4" s="159"/>
      <c r="ST4" s="159"/>
      <c r="SU4" s="160"/>
      <c r="SV4" s="158" t="str">
        <f t="shared" ref="SV4" si="572">IF(YEAR(SV3)=YEAR(SO3),"",SV3)</f>
        <v/>
      </c>
      <c r="SW4" s="159"/>
      <c r="SX4" s="159"/>
      <c r="SY4" s="159"/>
      <c r="SZ4" s="159"/>
      <c r="TA4" s="159"/>
      <c r="TB4" s="160"/>
      <c r="TC4" s="158" t="str">
        <f t="shared" ref="TC4" si="573">IF(YEAR(TC3)=YEAR(SV3),"",TC3)</f>
        <v/>
      </c>
      <c r="TD4" s="159"/>
      <c r="TE4" s="159"/>
      <c r="TF4" s="159"/>
      <c r="TG4" s="159"/>
      <c r="TH4" s="159"/>
      <c r="TI4" s="160"/>
      <c r="TJ4" s="158" t="str">
        <f t="shared" ref="TJ4" si="574">IF(YEAR(TJ3)=YEAR(TC3),"",TJ3)</f>
        <v/>
      </c>
      <c r="TK4" s="159"/>
      <c r="TL4" s="159"/>
      <c r="TM4" s="159"/>
      <c r="TN4" s="159"/>
      <c r="TO4" s="159"/>
      <c r="TP4" s="160"/>
      <c r="TQ4" s="158" t="str">
        <f t="shared" ref="TQ4" si="575">IF(YEAR(TQ3)=YEAR(TJ3),"",TQ3)</f>
        <v/>
      </c>
      <c r="TR4" s="159"/>
      <c r="TS4" s="159"/>
      <c r="TT4" s="159"/>
      <c r="TU4" s="159"/>
      <c r="TV4" s="159"/>
      <c r="TW4" s="160"/>
      <c r="TX4" s="158" t="str">
        <f t="shared" ref="TX4" si="576">IF(YEAR(TX3)=YEAR(TQ3),"",TX3)</f>
        <v/>
      </c>
      <c r="TY4" s="159"/>
      <c r="TZ4" s="159"/>
      <c r="UA4" s="159"/>
      <c r="UB4" s="159"/>
      <c r="UC4" s="159"/>
      <c r="UD4" s="160"/>
      <c r="UE4" s="158" t="str">
        <f t="shared" ref="UE4" si="577">IF(YEAR(UE3)=YEAR(TX3),"",UE3)</f>
        <v/>
      </c>
      <c r="UF4" s="159"/>
      <c r="UG4" s="159"/>
      <c r="UH4" s="159"/>
      <c r="UI4" s="159"/>
      <c r="UJ4" s="159"/>
      <c r="UK4" s="160"/>
      <c r="UL4" s="158" t="str">
        <f t="shared" ref="UL4" si="578">IF(YEAR(UL3)=YEAR(UE3),"",UL3)</f>
        <v/>
      </c>
      <c r="UM4" s="159"/>
      <c r="UN4" s="159"/>
      <c r="UO4" s="159"/>
      <c r="UP4" s="159"/>
      <c r="UQ4" s="159"/>
      <c r="UR4" s="160"/>
      <c r="US4" s="158" t="str">
        <f t="shared" ref="US4" si="579">IF(YEAR(US3)=YEAR(UL3),"",US3)</f>
        <v/>
      </c>
      <c r="UT4" s="159"/>
      <c r="UU4" s="159"/>
      <c r="UV4" s="159"/>
      <c r="UW4" s="159"/>
      <c r="UX4" s="159"/>
      <c r="UY4" s="160"/>
      <c r="UZ4" s="158" t="str">
        <f t="shared" ref="UZ4" si="580">IF(YEAR(UZ3)=YEAR(US3),"",UZ3)</f>
        <v/>
      </c>
      <c r="VA4" s="159"/>
      <c r="VB4" s="159"/>
      <c r="VC4" s="159"/>
      <c r="VD4" s="159"/>
      <c r="VE4" s="159"/>
      <c r="VF4" s="160"/>
      <c r="VG4" s="158" t="str">
        <f t="shared" ref="VG4" si="581">IF(YEAR(VG3)=YEAR(UZ3),"",VG3)</f>
        <v/>
      </c>
      <c r="VH4" s="159"/>
      <c r="VI4" s="159"/>
      <c r="VJ4" s="159"/>
      <c r="VK4" s="159"/>
      <c r="VL4" s="159"/>
      <c r="VM4" s="160"/>
      <c r="VN4" s="158" t="str">
        <f t="shared" ref="VN4" si="582">IF(YEAR(VN3)=YEAR(VG3),"",VN3)</f>
        <v/>
      </c>
      <c r="VO4" s="159"/>
      <c r="VP4" s="159"/>
      <c r="VQ4" s="159"/>
      <c r="VR4" s="159"/>
      <c r="VS4" s="159"/>
      <c r="VT4" s="160"/>
      <c r="VU4" s="158" t="str">
        <f t="shared" ref="VU4" si="583">IF(YEAR(VU3)=YEAR(VN3),"",VU3)</f>
        <v/>
      </c>
      <c r="VV4" s="159"/>
      <c r="VW4" s="159"/>
      <c r="VX4" s="159"/>
      <c r="VY4" s="159"/>
      <c r="VZ4" s="159"/>
      <c r="WA4" s="160"/>
      <c r="WB4" s="158" t="str">
        <f t="shared" ref="WB4" si="584">IF(YEAR(WB3)=YEAR(VU3),"",WB3)</f>
        <v/>
      </c>
      <c r="WC4" s="159"/>
      <c r="WD4" s="159"/>
      <c r="WE4" s="159"/>
      <c r="WF4" s="159"/>
      <c r="WG4" s="159"/>
      <c r="WH4" s="160"/>
      <c r="WI4" s="158" t="str">
        <f t="shared" ref="WI4" si="585">IF(YEAR(WI3)=YEAR(WB3),"",WI3)</f>
        <v/>
      </c>
      <c r="WJ4" s="159"/>
      <c r="WK4" s="159"/>
      <c r="WL4" s="159"/>
      <c r="WM4" s="159"/>
      <c r="WN4" s="159"/>
      <c r="WO4" s="160"/>
      <c r="WP4" s="158" t="str">
        <f t="shared" ref="WP4" si="586">IF(YEAR(WP3)=YEAR(WI3),"",WP3)</f>
        <v/>
      </c>
      <c r="WQ4" s="159"/>
      <c r="WR4" s="159"/>
      <c r="WS4" s="159"/>
      <c r="WT4" s="159"/>
      <c r="WU4" s="159"/>
      <c r="WV4" s="160"/>
      <c r="WW4" s="158" t="str">
        <f t="shared" ref="WW4" si="587">IF(YEAR(WW3)=YEAR(WP3),"",WW3)</f>
        <v/>
      </c>
      <c r="WX4" s="159"/>
      <c r="WY4" s="159"/>
      <c r="WZ4" s="159"/>
      <c r="XA4" s="159"/>
      <c r="XB4" s="159"/>
      <c r="XC4" s="160"/>
      <c r="XD4" s="158" t="str">
        <f t="shared" ref="XD4" si="588">IF(YEAR(XD3)=YEAR(WW3),"",XD3)</f>
        <v/>
      </c>
      <c r="XE4" s="159"/>
      <c r="XF4" s="159"/>
      <c r="XG4" s="159"/>
      <c r="XH4" s="159"/>
      <c r="XI4" s="159"/>
      <c r="XJ4" s="160"/>
      <c r="XK4" s="158" t="str">
        <f t="shared" ref="XK4" si="589">IF(YEAR(XK3)=YEAR(XD3),"",XK3)</f>
        <v/>
      </c>
      <c r="XL4" s="159"/>
      <c r="XM4" s="159"/>
      <c r="XN4" s="159"/>
      <c r="XO4" s="159"/>
      <c r="XP4" s="159"/>
      <c r="XQ4" s="160"/>
      <c r="XR4" s="158" t="str">
        <f t="shared" ref="XR4" si="590">IF(YEAR(XR3)=YEAR(XK3),"",XR3)</f>
        <v/>
      </c>
      <c r="XS4" s="159"/>
      <c r="XT4" s="159"/>
      <c r="XU4" s="159"/>
      <c r="XV4" s="159"/>
      <c r="XW4" s="159"/>
      <c r="XX4" s="160"/>
      <c r="XY4" s="158" t="str">
        <f t="shared" ref="XY4" si="591">IF(YEAR(XY3)=YEAR(XR3),"",XY3)</f>
        <v/>
      </c>
      <c r="XZ4" s="159"/>
      <c r="YA4" s="159"/>
      <c r="YB4" s="159"/>
      <c r="YC4" s="159"/>
      <c r="YD4" s="159"/>
      <c r="YE4" s="160"/>
      <c r="YF4" s="158" t="str">
        <f t="shared" ref="YF4" si="592">IF(YEAR(YF3)=YEAR(XY3),"",YF3)</f>
        <v/>
      </c>
      <c r="YG4" s="159"/>
      <c r="YH4" s="159"/>
      <c r="YI4" s="159"/>
      <c r="YJ4" s="159"/>
      <c r="YK4" s="159"/>
      <c r="YL4" s="160"/>
      <c r="YM4" s="158" t="str">
        <f t="shared" ref="YM4" si="593">IF(YEAR(YM3)=YEAR(YF3),"",YM3)</f>
        <v/>
      </c>
      <c r="YN4" s="159"/>
      <c r="YO4" s="159"/>
      <c r="YP4" s="159"/>
      <c r="YQ4" s="159"/>
      <c r="YR4" s="159"/>
      <c r="YS4" s="160"/>
      <c r="YT4" s="158" t="str">
        <f t="shared" ref="YT4" si="594">IF(YEAR(YT3)=YEAR(YM3),"",YT3)</f>
        <v/>
      </c>
      <c r="YU4" s="159"/>
      <c r="YV4" s="159"/>
      <c r="YW4" s="159"/>
      <c r="YX4" s="159"/>
      <c r="YY4" s="159"/>
      <c r="YZ4" s="160"/>
      <c r="ZA4" s="158" t="str">
        <f t="shared" ref="ZA4" si="595">IF(YEAR(ZA3)=YEAR(YT3),"",ZA3)</f>
        <v/>
      </c>
      <c r="ZB4" s="159"/>
      <c r="ZC4" s="159"/>
      <c r="ZD4" s="159"/>
      <c r="ZE4" s="159"/>
      <c r="ZF4" s="159"/>
      <c r="ZG4" s="160"/>
      <c r="ZH4" s="158" t="str">
        <f t="shared" ref="ZH4" si="596">IF(YEAR(ZH3)=YEAR(ZA3),"",ZH3)</f>
        <v/>
      </c>
      <c r="ZI4" s="159"/>
      <c r="ZJ4" s="159"/>
      <c r="ZK4" s="159"/>
      <c r="ZL4" s="159"/>
      <c r="ZM4" s="159"/>
      <c r="ZN4" s="160"/>
      <c r="ZO4" s="158" t="str">
        <f t="shared" ref="ZO4" si="597">IF(YEAR(ZO3)=YEAR(ZH3),"",ZO3)</f>
        <v/>
      </c>
      <c r="ZP4" s="159"/>
      <c r="ZQ4" s="159"/>
      <c r="ZR4" s="159"/>
      <c r="ZS4" s="159"/>
      <c r="ZT4" s="159"/>
      <c r="ZU4" s="160"/>
      <c r="ZV4" s="158" t="str">
        <f t="shared" ref="ZV4" si="598">IF(YEAR(ZV3)=YEAR(ZO3),"",ZV3)</f>
        <v/>
      </c>
      <c r="ZW4" s="159"/>
      <c r="ZX4" s="159"/>
      <c r="ZY4" s="159"/>
      <c r="ZZ4" s="159"/>
      <c r="AAA4" s="159"/>
      <c r="AAB4" s="160"/>
      <c r="AAC4" s="158" t="str">
        <f t="shared" ref="AAC4" si="599">IF(YEAR(AAC3)=YEAR(ZV3),"",AAC3)</f>
        <v/>
      </c>
      <c r="AAD4" s="159"/>
      <c r="AAE4" s="159"/>
      <c r="AAF4" s="159"/>
      <c r="AAG4" s="159"/>
      <c r="AAH4" s="159"/>
      <c r="AAI4" s="160"/>
      <c r="AAJ4" s="158" t="str">
        <f t="shared" ref="AAJ4" si="600">IF(YEAR(AAJ3)=YEAR(AAC3),"",AAJ3)</f>
        <v/>
      </c>
      <c r="AAK4" s="159"/>
      <c r="AAL4" s="159"/>
      <c r="AAM4" s="159"/>
      <c r="AAN4" s="159"/>
      <c r="AAO4" s="159"/>
      <c r="AAP4" s="160"/>
      <c r="AAQ4" s="158" t="str">
        <f t="shared" ref="AAQ4" si="601">IF(YEAR(AAQ3)=YEAR(AAJ3),"",AAQ3)</f>
        <v/>
      </c>
      <c r="AAR4" s="159"/>
      <c r="AAS4" s="159"/>
      <c r="AAT4" s="159"/>
      <c r="AAU4" s="159"/>
      <c r="AAV4" s="159"/>
      <c r="AAW4" s="160"/>
      <c r="AAX4" s="158" t="str">
        <f t="shared" ref="AAX4" si="602">IF(YEAR(AAX3)=YEAR(AAQ3),"",AAX3)</f>
        <v/>
      </c>
      <c r="AAY4" s="159"/>
      <c r="AAZ4" s="159"/>
      <c r="ABA4" s="159"/>
      <c r="ABB4" s="159"/>
      <c r="ABC4" s="159"/>
      <c r="ABD4" s="160"/>
      <c r="ABE4" s="158" t="str">
        <f t="shared" ref="ABE4" si="603">IF(YEAR(ABE3)=YEAR(AAX3),"",ABE3)</f>
        <v/>
      </c>
      <c r="ABF4" s="159"/>
      <c r="ABG4" s="159"/>
      <c r="ABH4" s="159"/>
      <c r="ABI4" s="159"/>
      <c r="ABJ4" s="159"/>
      <c r="ABK4" s="160"/>
      <c r="ABL4" s="158" t="str">
        <f t="shared" ref="ABL4" si="604">IF(YEAR(ABL3)=YEAR(ABE3),"",ABL3)</f>
        <v/>
      </c>
      <c r="ABM4" s="159"/>
      <c r="ABN4" s="159"/>
      <c r="ABO4" s="159"/>
      <c r="ABP4" s="159"/>
      <c r="ABQ4" s="159"/>
      <c r="ABR4" s="160"/>
      <c r="ABS4" s="158" t="str">
        <f t="shared" ref="ABS4" si="605">IF(YEAR(ABS3)=YEAR(ABL3),"",ABS3)</f>
        <v/>
      </c>
      <c r="ABT4" s="159"/>
      <c r="ABU4" s="159"/>
      <c r="ABV4" s="159"/>
      <c r="ABW4" s="159"/>
      <c r="ABX4" s="159"/>
      <c r="ABY4" s="160"/>
      <c r="ABZ4" s="158">
        <f t="shared" ref="ABZ4" si="606">IF(YEAR(ABZ3)=YEAR(ABS3),"",ABZ3)</f>
        <v>42737</v>
      </c>
      <c r="ACA4" s="159"/>
      <c r="ACB4" s="159"/>
      <c r="ACC4" s="159"/>
      <c r="ACD4" s="159"/>
      <c r="ACE4" s="159"/>
      <c r="ACF4" s="160"/>
      <c r="ACG4" s="158" t="str">
        <f t="shared" ref="ACG4" si="607">IF(YEAR(ACG3)=YEAR(ABZ3),"",ACG3)</f>
        <v/>
      </c>
      <c r="ACH4" s="159"/>
      <c r="ACI4" s="159"/>
      <c r="ACJ4" s="159"/>
      <c r="ACK4" s="159"/>
      <c r="ACL4" s="159"/>
      <c r="ACM4" s="160"/>
      <c r="ACN4" s="158" t="str">
        <f t="shared" ref="ACN4" si="608">IF(YEAR(ACN3)=YEAR(ACG3),"",ACN3)</f>
        <v/>
      </c>
      <c r="ACO4" s="159"/>
      <c r="ACP4" s="159"/>
      <c r="ACQ4" s="159"/>
      <c r="ACR4" s="159"/>
      <c r="ACS4" s="159"/>
      <c r="ACT4" s="160"/>
      <c r="ACU4" s="158" t="str">
        <f t="shared" ref="ACU4" si="609">IF(YEAR(ACU3)=YEAR(ACN3),"",ACU3)</f>
        <v/>
      </c>
      <c r="ACV4" s="159"/>
      <c r="ACW4" s="159"/>
      <c r="ACX4" s="159"/>
      <c r="ACY4" s="159"/>
      <c r="ACZ4" s="159"/>
      <c r="ADA4" s="160"/>
      <c r="ADB4" s="158" t="str">
        <f t="shared" ref="ADB4" si="610">IF(YEAR(ADB3)=YEAR(ACU3),"",ADB3)</f>
        <v/>
      </c>
      <c r="ADC4" s="159"/>
      <c r="ADD4" s="159"/>
      <c r="ADE4" s="159"/>
      <c r="ADF4" s="159"/>
      <c r="ADG4" s="159"/>
      <c r="ADH4" s="160"/>
      <c r="ADI4" s="158" t="str">
        <f t="shared" ref="ADI4" si="611">IF(YEAR(ADI3)=YEAR(ADB3),"",ADI3)</f>
        <v/>
      </c>
      <c r="ADJ4" s="159"/>
      <c r="ADK4" s="159"/>
      <c r="ADL4" s="159"/>
      <c r="ADM4" s="159"/>
      <c r="ADN4" s="159"/>
      <c r="ADO4" s="160"/>
    </row>
    <row r="5" spans="1:795" s="13" customFormat="1" ht="33" customHeight="1" x14ac:dyDescent="0.25">
      <c r="C5" s="56"/>
      <c r="D5" s="56"/>
      <c r="E5" s="56"/>
      <c r="F5" s="56"/>
      <c r="G5" s="56"/>
      <c r="H5" s="103"/>
      <c r="I5" s="56"/>
      <c r="O5" s="161" t="s">
        <v>13</v>
      </c>
      <c r="P5" s="166"/>
      <c r="Q5" s="166"/>
      <c r="R5" s="12"/>
      <c r="S5" s="155">
        <f>S3</f>
        <v>42002</v>
      </c>
      <c r="T5" s="163"/>
      <c r="U5" s="163"/>
      <c r="V5" s="163"/>
      <c r="W5" s="163"/>
      <c r="X5" s="163"/>
      <c r="Y5" s="164"/>
      <c r="Z5" s="155">
        <f>Z3</f>
        <v>42009</v>
      </c>
      <c r="AA5" s="156"/>
      <c r="AB5" s="156"/>
      <c r="AC5" s="156"/>
      <c r="AD5" s="156"/>
      <c r="AE5" s="156"/>
      <c r="AF5" s="157"/>
      <c r="AG5" s="155">
        <f>AG3</f>
        <v>42016</v>
      </c>
      <c r="AH5" s="156"/>
      <c r="AI5" s="156"/>
      <c r="AJ5" s="156"/>
      <c r="AK5" s="156"/>
      <c r="AL5" s="156"/>
      <c r="AM5" s="157"/>
      <c r="AN5" s="155">
        <f>AN3</f>
        <v>42023</v>
      </c>
      <c r="AO5" s="156"/>
      <c r="AP5" s="156"/>
      <c r="AQ5" s="156"/>
      <c r="AR5" s="156"/>
      <c r="AS5" s="156"/>
      <c r="AT5" s="157"/>
      <c r="AU5" s="155">
        <f>AU3</f>
        <v>42030</v>
      </c>
      <c r="AV5" s="156"/>
      <c r="AW5" s="156"/>
      <c r="AX5" s="156"/>
      <c r="AY5" s="156"/>
      <c r="AZ5" s="156"/>
      <c r="BA5" s="157"/>
      <c r="BB5" s="155">
        <f>BB3</f>
        <v>42037</v>
      </c>
      <c r="BC5" s="156"/>
      <c r="BD5" s="156"/>
      <c r="BE5" s="156"/>
      <c r="BF5" s="156"/>
      <c r="BG5" s="156"/>
      <c r="BH5" s="157"/>
      <c r="BI5" s="155">
        <f>BI3</f>
        <v>42044</v>
      </c>
      <c r="BJ5" s="156"/>
      <c r="BK5" s="156"/>
      <c r="BL5" s="156"/>
      <c r="BM5" s="156"/>
      <c r="BN5" s="156"/>
      <c r="BO5" s="157"/>
      <c r="BP5" s="155">
        <f>BP3</f>
        <v>42051</v>
      </c>
      <c r="BQ5" s="156"/>
      <c r="BR5" s="156"/>
      <c r="BS5" s="156"/>
      <c r="BT5" s="156"/>
      <c r="BU5" s="156"/>
      <c r="BV5" s="157"/>
      <c r="BW5" s="155">
        <f>BW3</f>
        <v>42058</v>
      </c>
      <c r="BX5" s="156"/>
      <c r="BY5" s="156"/>
      <c r="BZ5" s="156"/>
      <c r="CA5" s="156"/>
      <c r="CB5" s="156"/>
      <c r="CC5" s="157"/>
      <c r="CD5" s="155">
        <f>CD3</f>
        <v>42065</v>
      </c>
      <c r="CE5" s="156"/>
      <c r="CF5" s="156"/>
      <c r="CG5" s="156"/>
      <c r="CH5" s="156"/>
      <c r="CI5" s="156"/>
      <c r="CJ5" s="157"/>
      <c r="CK5" s="155">
        <f>CK3</f>
        <v>42072</v>
      </c>
      <c r="CL5" s="156"/>
      <c r="CM5" s="156"/>
      <c r="CN5" s="156"/>
      <c r="CO5" s="156"/>
      <c r="CP5" s="156"/>
      <c r="CQ5" s="157"/>
      <c r="CR5" s="155">
        <f>CR3</f>
        <v>42079</v>
      </c>
      <c r="CS5" s="156"/>
      <c r="CT5" s="156"/>
      <c r="CU5" s="156"/>
      <c r="CV5" s="156"/>
      <c r="CW5" s="156"/>
      <c r="CX5" s="157"/>
      <c r="CY5" s="155">
        <f>CY3</f>
        <v>42086</v>
      </c>
      <c r="CZ5" s="156"/>
      <c r="DA5" s="156"/>
      <c r="DB5" s="156"/>
      <c r="DC5" s="156"/>
      <c r="DD5" s="156"/>
      <c r="DE5" s="157"/>
      <c r="DF5" s="155">
        <f>DF3</f>
        <v>42093</v>
      </c>
      <c r="DG5" s="156"/>
      <c r="DH5" s="156"/>
      <c r="DI5" s="156"/>
      <c r="DJ5" s="156"/>
      <c r="DK5" s="156"/>
      <c r="DL5" s="157"/>
      <c r="DM5" s="155">
        <f>DM3</f>
        <v>42100</v>
      </c>
      <c r="DN5" s="156"/>
      <c r="DO5" s="156"/>
      <c r="DP5" s="156"/>
      <c r="DQ5" s="156"/>
      <c r="DR5" s="156"/>
      <c r="DS5" s="157"/>
      <c r="DT5" s="155">
        <f>DT3</f>
        <v>42107</v>
      </c>
      <c r="DU5" s="156"/>
      <c r="DV5" s="156"/>
      <c r="DW5" s="156"/>
      <c r="DX5" s="156"/>
      <c r="DY5" s="156"/>
      <c r="DZ5" s="157"/>
      <c r="EA5" s="155">
        <f>EA3</f>
        <v>42114</v>
      </c>
      <c r="EB5" s="156"/>
      <c r="EC5" s="156"/>
      <c r="ED5" s="156"/>
      <c r="EE5" s="156"/>
      <c r="EF5" s="156"/>
      <c r="EG5" s="157"/>
      <c r="EH5" s="155">
        <f>EH3</f>
        <v>42121</v>
      </c>
      <c r="EI5" s="156"/>
      <c r="EJ5" s="156"/>
      <c r="EK5" s="156"/>
      <c r="EL5" s="156"/>
      <c r="EM5" s="156"/>
      <c r="EN5" s="157"/>
      <c r="EO5" s="155">
        <f>EO3</f>
        <v>42128</v>
      </c>
      <c r="EP5" s="156"/>
      <c r="EQ5" s="156"/>
      <c r="ER5" s="156"/>
      <c r="ES5" s="156"/>
      <c r="ET5" s="156"/>
      <c r="EU5" s="157"/>
      <c r="EV5" s="155">
        <f>EV3</f>
        <v>42135</v>
      </c>
      <c r="EW5" s="156"/>
      <c r="EX5" s="156"/>
      <c r="EY5" s="156"/>
      <c r="EZ5" s="156"/>
      <c r="FA5" s="156"/>
      <c r="FB5" s="157"/>
      <c r="FC5" s="155">
        <f>FC3</f>
        <v>42142</v>
      </c>
      <c r="FD5" s="156"/>
      <c r="FE5" s="156"/>
      <c r="FF5" s="156"/>
      <c r="FG5" s="156"/>
      <c r="FH5" s="156"/>
      <c r="FI5" s="157"/>
      <c r="FJ5" s="155">
        <f>FJ3</f>
        <v>42149</v>
      </c>
      <c r="FK5" s="156"/>
      <c r="FL5" s="156"/>
      <c r="FM5" s="156"/>
      <c r="FN5" s="156"/>
      <c r="FO5" s="156"/>
      <c r="FP5" s="157"/>
      <c r="FQ5" s="155">
        <f>FQ3</f>
        <v>42156</v>
      </c>
      <c r="FR5" s="156"/>
      <c r="FS5" s="156"/>
      <c r="FT5" s="156"/>
      <c r="FU5" s="156"/>
      <c r="FV5" s="156"/>
      <c r="FW5" s="157"/>
      <c r="FX5" s="155">
        <f>FX3</f>
        <v>42163</v>
      </c>
      <c r="FY5" s="156"/>
      <c r="FZ5" s="156"/>
      <c r="GA5" s="156"/>
      <c r="GB5" s="156"/>
      <c r="GC5" s="156"/>
      <c r="GD5" s="157"/>
      <c r="GE5" s="155">
        <f>GE3</f>
        <v>42170</v>
      </c>
      <c r="GF5" s="156"/>
      <c r="GG5" s="156"/>
      <c r="GH5" s="156"/>
      <c r="GI5" s="156"/>
      <c r="GJ5" s="156"/>
      <c r="GK5" s="157"/>
      <c r="GL5" s="155">
        <f>GL3</f>
        <v>42177</v>
      </c>
      <c r="GM5" s="156"/>
      <c r="GN5" s="156"/>
      <c r="GO5" s="156"/>
      <c r="GP5" s="156"/>
      <c r="GQ5" s="156"/>
      <c r="GR5" s="157"/>
      <c r="GS5" s="155">
        <f>GS3</f>
        <v>42184</v>
      </c>
      <c r="GT5" s="156"/>
      <c r="GU5" s="156"/>
      <c r="GV5" s="156"/>
      <c r="GW5" s="156"/>
      <c r="GX5" s="156"/>
      <c r="GY5" s="157"/>
      <c r="GZ5" s="155">
        <f>GZ3</f>
        <v>42191</v>
      </c>
      <c r="HA5" s="156"/>
      <c r="HB5" s="156"/>
      <c r="HC5" s="156"/>
      <c r="HD5" s="156"/>
      <c r="HE5" s="156"/>
      <c r="HF5" s="157"/>
      <c r="HG5" s="155">
        <f>HG3</f>
        <v>42198</v>
      </c>
      <c r="HH5" s="156"/>
      <c r="HI5" s="156"/>
      <c r="HJ5" s="156"/>
      <c r="HK5" s="156"/>
      <c r="HL5" s="156"/>
      <c r="HM5" s="157"/>
      <c r="HN5" s="155">
        <f>HN3</f>
        <v>42205</v>
      </c>
      <c r="HO5" s="156"/>
      <c r="HP5" s="156"/>
      <c r="HQ5" s="156"/>
      <c r="HR5" s="156"/>
      <c r="HS5" s="156"/>
      <c r="HT5" s="157"/>
      <c r="HU5" s="155">
        <f>HU3</f>
        <v>42212</v>
      </c>
      <c r="HV5" s="156"/>
      <c r="HW5" s="156"/>
      <c r="HX5" s="156"/>
      <c r="HY5" s="156"/>
      <c r="HZ5" s="156"/>
      <c r="IA5" s="157"/>
      <c r="IB5" s="155">
        <f>IB3</f>
        <v>42219</v>
      </c>
      <c r="IC5" s="156"/>
      <c r="ID5" s="156"/>
      <c r="IE5" s="156"/>
      <c r="IF5" s="156"/>
      <c r="IG5" s="156"/>
      <c r="IH5" s="157"/>
      <c r="II5" s="155">
        <f>II3</f>
        <v>42226</v>
      </c>
      <c r="IJ5" s="156"/>
      <c r="IK5" s="156"/>
      <c r="IL5" s="156"/>
      <c r="IM5" s="156"/>
      <c r="IN5" s="156"/>
      <c r="IO5" s="157"/>
      <c r="IP5" s="155">
        <f>IP3</f>
        <v>42233</v>
      </c>
      <c r="IQ5" s="156"/>
      <c r="IR5" s="156"/>
      <c r="IS5" s="156"/>
      <c r="IT5" s="156"/>
      <c r="IU5" s="156"/>
      <c r="IV5" s="157"/>
      <c r="IW5" s="155">
        <f>IW3</f>
        <v>42240</v>
      </c>
      <c r="IX5" s="156"/>
      <c r="IY5" s="156"/>
      <c r="IZ5" s="156"/>
      <c r="JA5" s="156"/>
      <c r="JB5" s="156"/>
      <c r="JC5" s="157"/>
      <c r="JD5" s="155">
        <f t="shared" ref="JD5" si="612">JD3</f>
        <v>42247</v>
      </c>
      <c r="JE5" s="156"/>
      <c r="JF5" s="156"/>
      <c r="JG5" s="156"/>
      <c r="JH5" s="156"/>
      <c r="JI5" s="156"/>
      <c r="JJ5" s="157"/>
      <c r="JK5" s="155">
        <f t="shared" ref="JK5" si="613">JK3</f>
        <v>42254</v>
      </c>
      <c r="JL5" s="156"/>
      <c r="JM5" s="156"/>
      <c r="JN5" s="156"/>
      <c r="JO5" s="156"/>
      <c r="JP5" s="156"/>
      <c r="JQ5" s="157"/>
      <c r="JR5" s="155">
        <f t="shared" ref="JR5" si="614">JR3</f>
        <v>42261</v>
      </c>
      <c r="JS5" s="156"/>
      <c r="JT5" s="156"/>
      <c r="JU5" s="156"/>
      <c r="JV5" s="156"/>
      <c r="JW5" s="156"/>
      <c r="JX5" s="157"/>
      <c r="JY5" s="155">
        <f t="shared" ref="JY5" si="615">JY3</f>
        <v>42268</v>
      </c>
      <c r="JZ5" s="156"/>
      <c r="KA5" s="156"/>
      <c r="KB5" s="156"/>
      <c r="KC5" s="156"/>
      <c r="KD5" s="156"/>
      <c r="KE5" s="157"/>
      <c r="KF5" s="155">
        <f t="shared" ref="KF5" si="616">KF3</f>
        <v>42275</v>
      </c>
      <c r="KG5" s="156"/>
      <c r="KH5" s="156"/>
      <c r="KI5" s="156"/>
      <c r="KJ5" s="156"/>
      <c r="KK5" s="156"/>
      <c r="KL5" s="157"/>
      <c r="KM5" s="155">
        <f t="shared" ref="KM5" si="617">KM3</f>
        <v>42282</v>
      </c>
      <c r="KN5" s="156"/>
      <c r="KO5" s="156"/>
      <c r="KP5" s="156"/>
      <c r="KQ5" s="156"/>
      <c r="KR5" s="156"/>
      <c r="KS5" s="157"/>
      <c r="KT5" s="155">
        <f t="shared" ref="KT5" si="618">KT3</f>
        <v>42289</v>
      </c>
      <c r="KU5" s="156"/>
      <c r="KV5" s="156"/>
      <c r="KW5" s="156"/>
      <c r="KX5" s="156"/>
      <c r="KY5" s="156"/>
      <c r="KZ5" s="157"/>
      <c r="LA5" s="155">
        <f t="shared" ref="LA5" si="619">LA3</f>
        <v>42296</v>
      </c>
      <c r="LB5" s="156"/>
      <c r="LC5" s="156"/>
      <c r="LD5" s="156"/>
      <c r="LE5" s="156"/>
      <c r="LF5" s="156"/>
      <c r="LG5" s="157"/>
      <c r="LH5" s="155">
        <f t="shared" ref="LH5" si="620">LH3</f>
        <v>42303</v>
      </c>
      <c r="LI5" s="156"/>
      <c r="LJ5" s="156"/>
      <c r="LK5" s="156"/>
      <c r="LL5" s="156"/>
      <c r="LM5" s="156"/>
      <c r="LN5" s="157"/>
      <c r="LO5" s="155">
        <f t="shared" ref="LO5" si="621">LO3</f>
        <v>42310</v>
      </c>
      <c r="LP5" s="156"/>
      <c r="LQ5" s="156"/>
      <c r="LR5" s="156"/>
      <c r="LS5" s="156"/>
      <c r="LT5" s="156"/>
      <c r="LU5" s="157"/>
      <c r="LV5" s="155">
        <f t="shared" ref="LV5" si="622">LV3</f>
        <v>42317</v>
      </c>
      <c r="LW5" s="156"/>
      <c r="LX5" s="156"/>
      <c r="LY5" s="156"/>
      <c r="LZ5" s="156"/>
      <c r="MA5" s="156"/>
      <c r="MB5" s="157"/>
      <c r="MC5" s="155">
        <f t="shared" ref="MC5" si="623">MC3</f>
        <v>42324</v>
      </c>
      <c r="MD5" s="156"/>
      <c r="ME5" s="156"/>
      <c r="MF5" s="156"/>
      <c r="MG5" s="156"/>
      <c r="MH5" s="156"/>
      <c r="MI5" s="157"/>
      <c r="MJ5" s="155">
        <f t="shared" ref="MJ5" si="624">MJ3</f>
        <v>42331</v>
      </c>
      <c r="MK5" s="156"/>
      <c r="ML5" s="156"/>
      <c r="MM5" s="156"/>
      <c r="MN5" s="156"/>
      <c r="MO5" s="156"/>
      <c r="MP5" s="157"/>
      <c r="MQ5" s="155">
        <f t="shared" ref="MQ5" si="625">MQ3</f>
        <v>42338</v>
      </c>
      <c r="MR5" s="156"/>
      <c r="MS5" s="156"/>
      <c r="MT5" s="156"/>
      <c r="MU5" s="156"/>
      <c r="MV5" s="156"/>
      <c r="MW5" s="157"/>
      <c r="MX5" s="155">
        <f t="shared" ref="MX5" si="626">MX3</f>
        <v>42345</v>
      </c>
      <c r="MY5" s="156"/>
      <c r="MZ5" s="156"/>
      <c r="NA5" s="156"/>
      <c r="NB5" s="156"/>
      <c r="NC5" s="156"/>
      <c r="ND5" s="157"/>
      <c r="NE5" s="155">
        <f t="shared" ref="NE5" si="627">NE3</f>
        <v>42352</v>
      </c>
      <c r="NF5" s="156"/>
      <c r="NG5" s="156"/>
      <c r="NH5" s="156"/>
      <c r="NI5" s="156"/>
      <c r="NJ5" s="156"/>
      <c r="NK5" s="157"/>
      <c r="NL5" s="155">
        <f t="shared" ref="NL5" si="628">NL3</f>
        <v>42359</v>
      </c>
      <c r="NM5" s="156"/>
      <c r="NN5" s="156"/>
      <c r="NO5" s="156"/>
      <c r="NP5" s="156"/>
      <c r="NQ5" s="156"/>
      <c r="NR5" s="157"/>
      <c r="NS5" s="155">
        <f t="shared" ref="NS5" si="629">NS3</f>
        <v>42366</v>
      </c>
      <c r="NT5" s="156"/>
      <c r="NU5" s="156"/>
      <c r="NV5" s="156"/>
      <c r="NW5" s="156"/>
      <c r="NX5" s="156"/>
      <c r="NY5" s="157"/>
      <c r="NZ5" s="155">
        <f t="shared" ref="NZ5" si="630">NZ3</f>
        <v>42373</v>
      </c>
      <c r="OA5" s="156"/>
      <c r="OB5" s="156"/>
      <c r="OC5" s="156"/>
      <c r="OD5" s="156"/>
      <c r="OE5" s="156"/>
      <c r="OF5" s="157"/>
      <c r="OG5" s="155">
        <f t="shared" ref="OG5" si="631">OG3</f>
        <v>42380</v>
      </c>
      <c r="OH5" s="156"/>
      <c r="OI5" s="156"/>
      <c r="OJ5" s="156"/>
      <c r="OK5" s="156"/>
      <c r="OL5" s="156"/>
      <c r="OM5" s="157"/>
      <c r="ON5" s="155">
        <f t="shared" ref="ON5" si="632">ON3</f>
        <v>42387</v>
      </c>
      <c r="OO5" s="156"/>
      <c r="OP5" s="156"/>
      <c r="OQ5" s="156"/>
      <c r="OR5" s="156"/>
      <c r="OS5" s="156"/>
      <c r="OT5" s="157"/>
      <c r="OU5" s="155">
        <f t="shared" ref="OU5" si="633">OU3</f>
        <v>42394</v>
      </c>
      <c r="OV5" s="156"/>
      <c r="OW5" s="156"/>
      <c r="OX5" s="156"/>
      <c r="OY5" s="156"/>
      <c r="OZ5" s="156"/>
      <c r="PA5" s="157"/>
      <c r="PB5" s="155">
        <f t="shared" ref="PB5" si="634">PB3</f>
        <v>42401</v>
      </c>
      <c r="PC5" s="156"/>
      <c r="PD5" s="156"/>
      <c r="PE5" s="156"/>
      <c r="PF5" s="156"/>
      <c r="PG5" s="156"/>
      <c r="PH5" s="157"/>
      <c r="PI5" s="155">
        <f t="shared" ref="PI5" si="635">PI3</f>
        <v>42408</v>
      </c>
      <c r="PJ5" s="156"/>
      <c r="PK5" s="156"/>
      <c r="PL5" s="156"/>
      <c r="PM5" s="156"/>
      <c r="PN5" s="156"/>
      <c r="PO5" s="157"/>
      <c r="PP5" s="155">
        <f t="shared" ref="PP5" si="636">PP3</f>
        <v>42415</v>
      </c>
      <c r="PQ5" s="156"/>
      <c r="PR5" s="156"/>
      <c r="PS5" s="156"/>
      <c r="PT5" s="156"/>
      <c r="PU5" s="156"/>
      <c r="PV5" s="157"/>
      <c r="PW5" s="155">
        <f t="shared" ref="PW5" si="637">PW3</f>
        <v>42422</v>
      </c>
      <c r="PX5" s="156"/>
      <c r="PY5" s="156"/>
      <c r="PZ5" s="156"/>
      <c r="QA5" s="156"/>
      <c r="QB5" s="156"/>
      <c r="QC5" s="157"/>
      <c r="QD5" s="155">
        <f t="shared" ref="QD5" si="638">QD3</f>
        <v>42429</v>
      </c>
      <c r="QE5" s="156"/>
      <c r="QF5" s="156"/>
      <c r="QG5" s="156"/>
      <c r="QH5" s="156"/>
      <c r="QI5" s="156"/>
      <c r="QJ5" s="157"/>
      <c r="QK5" s="155">
        <f t="shared" ref="QK5" si="639">QK3</f>
        <v>42436</v>
      </c>
      <c r="QL5" s="156"/>
      <c r="QM5" s="156"/>
      <c r="QN5" s="156"/>
      <c r="QO5" s="156"/>
      <c r="QP5" s="156"/>
      <c r="QQ5" s="157"/>
      <c r="QR5" s="155">
        <f t="shared" ref="QR5" si="640">QR3</f>
        <v>42443</v>
      </c>
      <c r="QS5" s="156"/>
      <c r="QT5" s="156"/>
      <c r="QU5" s="156"/>
      <c r="QV5" s="156"/>
      <c r="QW5" s="156"/>
      <c r="QX5" s="157"/>
      <c r="QY5" s="155">
        <f t="shared" ref="QY5" si="641">QY3</f>
        <v>42450</v>
      </c>
      <c r="QZ5" s="156"/>
      <c r="RA5" s="156"/>
      <c r="RB5" s="156"/>
      <c r="RC5" s="156"/>
      <c r="RD5" s="156"/>
      <c r="RE5" s="157"/>
      <c r="RF5" s="155">
        <f t="shared" ref="RF5:TJ5" si="642">RF3</f>
        <v>42457</v>
      </c>
      <c r="RG5" s="156"/>
      <c r="RH5" s="156"/>
      <c r="RI5" s="156"/>
      <c r="RJ5" s="156"/>
      <c r="RK5" s="156"/>
      <c r="RL5" s="157"/>
      <c r="RM5" s="155">
        <f t="shared" ref="RM5:TQ5" si="643">RM3</f>
        <v>42464</v>
      </c>
      <c r="RN5" s="156"/>
      <c r="RO5" s="156"/>
      <c r="RP5" s="156"/>
      <c r="RQ5" s="156"/>
      <c r="RR5" s="156"/>
      <c r="RS5" s="157"/>
      <c r="RT5" s="155">
        <f t="shared" si="642"/>
        <v>42471</v>
      </c>
      <c r="RU5" s="156"/>
      <c r="RV5" s="156"/>
      <c r="RW5" s="156"/>
      <c r="RX5" s="156"/>
      <c r="RY5" s="156"/>
      <c r="RZ5" s="157"/>
      <c r="SA5" s="155">
        <f t="shared" si="643"/>
        <v>42478</v>
      </c>
      <c r="SB5" s="156"/>
      <c r="SC5" s="156"/>
      <c r="SD5" s="156"/>
      <c r="SE5" s="156"/>
      <c r="SF5" s="156"/>
      <c r="SG5" s="157"/>
      <c r="SH5" s="155">
        <f t="shared" si="642"/>
        <v>42485</v>
      </c>
      <c r="SI5" s="156"/>
      <c r="SJ5" s="156"/>
      <c r="SK5" s="156"/>
      <c r="SL5" s="156"/>
      <c r="SM5" s="156"/>
      <c r="SN5" s="157"/>
      <c r="SO5" s="155">
        <f t="shared" si="643"/>
        <v>42492</v>
      </c>
      <c r="SP5" s="156"/>
      <c r="SQ5" s="156"/>
      <c r="SR5" s="156"/>
      <c r="SS5" s="156"/>
      <c r="ST5" s="156"/>
      <c r="SU5" s="157"/>
      <c r="SV5" s="155">
        <f t="shared" si="642"/>
        <v>42499</v>
      </c>
      <c r="SW5" s="156"/>
      <c r="SX5" s="156"/>
      <c r="SY5" s="156"/>
      <c r="SZ5" s="156"/>
      <c r="TA5" s="156"/>
      <c r="TB5" s="157"/>
      <c r="TC5" s="155">
        <f t="shared" si="643"/>
        <v>42506</v>
      </c>
      <c r="TD5" s="156"/>
      <c r="TE5" s="156"/>
      <c r="TF5" s="156"/>
      <c r="TG5" s="156"/>
      <c r="TH5" s="156"/>
      <c r="TI5" s="157"/>
      <c r="TJ5" s="155">
        <f t="shared" si="642"/>
        <v>42513</v>
      </c>
      <c r="TK5" s="156"/>
      <c r="TL5" s="156"/>
      <c r="TM5" s="156"/>
      <c r="TN5" s="156"/>
      <c r="TO5" s="156"/>
      <c r="TP5" s="157"/>
      <c r="TQ5" s="155">
        <f t="shared" si="643"/>
        <v>42520</v>
      </c>
      <c r="TR5" s="156"/>
      <c r="TS5" s="156"/>
      <c r="TT5" s="156"/>
      <c r="TU5" s="156"/>
      <c r="TV5" s="156"/>
      <c r="TW5" s="157"/>
      <c r="TX5" s="155">
        <f t="shared" ref="TX5:WB5" si="644">TX3</f>
        <v>42527</v>
      </c>
      <c r="TY5" s="156"/>
      <c r="TZ5" s="156"/>
      <c r="UA5" s="156"/>
      <c r="UB5" s="156"/>
      <c r="UC5" s="156"/>
      <c r="UD5" s="157"/>
      <c r="UE5" s="155">
        <f t="shared" ref="UE5:WI5" si="645">UE3</f>
        <v>42534</v>
      </c>
      <c r="UF5" s="156"/>
      <c r="UG5" s="156"/>
      <c r="UH5" s="156"/>
      <c r="UI5" s="156"/>
      <c r="UJ5" s="156"/>
      <c r="UK5" s="157"/>
      <c r="UL5" s="155">
        <f t="shared" si="644"/>
        <v>42541</v>
      </c>
      <c r="UM5" s="156"/>
      <c r="UN5" s="156"/>
      <c r="UO5" s="156"/>
      <c r="UP5" s="156"/>
      <c r="UQ5" s="156"/>
      <c r="UR5" s="157"/>
      <c r="US5" s="155">
        <f t="shared" si="645"/>
        <v>42548</v>
      </c>
      <c r="UT5" s="156"/>
      <c r="UU5" s="156"/>
      <c r="UV5" s="156"/>
      <c r="UW5" s="156"/>
      <c r="UX5" s="156"/>
      <c r="UY5" s="157"/>
      <c r="UZ5" s="155">
        <f t="shared" si="644"/>
        <v>42555</v>
      </c>
      <c r="VA5" s="156"/>
      <c r="VB5" s="156"/>
      <c r="VC5" s="156"/>
      <c r="VD5" s="156"/>
      <c r="VE5" s="156"/>
      <c r="VF5" s="157"/>
      <c r="VG5" s="155">
        <f t="shared" si="645"/>
        <v>42562</v>
      </c>
      <c r="VH5" s="156"/>
      <c r="VI5" s="156"/>
      <c r="VJ5" s="156"/>
      <c r="VK5" s="156"/>
      <c r="VL5" s="156"/>
      <c r="VM5" s="157"/>
      <c r="VN5" s="155">
        <f t="shared" si="644"/>
        <v>42569</v>
      </c>
      <c r="VO5" s="156"/>
      <c r="VP5" s="156"/>
      <c r="VQ5" s="156"/>
      <c r="VR5" s="156"/>
      <c r="VS5" s="156"/>
      <c r="VT5" s="157"/>
      <c r="VU5" s="155">
        <f t="shared" si="645"/>
        <v>42576</v>
      </c>
      <c r="VV5" s="156"/>
      <c r="VW5" s="156"/>
      <c r="VX5" s="156"/>
      <c r="VY5" s="156"/>
      <c r="VZ5" s="156"/>
      <c r="WA5" s="157"/>
      <c r="WB5" s="155">
        <f t="shared" si="644"/>
        <v>42583</v>
      </c>
      <c r="WC5" s="156"/>
      <c r="WD5" s="156"/>
      <c r="WE5" s="156"/>
      <c r="WF5" s="156"/>
      <c r="WG5" s="156"/>
      <c r="WH5" s="157"/>
      <c r="WI5" s="155">
        <f t="shared" si="645"/>
        <v>42590</v>
      </c>
      <c r="WJ5" s="156"/>
      <c r="WK5" s="156"/>
      <c r="WL5" s="156"/>
      <c r="WM5" s="156"/>
      <c r="WN5" s="156"/>
      <c r="WO5" s="157"/>
      <c r="WP5" s="155">
        <f t="shared" ref="WP5:YT5" si="646">WP3</f>
        <v>42597</v>
      </c>
      <c r="WQ5" s="156"/>
      <c r="WR5" s="156"/>
      <c r="WS5" s="156"/>
      <c r="WT5" s="156"/>
      <c r="WU5" s="156"/>
      <c r="WV5" s="157"/>
      <c r="WW5" s="155">
        <f t="shared" ref="WW5:ZA5" si="647">WW3</f>
        <v>42604</v>
      </c>
      <c r="WX5" s="156"/>
      <c r="WY5" s="156"/>
      <c r="WZ5" s="156"/>
      <c r="XA5" s="156"/>
      <c r="XB5" s="156"/>
      <c r="XC5" s="157"/>
      <c r="XD5" s="155">
        <f t="shared" si="646"/>
        <v>42611</v>
      </c>
      <c r="XE5" s="156"/>
      <c r="XF5" s="156"/>
      <c r="XG5" s="156"/>
      <c r="XH5" s="156"/>
      <c r="XI5" s="156"/>
      <c r="XJ5" s="157"/>
      <c r="XK5" s="155">
        <f t="shared" si="647"/>
        <v>42618</v>
      </c>
      <c r="XL5" s="156"/>
      <c r="XM5" s="156"/>
      <c r="XN5" s="156"/>
      <c r="XO5" s="156"/>
      <c r="XP5" s="156"/>
      <c r="XQ5" s="157"/>
      <c r="XR5" s="155">
        <f t="shared" si="646"/>
        <v>42625</v>
      </c>
      <c r="XS5" s="156"/>
      <c r="XT5" s="156"/>
      <c r="XU5" s="156"/>
      <c r="XV5" s="156"/>
      <c r="XW5" s="156"/>
      <c r="XX5" s="157"/>
      <c r="XY5" s="155">
        <f t="shared" si="647"/>
        <v>42632</v>
      </c>
      <c r="XZ5" s="156"/>
      <c r="YA5" s="156"/>
      <c r="YB5" s="156"/>
      <c r="YC5" s="156"/>
      <c r="YD5" s="156"/>
      <c r="YE5" s="157"/>
      <c r="YF5" s="155">
        <f t="shared" si="646"/>
        <v>42639</v>
      </c>
      <c r="YG5" s="156"/>
      <c r="YH5" s="156"/>
      <c r="YI5" s="156"/>
      <c r="YJ5" s="156"/>
      <c r="YK5" s="156"/>
      <c r="YL5" s="157"/>
      <c r="YM5" s="155">
        <f t="shared" si="647"/>
        <v>42646</v>
      </c>
      <c r="YN5" s="156"/>
      <c r="YO5" s="156"/>
      <c r="YP5" s="156"/>
      <c r="YQ5" s="156"/>
      <c r="YR5" s="156"/>
      <c r="YS5" s="157"/>
      <c r="YT5" s="155">
        <f t="shared" si="646"/>
        <v>42653</v>
      </c>
      <c r="YU5" s="156"/>
      <c r="YV5" s="156"/>
      <c r="YW5" s="156"/>
      <c r="YX5" s="156"/>
      <c r="YY5" s="156"/>
      <c r="YZ5" s="157"/>
      <c r="ZA5" s="155">
        <f t="shared" si="647"/>
        <v>42660</v>
      </c>
      <c r="ZB5" s="156"/>
      <c r="ZC5" s="156"/>
      <c r="ZD5" s="156"/>
      <c r="ZE5" s="156"/>
      <c r="ZF5" s="156"/>
      <c r="ZG5" s="157"/>
      <c r="ZH5" s="155">
        <f t="shared" ref="ZH5:ABL5" si="648">ZH3</f>
        <v>42667</v>
      </c>
      <c r="ZI5" s="156"/>
      <c r="ZJ5" s="156"/>
      <c r="ZK5" s="156"/>
      <c r="ZL5" s="156"/>
      <c r="ZM5" s="156"/>
      <c r="ZN5" s="157"/>
      <c r="ZO5" s="155">
        <f t="shared" ref="ZO5:ABS5" si="649">ZO3</f>
        <v>42674</v>
      </c>
      <c r="ZP5" s="156"/>
      <c r="ZQ5" s="156"/>
      <c r="ZR5" s="156"/>
      <c r="ZS5" s="156"/>
      <c r="ZT5" s="156"/>
      <c r="ZU5" s="157"/>
      <c r="ZV5" s="155">
        <f t="shared" si="648"/>
        <v>42681</v>
      </c>
      <c r="ZW5" s="156"/>
      <c r="ZX5" s="156"/>
      <c r="ZY5" s="156"/>
      <c r="ZZ5" s="156"/>
      <c r="AAA5" s="156"/>
      <c r="AAB5" s="157"/>
      <c r="AAC5" s="155">
        <f t="shared" si="649"/>
        <v>42688</v>
      </c>
      <c r="AAD5" s="156"/>
      <c r="AAE5" s="156"/>
      <c r="AAF5" s="156"/>
      <c r="AAG5" s="156"/>
      <c r="AAH5" s="156"/>
      <c r="AAI5" s="157"/>
      <c r="AAJ5" s="155">
        <f t="shared" si="648"/>
        <v>42695</v>
      </c>
      <c r="AAK5" s="156"/>
      <c r="AAL5" s="156"/>
      <c r="AAM5" s="156"/>
      <c r="AAN5" s="156"/>
      <c r="AAO5" s="156"/>
      <c r="AAP5" s="157"/>
      <c r="AAQ5" s="155">
        <f t="shared" si="649"/>
        <v>42702</v>
      </c>
      <c r="AAR5" s="156"/>
      <c r="AAS5" s="156"/>
      <c r="AAT5" s="156"/>
      <c r="AAU5" s="156"/>
      <c r="AAV5" s="156"/>
      <c r="AAW5" s="157"/>
      <c r="AAX5" s="155">
        <f t="shared" si="648"/>
        <v>42709</v>
      </c>
      <c r="AAY5" s="156"/>
      <c r="AAZ5" s="156"/>
      <c r="ABA5" s="156"/>
      <c r="ABB5" s="156"/>
      <c r="ABC5" s="156"/>
      <c r="ABD5" s="157"/>
      <c r="ABE5" s="155">
        <f t="shared" si="649"/>
        <v>42716</v>
      </c>
      <c r="ABF5" s="156"/>
      <c r="ABG5" s="156"/>
      <c r="ABH5" s="156"/>
      <c r="ABI5" s="156"/>
      <c r="ABJ5" s="156"/>
      <c r="ABK5" s="157"/>
      <c r="ABL5" s="155">
        <f t="shared" si="648"/>
        <v>42723</v>
      </c>
      <c r="ABM5" s="156"/>
      <c r="ABN5" s="156"/>
      <c r="ABO5" s="156"/>
      <c r="ABP5" s="156"/>
      <c r="ABQ5" s="156"/>
      <c r="ABR5" s="157"/>
      <c r="ABS5" s="155">
        <f t="shared" si="649"/>
        <v>42730</v>
      </c>
      <c r="ABT5" s="156"/>
      <c r="ABU5" s="156"/>
      <c r="ABV5" s="156"/>
      <c r="ABW5" s="156"/>
      <c r="ABX5" s="156"/>
      <c r="ABY5" s="157"/>
      <c r="ABZ5" s="155">
        <f t="shared" ref="ABZ5:ADB5" si="650">ABZ3</f>
        <v>42737</v>
      </c>
      <c r="ACA5" s="156"/>
      <c r="ACB5" s="156"/>
      <c r="ACC5" s="156"/>
      <c r="ACD5" s="156"/>
      <c r="ACE5" s="156"/>
      <c r="ACF5" s="157"/>
      <c r="ACG5" s="155">
        <f t="shared" ref="ACG5:ADI5" si="651">ACG3</f>
        <v>42744</v>
      </c>
      <c r="ACH5" s="156"/>
      <c r="ACI5" s="156"/>
      <c r="ACJ5" s="156"/>
      <c r="ACK5" s="156"/>
      <c r="ACL5" s="156"/>
      <c r="ACM5" s="157"/>
      <c r="ACN5" s="155">
        <f t="shared" si="650"/>
        <v>42751</v>
      </c>
      <c r="ACO5" s="156"/>
      <c r="ACP5" s="156"/>
      <c r="ACQ5" s="156"/>
      <c r="ACR5" s="156"/>
      <c r="ACS5" s="156"/>
      <c r="ACT5" s="157"/>
      <c r="ACU5" s="155">
        <f t="shared" si="651"/>
        <v>42758</v>
      </c>
      <c r="ACV5" s="156"/>
      <c r="ACW5" s="156"/>
      <c r="ACX5" s="156"/>
      <c r="ACY5" s="156"/>
      <c r="ACZ5" s="156"/>
      <c r="ADA5" s="157"/>
      <c r="ADB5" s="155">
        <f t="shared" si="650"/>
        <v>42765</v>
      </c>
      <c r="ADC5" s="156"/>
      <c r="ADD5" s="156"/>
      <c r="ADE5" s="156"/>
      <c r="ADF5" s="156"/>
      <c r="ADG5" s="156"/>
      <c r="ADH5" s="157"/>
      <c r="ADI5" s="155">
        <f t="shared" si="651"/>
        <v>42772</v>
      </c>
      <c r="ADJ5" s="156"/>
      <c r="ADK5" s="156"/>
      <c r="ADL5" s="156"/>
      <c r="ADM5" s="156"/>
      <c r="ADN5" s="156"/>
      <c r="ADO5" s="157"/>
    </row>
    <row r="6" spans="1:795" s="17" customFormat="1" ht="51" customHeight="1" x14ac:dyDescent="0.25">
      <c r="A6" s="32" t="s">
        <v>5</v>
      </c>
      <c r="B6" s="32" t="s">
        <v>42</v>
      </c>
      <c r="C6" s="33" t="s">
        <v>6</v>
      </c>
      <c r="D6" s="89" t="s">
        <v>69</v>
      </c>
      <c r="E6" s="72" t="s">
        <v>32</v>
      </c>
      <c r="F6" s="70" t="s">
        <v>7</v>
      </c>
      <c r="G6" s="32" t="s">
        <v>43</v>
      </c>
      <c r="H6" s="104" t="s">
        <v>21</v>
      </c>
      <c r="I6" s="69" t="s">
        <v>28</v>
      </c>
      <c r="J6" s="35" t="s">
        <v>8</v>
      </c>
      <c r="K6" s="36" t="s">
        <v>9</v>
      </c>
      <c r="L6" s="96" t="s">
        <v>56</v>
      </c>
      <c r="M6" s="88" t="s">
        <v>57</v>
      </c>
      <c r="N6" s="97" t="s">
        <v>2</v>
      </c>
      <c r="O6" s="162"/>
      <c r="P6" s="167"/>
      <c r="Q6" s="167"/>
      <c r="R6" s="16" t="s">
        <v>15</v>
      </c>
      <c r="S6" s="152">
        <f>[0]!IsoWeekNumber(S3)</f>
        <v>1</v>
      </c>
      <c r="T6" s="153"/>
      <c r="U6" s="153"/>
      <c r="V6" s="153"/>
      <c r="W6" s="153"/>
      <c r="X6" s="153"/>
      <c r="Y6" s="154"/>
      <c r="Z6" s="152">
        <f>[0]!IsoWeekNumber(Z3)</f>
        <v>2</v>
      </c>
      <c r="AA6" s="153"/>
      <c r="AB6" s="153"/>
      <c r="AC6" s="153"/>
      <c r="AD6" s="153"/>
      <c r="AE6" s="153"/>
      <c r="AF6" s="154"/>
      <c r="AG6" s="152">
        <f>[0]!IsoWeekNumber(AG3)</f>
        <v>3</v>
      </c>
      <c r="AH6" s="153"/>
      <c r="AI6" s="153"/>
      <c r="AJ6" s="153"/>
      <c r="AK6" s="153"/>
      <c r="AL6" s="153"/>
      <c r="AM6" s="154"/>
      <c r="AN6" s="152">
        <f>[0]!IsoWeekNumber(AN3)</f>
        <v>4</v>
      </c>
      <c r="AO6" s="153"/>
      <c r="AP6" s="153"/>
      <c r="AQ6" s="153"/>
      <c r="AR6" s="153"/>
      <c r="AS6" s="153"/>
      <c r="AT6" s="154"/>
      <c r="AU6" s="152">
        <f>[0]!IsoWeekNumber(AU3)</f>
        <v>5</v>
      </c>
      <c r="AV6" s="153"/>
      <c r="AW6" s="153"/>
      <c r="AX6" s="153"/>
      <c r="AY6" s="153"/>
      <c r="AZ6" s="153"/>
      <c r="BA6" s="154"/>
      <c r="BB6" s="152">
        <f>[0]!IsoWeekNumber(BB3)</f>
        <v>6</v>
      </c>
      <c r="BC6" s="153"/>
      <c r="BD6" s="153"/>
      <c r="BE6" s="153"/>
      <c r="BF6" s="153"/>
      <c r="BG6" s="153"/>
      <c r="BH6" s="154"/>
      <c r="BI6" s="152">
        <f>[0]!IsoWeekNumber(BI3)</f>
        <v>7</v>
      </c>
      <c r="BJ6" s="153"/>
      <c r="BK6" s="153"/>
      <c r="BL6" s="153"/>
      <c r="BM6" s="153"/>
      <c r="BN6" s="153"/>
      <c r="BO6" s="154"/>
      <c r="BP6" s="152">
        <f>[0]!IsoWeekNumber(BP3)</f>
        <v>8</v>
      </c>
      <c r="BQ6" s="153"/>
      <c r="BR6" s="153"/>
      <c r="BS6" s="153"/>
      <c r="BT6" s="153"/>
      <c r="BU6" s="153"/>
      <c r="BV6" s="154"/>
      <c r="BW6" s="152">
        <f>[0]!IsoWeekNumber(BW3)</f>
        <v>9</v>
      </c>
      <c r="BX6" s="153"/>
      <c r="BY6" s="153"/>
      <c r="BZ6" s="153"/>
      <c r="CA6" s="153"/>
      <c r="CB6" s="153"/>
      <c r="CC6" s="154"/>
      <c r="CD6" s="152">
        <f>[0]!IsoWeekNumber(CD3)</f>
        <v>10</v>
      </c>
      <c r="CE6" s="153"/>
      <c r="CF6" s="153"/>
      <c r="CG6" s="153"/>
      <c r="CH6" s="153"/>
      <c r="CI6" s="153"/>
      <c r="CJ6" s="154"/>
      <c r="CK6" s="152">
        <f>[0]!IsoWeekNumber(CK3)</f>
        <v>11</v>
      </c>
      <c r="CL6" s="153"/>
      <c r="CM6" s="153"/>
      <c r="CN6" s="153"/>
      <c r="CO6" s="153"/>
      <c r="CP6" s="153"/>
      <c r="CQ6" s="154"/>
      <c r="CR6" s="152">
        <f>[0]!IsoWeekNumber(CR3)</f>
        <v>12</v>
      </c>
      <c r="CS6" s="153"/>
      <c r="CT6" s="153"/>
      <c r="CU6" s="153"/>
      <c r="CV6" s="153"/>
      <c r="CW6" s="153"/>
      <c r="CX6" s="154"/>
      <c r="CY6" s="152">
        <f>[0]!IsoWeekNumber(CY3)</f>
        <v>13</v>
      </c>
      <c r="CZ6" s="153"/>
      <c r="DA6" s="153"/>
      <c r="DB6" s="153"/>
      <c r="DC6" s="153"/>
      <c r="DD6" s="153"/>
      <c r="DE6" s="154"/>
      <c r="DF6" s="152">
        <f>[0]!IsoWeekNumber(DF3)</f>
        <v>14</v>
      </c>
      <c r="DG6" s="153"/>
      <c r="DH6" s="153"/>
      <c r="DI6" s="153"/>
      <c r="DJ6" s="153"/>
      <c r="DK6" s="153"/>
      <c r="DL6" s="154"/>
      <c r="DM6" s="152">
        <f>[0]!IsoWeekNumber(DM3)</f>
        <v>15</v>
      </c>
      <c r="DN6" s="153"/>
      <c r="DO6" s="153"/>
      <c r="DP6" s="153"/>
      <c r="DQ6" s="153"/>
      <c r="DR6" s="153"/>
      <c r="DS6" s="154"/>
      <c r="DT6" s="152">
        <f>[0]!IsoWeekNumber(DT3)</f>
        <v>16</v>
      </c>
      <c r="DU6" s="153"/>
      <c r="DV6" s="153"/>
      <c r="DW6" s="153"/>
      <c r="DX6" s="153"/>
      <c r="DY6" s="153"/>
      <c r="DZ6" s="154"/>
      <c r="EA6" s="152">
        <f>[0]!IsoWeekNumber(EA3)</f>
        <v>17</v>
      </c>
      <c r="EB6" s="153"/>
      <c r="EC6" s="153"/>
      <c r="ED6" s="153"/>
      <c r="EE6" s="153"/>
      <c r="EF6" s="153"/>
      <c r="EG6" s="154"/>
      <c r="EH6" s="152">
        <f>[0]!IsoWeekNumber(EH3)</f>
        <v>18</v>
      </c>
      <c r="EI6" s="153"/>
      <c r="EJ6" s="153"/>
      <c r="EK6" s="153"/>
      <c r="EL6" s="153"/>
      <c r="EM6" s="153"/>
      <c r="EN6" s="154"/>
      <c r="EO6" s="152">
        <f>[0]!IsoWeekNumber(EO3)</f>
        <v>19</v>
      </c>
      <c r="EP6" s="153"/>
      <c r="EQ6" s="153"/>
      <c r="ER6" s="153"/>
      <c r="ES6" s="153"/>
      <c r="ET6" s="153"/>
      <c r="EU6" s="154"/>
      <c r="EV6" s="152">
        <f>[0]!IsoWeekNumber(EV3)</f>
        <v>20</v>
      </c>
      <c r="EW6" s="153"/>
      <c r="EX6" s="153"/>
      <c r="EY6" s="153"/>
      <c r="EZ6" s="153"/>
      <c r="FA6" s="153"/>
      <c r="FB6" s="154"/>
      <c r="FC6" s="152">
        <f>[0]!IsoWeekNumber(FC3)</f>
        <v>21</v>
      </c>
      <c r="FD6" s="153"/>
      <c r="FE6" s="153"/>
      <c r="FF6" s="153"/>
      <c r="FG6" s="153"/>
      <c r="FH6" s="153"/>
      <c r="FI6" s="154"/>
      <c r="FJ6" s="152">
        <f>[0]!IsoWeekNumber(FJ3)</f>
        <v>22</v>
      </c>
      <c r="FK6" s="153"/>
      <c r="FL6" s="153"/>
      <c r="FM6" s="153"/>
      <c r="FN6" s="153"/>
      <c r="FO6" s="153"/>
      <c r="FP6" s="154"/>
      <c r="FQ6" s="152">
        <f>[0]!IsoWeekNumber(FQ3)</f>
        <v>23</v>
      </c>
      <c r="FR6" s="153"/>
      <c r="FS6" s="153"/>
      <c r="FT6" s="153"/>
      <c r="FU6" s="153"/>
      <c r="FV6" s="153"/>
      <c r="FW6" s="154"/>
      <c r="FX6" s="152">
        <f>[0]!IsoWeekNumber(FX3)</f>
        <v>24</v>
      </c>
      <c r="FY6" s="153"/>
      <c r="FZ6" s="153"/>
      <c r="GA6" s="153"/>
      <c r="GB6" s="153"/>
      <c r="GC6" s="153"/>
      <c r="GD6" s="154"/>
      <c r="GE6" s="152">
        <f>[0]!IsoWeekNumber(GE3)</f>
        <v>25</v>
      </c>
      <c r="GF6" s="153"/>
      <c r="GG6" s="153"/>
      <c r="GH6" s="153"/>
      <c r="GI6" s="153"/>
      <c r="GJ6" s="153"/>
      <c r="GK6" s="154"/>
      <c r="GL6" s="152">
        <f>[0]!IsoWeekNumber(GL3)</f>
        <v>26</v>
      </c>
      <c r="GM6" s="153"/>
      <c r="GN6" s="153"/>
      <c r="GO6" s="153"/>
      <c r="GP6" s="153"/>
      <c r="GQ6" s="153"/>
      <c r="GR6" s="154"/>
      <c r="GS6" s="152">
        <f>[0]!IsoWeekNumber(GS3)</f>
        <v>27</v>
      </c>
      <c r="GT6" s="153"/>
      <c r="GU6" s="153"/>
      <c r="GV6" s="153"/>
      <c r="GW6" s="153"/>
      <c r="GX6" s="153"/>
      <c r="GY6" s="154"/>
      <c r="GZ6" s="152">
        <f>[0]!IsoWeekNumber(GZ3)</f>
        <v>28</v>
      </c>
      <c r="HA6" s="153"/>
      <c r="HB6" s="153"/>
      <c r="HC6" s="153"/>
      <c r="HD6" s="153"/>
      <c r="HE6" s="153"/>
      <c r="HF6" s="154"/>
      <c r="HG6" s="152">
        <f>[0]!IsoWeekNumber(HG3)</f>
        <v>29</v>
      </c>
      <c r="HH6" s="153"/>
      <c r="HI6" s="153"/>
      <c r="HJ6" s="153"/>
      <c r="HK6" s="153"/>
      <c r="HL6" s="153"/>
      <c r="HM6" s="154"/>
      <c r="HN6" s="152">
        <f>[0]!IsoWeekNumber(HN3)</f>
        <v>30</v>
      </c>
      <c r="HO6" s="153"/>
      <c r="HP6" s="153"/>
      <c r="HQ6" s="153"/>
      <c r="HR6" s="153"/>
      <c r="HS6" s="153"/>
      <c r="HT6" s="154"/>
      <c r="HU6" s="152">
        <f>[0]!IsoWeekNumber(HU3)</f>
        <v>31</v>
      </c>
      <c r="HV6" s="153"/>
      <c r="HW6" s="153"/>
      <c r="HX6" s="153"/>
      <c r="HY6" s="153"/>
      <c r="HZ6" s="153"/>
      <c r="IA6" s="154"/>
      <c r="IB6" s="152">
        <f>[0]!IsoWeekNumber(IB3)</f>
        <v>32</v>
      </c>
      <c r="IC6" s="153"/>
      <c r="ID6" s="153"/>
      <c r="IE6" s="153"/>
      <c r="IF6" s="153"/>
      <c r="IG6" s="153"/>
      <c r="IH6" s="154"/>
      <c r="II6" s="152">
        <f>[0]!IsoWeekNumber(II3)</f>
        <v>33</v>
      </c>
      <c r="IJ6" s="153"/>
      <c r="IK6" s="153"/>
      <c r="IL6" s="153"/>
      <c r="IM6" s="153"/>
      <c r="IN6" s="153"/>
      <c r="IO6" s="154"/>
      <c r="IP6" s="152">
        <f>[0]!IsoWeekNumber(IP3)</f>
        <v>34</v>
      </c>
      <c r="IQ6" s="153"/>
      <c r="IR6" s="153"/>
      <c r="IS6" s="153"/>
      <c r="IT6" s="153"/>
      <c r="IU6" s="153"/>
      <c r="IV6" s="154"/>
      <c r="IW6" s="152">
        <f>[0]!IsoWeekNumber(IW3)</f>
        <v>35</v>
      </c>
      <c r="IX6" s="153"/>
      <c r="IY6" s="153"/>
      <c r="IZ6" s="153"/>
      <c r="JA6" s="153"/>
      <c r="JB6" s="153"/>
      <c r="JC6" s="154"/>
      <c r="JD6" s="152">
        <f>[0]!IsoWeekNumber(JD3)</f>
        <v>36</v>
      </c>
      <c r="JE6" s="153"/>
      <c r="JF6" s="153"/>
      <c r="JG6" s="153"/>
      <c r="JH6" s="153"/>
      <c r="JI6" s="153"/>
      <c r="JJ6" s="154"/>
      <c r="JK6" s="152">
        <f>[0]!IsoWeekNumber(JK3)</f>
        <v>37</v>
      </c>
      <c r="JL6" s="153"/>
      <c r="JM6" s="153"/>
      <c r="JN6" s="153"/>
      <c r="JO6" s="153"/>
      <c r="JP6" s="153"/>
      <c r="JQ6" s="154"/>
      <c r="JR6" s="152">
        <f>[0]!IsoWeekNumber(JR3)</f>
        <v>38</v>
      </c>
      <c r="JS6" s="153"/>
      <c r="JT6" s="153"/>
      <c r="JU6" s="153"/>
      <c r="JV6" s="153"/>
      <c r="JW6" s="153"/>
      <c r="JX6" s="154"/>
      <c r="JY6" s="152">
        <f>[0]!IsoWeekNumber(JY3)</f>
        <v>39</v>
      </c>
      <c r="JZ6" s="153"/>
      <c r="KA6" s="153"/>
      <c r="KB6" s="153"/>
      <c r="KC6" s="153"/>
      <c r="KD6" s="153"/>
      <c r="KE6" s="154"/>
      <c r="KF6" s="152">
        <f>[0]!IsoWeekNumber(KF3)</f>
        <v>40</v>
      </c>
      <c r="KG6" s="153"/>
      <c r="KH6" s="153"/>
      <c r="KI6" s="153"/>
      <c r="KJ6" s="153"/>
      <c r="KK6" s="153"/>
      <c r="KL6" s="154"/>
      <c r="KM6" s="152">
        <f>[0]!IsoWeekNumber(KM3)</f>
        <v>41</v>
      </c>
      <c r="KN6" s="153"/>
      <c r="KO6" s="153"/>
      <c r="KP6" s="153"/>
      <c r="KQ6" s="153"/>
      <c r="KR6" s="153"/>
      <c r="KS6" s="154"/>
      <c r="KT6" s="152">
        <f>[0]!IsoWeekNumber(KT3)</f>
        <v>42</v>
      </c>
      <c r="KU6" s="153"/>
      <c r="KV6" s="153"/>
      <c r="KW6" s="153"/>
      <c r="KX6" s="153"/>
      <c r="KY6" s="153"/>
      <c r="KZ6" s="154"/>
      <c r="LA6" s="152">
        <f>[0]!IsoWeekNumber(LA3)</f>
        <v>43</v>
      </c>
      <c r="LB6" s="153"/>
      <c r="LC6" s="153"/>
      <c r="LD6" s="153"/>
      <c r="LE6" s="153"/>
      <c r="LF6" s="153"/>
      <c r="LG6" s="154"/>
      <c r="LH6" s="152">
        <f>[0]!IsoWeekNumber(LH3)</f>
        <v>44</v>
      </c>
      <c r="LI6" s="153"/>
      <c r="LJ6" s="153"/>
      <c r="LK6" s="153"/>
      <c r="LL6" s="153"/>
      <c r="LM6" s="153"/>
      <c r="LN6" s="154"/>
      <c r="LO6" s="152">
        <f>[0]!IsoWeekNumber(LO3)</f>
        <v>45</v>
      </c>
      <c r="LP6" s="153"/>
      <c r="LQ6" s="153"/>
      <c r="LR6" s="153"/>
      <c r="LS6" s="153"/>
      <c r="LT6" s="153"/>
      <c r="LU6" s="154"/>
      <c r="LV6" s="152">
        <f>[0]!IsoWeekNumber(LV3)</f>
        <v>46</v>
      </c>
      <c r="LW6" s="153"/>
      <c r="LX6" s="153"/>
      <c r="LY6" s="153"/>
      <c r="LZ6" s="153"/>
      <c r="MA6" s="153"/>
      <c r="MB6" s="154"/>
      <c r="MC6" s="152">
        <f>[0]!IsoWeekNumber(MC3)</f>
        <v>47</v>
      </c>
      <c r="MD6" s="153"/>
      <c r="ME6" s="153"/>
      <c r="MF6" s="153"/>
      <c r="MG6" s="153"/>
      <c r="MH6" s="153"/>
      <c r="MI6" s="154"/>
      <c r="MJ6" s="152">
        <f>[0]!IsoWeekNumber(MJ3)</f>
        <v>48</v>
      </c>
      <c r="MK6" s="153"/>
      <c r="ML6" s="153"/>
      <c r="MM6" s="153"/>
      <c r="MN6" s="153"/>
      <c r="MO6" s="153"/>
      <c r="MP6" s="154"/>
      <c r="MQ6" s="152">
        <f>[0]!IsoWeekNumber(MQ3)</f>
        <v>49</v>
      </c>
      <c r="MR6" s="153"/>
      <c r="MS6" s="153"/>
      <c r="MT6" s="153"/>
      <c r="MU6" s="153"/>
      <c r="MV6" s="153"/>
      <c r="MW6" s="154"/>
      <c r="MX6" s="152">
        <f>[0]!IsoWeekNumber(MX3)</f>
        <v>50</v>
      </c>
      <c r="MY6" s="153"/>
      <c r="MZ6" s="153"/>
      <c r="NA6" s="153"/>
      <c r="NB6" s="153"/>
      <c r="NC6" s="153"/>
      <c r="ND6" s="154"/>
      <c r="NE6" s="152">
        <f>[0]!IsoWeekNumber(NE3)</f>
        <v>51</v>
      </c>
      <c r="NF6" s="153"/>
      <c r="NG6" s="153"/>
      <c r="NH6" s="153"/>
      <c r="NI6" s="153"/>
      <c r="NJ6" s="153"/>
      <c r="NK6" s="154"/>
      <c r="NL6" s="152">
        <f>[0]!IsoWeekNumber(NL3)</f>
        <v>52</v>
      </c>
      <c r="NM6" s="153"/>
      <c r="NN6" s="153"/>
      <c r="NO6" s="153"/>
      <c r="NP6" s="153"/>
      <c r="NQ6" s="153"/>
      <c r="NR6" s="154"/>
      <c r="NS6" s="152">
        <f>[0]!IsoWeekNumber(NS3)</f>
        <v>53</v>
      </c>
      <c r="NT6" s="153"/>
      <c r="NU6" s="153"/>
      <c r="NV6" s="153"/>
      <c r="NW6" s="153"/>
      <c r="NX6" s="153"/>
      <c r="NY6" s="154"/>
      <c r="NZ6" s="152">
        <f>[0]!IsoWeekNumber(NZ3)</f>
        <v>1</v>
      </c>
      <c r="OA6" s="153"/>
      <c r="OB6" s="153"/>
      <c r="OC6" s="153"/>
      <c r="OD6" s="153"/>
      <c r="OE6" s="153"/>
      <c r="OF6" s="154"/>
      <c r="OG6" s="152">
        <f>[0]!IsoWeekNumber(OG3)</f>
        <v>2</v>
      </c>
      <c r="OH6" s="153"/>
      <c r="OI6" s="153"/>
      <c r="OJ6" s="153"/>
      <c r="OK6" s="153"/>
      <c r="OL6" s="153"/>
      <c r="OM6" s="154"/>
      <c r="ON6" s="152">
        <f>[0]!IsoWeekNumber(ON3)</f>
        <v>3</v>
      </c>
      <c r="OO6" s="153"/>
      <c r="OP6" s="153"/>
      <c r="OQ6" s="153"/>
      <c r="OR6" s="153"/>
      <c r="OS6" s="153"/>
      <c r="OT6" s="154"/>
      <c r="OU6" s="152">
        <f>[0]!IsoWeekNumber(OU3)</f>
        <v>4</v>
      </c>
      <c r="OV6" s="153"/>
      <c r="OW6" s="153"/>
      <c r="OX6" s="153"/>
      <c r="OY6" s="153"/>
      <c r="OZ6" s="153"/>
      <c r="PA6" s="154"/>
      <c r="PB6" s="152">
        <f>[0]!IsoWeekNumber(PB3)</f>
        <v>5</v>
      </c>
      <c r="PC6" s="153"/>
      <c r="PD6" s="153"/>
      <c r="PE6" s="153"/>
      <c r="PF6" s="153"/>
      <c r="PG6" s="153"/>
      <c r="PH6" s="154"/>
      <c r="PI6" s="152">
        <f>[0]!IsoWeekNumber(PI3)</f>
        <v>6</v>
      </c>
      <c r="PJ6" s="153"/>
      <c r="PK6" s="153"/>
      <c r="PL6" s="153"/>
      <c r="PM6" s="153"/>
      <c r="PN6" s="153"/>
      <c r="PO6" s="154"/>
      <c r="PP6" s="152">
        <f>[0]!IsoWeekNumber(PP3)</f>
        <v>7</v>
      </c>
      <c r="PQ6" s="153"/>
      <c r="PR6" s="153"/>
      <c r="PS6" s="153"/>
      <c r="PT6" s="153"/>
      <c r="PU6" s="153"/>
      <c r="PV6" s="154"/>
      <c r="PW6" s="152">
        <f>[0]!IsoWeekNumber(PW3)</f>
        <v>8</v>
      </c>
      <c r="PX6" s="153"/>
      <c r="PY6" s="153"/>
      <c r="PZ6" s="153"/>
      <c r="QA6" s="153"/>
      <c r="QB6" s="153"/>
      <c r="QC6" s="154"/>
      <c r="QD6" s="152">
        <f>[0]!IsoWeekNumber(QD3)</f>
        <v>9</v>
      </c>
      <c r="QE6" s="153"/>
      <c r="QF6" s="153"/>
      <c r="QG6" s="153"/>
      <c r="QH6" s="153"/>
      <c r="QI6" s="153"/>
      <c r="QJ6" s="154"/>
      <c r="QK6" s="152">
        <f>[0]!IsoWeekNumber(QK3)</f>
        <v>10</v>
      </c>
      <c r="QL6" s="153"/>
      <c r="QM6" s="153"/>
      <c r="QN6" s="153"/>
      <c r="QO6" s="153"/>
      <c r="QP6" s="153"/>
      <c r="QQ6" s="154"/>
      <c r="QR6" s="152">
        <f>[0]!IsoWeekNumber(QR3)</f>
        <v>11</v>
      </c>
      <c r="QS6" s="153"/>
      <c r="QT6" s="153"/>
      <c r="QU6" s="153"/>
      <c r="QV6" s="153"/>
      <c r="QW6" s="153"/>
      <c r="QX6" s="154"/>
      <c r="QY6" s="152">
        <f>[0]!IsoWeekNumber(QY3)</f>
        <v>12</v>
      </c>
      <c r="QZ6" s="153"/>
      <c r="RA6" s="153"/>
      <c r="RB6" s="153"/>
      <c r="RC6" s="153"/>
      <c r="RD6" s="153"/>
      <c r="RE6" s="154"/>
      <c r="RF6" s="152">
        <f>[0]!IsoWeekNumber(RF3)</f>
        <v>13</v>
      </c>
      <c r="RG6" s="153"/>
      <c r="RH6" s="153"/>
      <c r="RI6" s="153"/>
      <c r="RJ6" s="153"/>
      <c r="RK6" s="153"/>
      <c r="RL6" s="154"/>
      <c r="RM6" s="152">
        <f>[0]!IsoWeekNumber(RM3)</f>
        <v>14</v>
      </c>
      <c r="RN6" s="153"/>
      <c r="RO6" s="153"/>
      <c r="RP6" s="153"/>
      <c r="RQ6" s="153"/>
      <c r="RR6" s="153"/>
      <c r="RS6" s="154"/>
      <c r="RT6" s="152">
        <f>[0]!IsoWeekNumber(RT3)</f>
        <v>15</v>
      </c>
      <c r="RU6" s="153"/>
      <c r="RV6" s="153"/>
      <c r="RW6" s="153"/>
      <c r="RX6" s="153"/>
      <c r="RY6" s="153"/>
      <c r="RZ6" s="154"/>
      <c r="SA6" s="152">
        <f>[0]!IsoWeekNumber(SA3)</f>
        <v>16</v>
      </c>
      <c r="SB6" s="153"/>
      <c r="SC6" s="153"/>
      <c r="SD6" s="153"/>
      <c r="SE6" s="153"/>
      <c r="SF6" s="153"/>
      <c r="SG6" s="154"/>
      <c r="SH6" s="152">
        <f>[0]!IsoWeekNumber(SH3)</f>
        <v>17</v>
      </c>
      <c r="SI6" s="153"/>
      <c r="SJ6" s="153"/>
      <c r="SK6" s="153"/>
      <c r="SL6" s="153"/>
      <c r="SM6" s="153"/>
      <c r="SN6" s="154"/>
      <c r="SO6" s="152">
        <f>[0]!IsoWeekNumber(SO3)</f>
        <v>18</v>
      </c>
      <c r="SP6" s="153"/>
      <c r="SQ6" s="153"/>
      <c r="SR6" s="153"/>
      <c r="SS6" s="153"/>
      <c r="ST6" s="153"/>
      <c r="SU6" s="154"/>
      <c r="SV6" s="152">
        <f>[0]!IsoWeekNumber(SV3)</f>
        <v>19</v>
      </c>
      <c r="SW6" s="153"/>
      <c r="SX6" s="153"/>
      <c r="SY6" s="153"/>
      <c r="SZ6" s="153"/>
      <c r="TA6" s="153"/>
      <c r="TB6" s="154"/>
      <c r="TC6" s="152">
        <f>[0]!IsoWeekNumber(TC3)</f>
        <v>20</v>
      </c>
      <c r="TD6" s="153"/>
      <c r="TE6" s="153"/>
      <c r="TF6" s="153"/>
      <c r="TG6" s="153"/>
      <c r="TH6" s="153"/>
      <c r="TI6" s="154"/>
      <c r="TJ6" s="152">
        <f>[0]!IsoWeekNumber(TJ3)</f>
        <v>21</v>
      </c>
      <c r="TK6" s="153"/>
      <c r="TL6" s="153"/>
      <c r="TM6" s="153"/>
      <c r="TN6" s="153"/>
      <c r="TO6" s="153"/>
      <c r="TP6" s="154"/>
      <c r="TQ6" s="152">
        <f>[0]!IsoWeekNumber(TQ3)</f>
        <v>22</v>
      </c>
      <c r="TR6" s="153"/>
      <c r="TS6" s="153"/>
      <c r="TT6" s="153"/>
      <c r="TU6" s="153"/>
      <c r="TV6" s="153"/>
      <c r="TW6" s="154"/>
      <c r="TX6" s="152">
        <f>[0]!IsoWeekNumber(TX3)</f>
        <v>23</v>
      </c>
      <c r="TY6" s="153"/>
      <c r="TZ6" s="153"/>
      <c r="UA6" s="153"/>
      <c r="UB6" s="153"/>
      <c r="UC6" s="153"/>
      <c r="UD6" s="154"/>
      <c r="UE6" s="152">
        <f>[0]!IsoWeekNumber(UE3)</f>
        <v>24</v>
      </c>
      <c r="UF6" s="153"/>
      <c r="UG6" s="153"/>
      <c r="UH6" s="153"/>
      <c r="UI6" s="153"/>
      <c r="UJ6" s="153"/>
      <c r="UK6" s="154"/>
      <c r="UL6" s="152">
        <f>[0]!IsoWeekNumber(UL3)</f>
        <v>25</v>
      </c>
      <c r="UM6" s="153"/>
      <c r="UN6" s="153"/>
      <c r="UO6" s="153"/>
      <c r="UP6" s="153"/>
      <c r="UQ6" s="153"/>
      <c r="UR6" s="154"/>
      <c r="US6" s="152">
        <f>[0]!IsoWeekNumber(US3)</f>
        <v>26</v>
      </c>
      <c r="UT6" s="153"/>
      <c r="UU6" s="153"/>
      <c r="UV6" s="153"/>
      <c r="UW6" s="153"/>
      <c r="UX6" s="153"/>
      <c r="UY6" s="154"/>
      <c r="UZ6" s="152">
        <f>[0]!IsoWeekNumber(UZ3)</f>
        <v>27</v>
      </c>
      <c r="VA6" s="153"/>
      <c r="VB6" s="153"/>
      <c r="VC6" s="153"/>
      <c r="VD6" s="153"/>
      <c r="VE6" s="153"/>
      <c r="VF6" s="154"/>
      <c r="VG6" s="152">
        <f>[0]!IsoWeekNumber(VG3)</f>
        <v>28</v>
      </c>
      <c r="VH6" s="153"/>
      <c r="VI6" s="153"/>
      <c r="VJ6" s="153"/>
      <c r="VK6" s="153"/>
      <c r="VL6" s="153"/>
      <c r="VM6" s="154"/>
      <c r="VN6" s="152">
        <f>[0]!IsoWeekNumber(VN3)</f>
        <v>29</v>
      </c>
      <c r="VO6" s="153"/>
      <c r="VP6" s="153"/>
      <c r="VQ6" s="153"/>
      <c r="VR6" s="153"/>
      <c r="VS6" s="153"/>
      <c r="VT6" s="154"/>
      <c r="VU6" s="152">
        <f>[0]!IsoWeekNumber(VU3)</f>
        <v>30</v>
      </c>
      <c r="VV6" s="153"/>
      <c r="VW6" s="153"/>
      <c r="VX6" s="153"/>
      <c r="VY6" s="153"/>
      <c r="VZ6" s="153"/>
      <c r="WA6" s="154"/>
      <c r="WB6" s="152">
        <f>[0]!IsoWeekNumber(WB3)</f>
        <v>31</v>
      </c>
      <c r="WC6" s="153"/>
      <c r="WD6" s="153"/>
      <c r="WE6" s="153"/>
      <c r="WF6" s="153"/>
      <c r="WG6" s="153"/>
      <c r="WH6" s="154"/>
      <c r="WI6" s="152">
        <f>[0]!IsoWeekNumber(WI3)</f>
        <v>32</v>
      </c>
      <c r="WJ6" s="153"/>
      <c r="WK6" s="153"/>
      <c r="WL6" s="153"/>
      <c r="WM6" s="153"/>
      <c r="WN6" s="153"/>
      <c r="WO6" s="154"/>
      <c r="WP6" s="152">
        <f>[0]!IsoWeekNumber(WP3)</f>
        <v>33</v>
      </c>
      <c r="WQ6" s="153"/>
      <c r="WR6" s="153"/>
      <c r="WS6" s="153"/>
      <c r="WT6" s="153"/>
      <c r="WU6" s="153"/>
      <c r="WV6" s="154"/>
      <c r="WW6" s="152">
        <f>[0]!IsoWeekNumber(WW3)</f>
        <v>34</v>
      </c>
      <c r="WX6" s="153"/>
      <c r="WY6" s="153"/>
      <c r="WZ6" s="153"/>
      <c r="XA6" s="153"/>
      <c r="XB6" s="153"/>
      <c r="XC6" s="154"/>
      <c r="XD6" s="152">
        <f>[0]!IsoWeekNumber(XD3)</f>
        <v>35</v>
      </c>
      <c r="XE6" s="153"/>
      <c r="XF6" s="153"/>
      <c r="XG6" s="153"/>
      <c r="XH6" s="153"/>
      <c r="XI6" s="153"/>
      <c r="XJ6" s="154"/>
      <c r="XK6" s="152">
        <f>[0]!IsoWeekNumber(XK3)</f>
        <v>36</v>
      </c>
      <c r="XL6" s="153"/>
      <c r="XM6" s="153"/>
      <c r="XN6" s="153"/>
      <c r="XO6" s="153"/>
      <c r="XP6" s="153"/>
      <c r="XQ6" s="154"/>
      <c r="XR6" s="152">
        <f>[0]!IsoWeekNumber(XR3)</f>
        <v>37</v>
      </c>
      <c r="XS6" s="153"/>
      <c r="XT6" s="153"/>
      <c r="XU6" s="153"/>
      <c r="XV6" s="153"/>
      <c r="XW6" s="153"/>
      <c r="XX6" s="154"/>
      <c r="XY6" s="152">
        <f>[0]!IsoWeekNumber(XY3)</f>
        <v>38</v>
      </c>
      <c r="XZ6" s="153"/>
      <c r="YA6" s="153"/>
      <c r="YB6" s="153"/>
      <c r="YC6" s="153"/>
      <c r="YD6" s="153"/>
      <c r="YE6" s="154"/>
      <c r="YF6" s="152">
        <f>[0]!IsoWeekNumber(YF3)</f>
        <v>39</v>
      </c>
      <c r="YG6" s="153"/>
      <c r="YH6" s="153"/>
      <c r="YI6" s="153"/>
      <c r="YJ6" s="153"/>
      <c r="YK6" s="153"/>
      <c r="YL6" s="154"/>
      <c r="YM6" s="152">
        <f>[0]!IsoWeekNumber(YM3)</f>
        <v>40</v>
      </c>
      <c r="YN6" s="153"/>
      <c r="YO6" s="153"/>
      <c r="YP6" s="153"/>
      <c r="YQ6" s="153"/>
      <c r="YR6" s="153"/>
      <c r="YS6" s="154"/>
      <c r="YT6" s="152">
        <f>[0]!IsoWeekNumber(YT3)</f>
        <v>41</v>
      </c>
      <c r="YU6" s="153"/>
      <c r="YV6" s="153"/>
      <c r="YW6" s="153"/>
      <c r="YX6" s="153"/>
      <c r="YY6" s="153"/>
      <c r="YZ6" s="154"/>
      <c r="ZA6" s="152">
        <f>[0]!IsoWeekNumber(ZA3)</f>
        <v>42</v>
      </c>
      <c r="ZB6" s="153"/>
      <c r="ZC6" s="153"/>
      <c r="ZD6" s="153"/>
      <c r="ZE6" s="153"/>
      <c r="ZF6" s="153"/>
      <c r="ZG6" s="154"/>
      <c r="ZH6" s="152">
        <f>[0]!IsoWeekNumber(ZH3)</f>
        <v>43</v>
      </c>
      <c r="ZI6" s="153"/>
      <c r="ZJ6" s="153"/>
      <c r="ZK6" s="153"/>
      <c r="ZL6" s="153"/>
      <c r="ZM6" s="153"/>
      <c r="ZN6" s="154"/>
      <c r="ZO6" s="152">
        <f>[0]!IsoWeekNumber(ZO3)</f>
        <v>44</v>
      </c>
      <c r="ZP6" s="153"/>
      <c r="ZQ6" s="153"/>
      <c r="ZR6" s="153"/>
      <c r="ZS6" s="153"/>
      <c r="ZT6" s="153"/>
      <c r="ZU6" s="154"/>
      <c r="ZV6" s="152">
        <f>[0]!IsoWeekNumber(ZV3)</f>
        <v>45</v>
      </c>
      <c r="ZW6" s="153"/>
      <c r="ZX6" s="153"/>
      <c r="ZY6" s="153"/>
      <c r="ZZ6" s="153"/>
      <c r="AAA6" s="153"/>
      <c r="AAB6" s="154"/>
      <c r="AAC6" s="152">
        <f>[0]!IsoWeekNumber(AAC3)</f>
        <v>46</v>
      </c>
      <c r="AAD6" s="153"/>
      <c r="AAE6" s="153"/>
      <c r="AAF6" s="153"/>
      <c r="AAG6" s="153"/>
      <c r="AAH6" s="153"/>
      <c r="AAI6" s="154"/>
      <c r="AAJ6" s="152">
        <f>[0]!IsoWeekNumber(AAJ3)</f>
        <v>47</v>
      </c>
      <c r="AAK6" s="153"/>
      <c r="AAL6" s="153"/>
      <c r="AAM6" s="153"/>
      <c r="AAN6" s="153"/>
      <c r="AAO6" s="153"/>
      <c r="AAP6" s="154"/>
      <c r="AAQ6" s="152">
        <f>[0]!IsoWeekNumber(AAQ3)</f>
        <v>48</v>
      </c>
      <c r="AAR6" s="153"/>
      <c r="AAS6" s="153"/>
      <c r="AAT6" s="153"/>
      <c r="AAU6" s="153"/>
      <c r="AAV6" s="153"/>
      <c r="AAW6" s="154"/>
      <c r="AAX6" s="152">
        <f>[0]!IsoWeekNumber(AAX3)</f>
        <v>49</v>
      </c>
      <c r="AAY6" s="153"/>
      <c r="AAZ6" s="153"/>
      <c r="ABA6" s="153"/>
      <c r="ABB6" s="153"/>
      <c r="ABC6" s="153"/>
      <c r="ABD6" s="154"/>
      <c r="ABE6" s="152">
        <f>[0]!IsoWeekNumber(ABE3)</f>
        <v>50</v>
      </c>
      <c r="ABF6" s="153"/>
      <c r="ABG6" s="153"/>
      <c r="ABH6" s="153"/>
      <c r="ABI6" s="153"/>
      <c r="ABJ6" s="153"/>
      <c r="ABK6" s="154"/>
      <c r="ABL6" s="152">
        <f>[0]!IsoWeekNumber(ABL3)</f>
        <v>51</v>
      </c>
      <c r="ABM6" s="153"/>
      <c r="ABN6" s="153"/>
      <c r="ABO6" s="153"/>
      <c r="ABP6" s="153"/>
      <c r="ABQ6" s="153"/>
      <c r="ABR6" s="154"/>
      <c r="ABS6" s="152">
        <f>[0]!IsoWeekNumber(ABS3)</f>
        <v>52</v>
      </c>
      <c r="ABT6" s="153"/>
      <c r="ABU6" s="153"/>
      <c r="ABV6" s="153"/>
      <c r="ABW6" s="153"/>
      <c r="ABX6" s="153"/>
      <c r="ABY6" s="154"/>
      <c r="ABZ6" s="152">
        <f>[0]!IsoWeekNumber(ABZ3)</f>
        <v>1</v>
      </c>
      <c r="ACA6" s="153"/>
      <c r="ACB6" s="153"/>
      <c r="ACC6" s="153"/>
      <c r="ACD6" s="153"/>
      <c r="ACE6" s="153"/>
      <c r="ACF6" s="154"/>
      <c r="ACG6" s="152">
        <f>[0]!IsoWeekNumber(ACG3)</f>
        <v>2</v>
      </c>
      <c r="ACH6" s="153"/>
      <c r="ACI6" s="153"/>
      <c r="ACJ6" s="153"/>
      <c r="ACK6" s="153"/>
      <c r="ACL6" s="153"/>
      <c r="ACM6" s="154"/>
      <c r="ACN6" s="152">
        <f>[0]!IsoWeekNumber(ACN3)</f>
        <v>3</v>
      </c>
      <c r="ACO6" s="153"/>
      <c r="ACP6" s="153"/>
      <c r="ACQ6" s="153"/>
      <c r="ACR6" s="153"/>
      <c r="ACS6" s="153"/>
      <c r="ACT6" s="154"/>
      <c r="ACU6" s="152">
        <f>[0]!IsoWeekNumber(ACU3)</f>
        <v>4</v>
      </c>
      <c r="ACV6" s="153"/>
      <c r="ACW6" s="153"/>
      <c r="ACX6" s="153"/>
      <c r="ACY6" s="153"/>
      <c r="ACZ6" s="153"/>
      <c r="ADA6" s="154"/>
      <c r="ADB6" s="152">
        <f>[0]!IsoWeekNumber(ADB3)</f>
        <v>5</v>
      </c>
      <c r="ADC6" s="153"/>
      <c r="ADD6" s="153"/>
      <c r="ADE6" s="153"/>
      <c r="ADF6" s="153"/>
      <c r="ADG6" s="153"/>
      <c r="ADH6" s="154"/>
      <c r="ADI6" s="152">
        <f>[0]!IsoWeekNumber(ADI3)</f>
        <v>6</v>
      </c>
      <c r="ADJ6" s="153"/>
      <c r="ADK6" s="153"/>
      <c r="ADL6" s="153"/>
      <c r="ADM6" s="153"/>
      <c r="ADN6" s="153"/>
      <c r="ADO6" s="154"/>
    </row>
    <row r="7" spans="1:795" s="41" customFormat="1" ht="17.25" customHeight="1" x14ac:dyDescent="0.25">
      <c r="A7" s="139">
        <v>2015</v>
      </c>
      <c r="B7" s="139" t="s">
        <v>26</v>
      </c>
      <c r="C7" s="140" t="s">
        <v>60</v>
      </c>
      <c r="D7" s="140" t="s">
        <v>27</v>
      </c>
      <c r="E7" s="141" t="s">
        <v>27</v>
      </c>
      <c r="F7" s="141" t="s">
        <v>39</v>
      </c>
      <c r="G7" s="142" t="s">
        <v>54</v>
      </c>
      <c r="H7" s="143">
        <v>2015</v>
      </c>
      <c r="I7" s="144">
        <v>1</v>
      </c>
      <c r="J7" s="145">
        <v>42005</v>
      </c>
      <c r="K7" s="146">
        <v>42369</v>
      </c>
      <c r="L7" s="147">
        <f>K7-J7+1</f>
        <v>365</v>
      </c>
      <c r="M7" s="147"/>
      <c r="N7" s="148">
        <f>SUMPRODUCT(L8:L10,N8:N10)/SUM(L8:L10)</f>
        <v>1</v>
      </c>
      <c r="O7" s="147">
        <f>NETWORKDAYS(J7,K7)</f>
        <v>261</v>
      </c>
      <c r="P7" s="149">
        <f>ROUNDDOWN(N7*L7,0)</f>
        <v>365</v>
      </c>
      <c r="Q7" s="147">
        <f>L7-P7</f>
        <v>0</v>
      </c>
      <c r="R7" s="150"/>
      <c r="S7" s="41">
        <f>SUM(S8:S10)</f>
        <v>0</v>
      </c>
      <c r="T7" s="41">
        <f>SUM(T8:T10)</f>
        <v>0</v>
      </c>
      <c r="U7" s="41">
        <f>SUM(U8:U10)</f>
        <v>0</v>
      </c>
      <c r="V7" s="41">
        <f>SUM(V8:V10)</f>
        <v>0</v>
      </c>
      <c r="W7" s="41">
        <f>SUM(W8:W10)</f>
        <v>0</v>
      </c>
      <c r="X7" s="41">
        <f>SUM(X8:X10)</f>
        <v>0</v>
      </c>
      <c r="Y7" s="41">
        <f>SUM(Y8:Y10)</f>
        <v>0</v>
      </c>
      <c r="Z7" s="41">
        <f>SUM(Z8:Z10)</f>
        <v>0</v>
      </c>
      <c r="AA7" s="41">
        <f>SUM(AA8:AA10)</f>
        <v>0</v>
      </c>
      <c r="AB7" s="41">
        <f>SUM(AB8:AB10)</f>
        <v>0</v>
      </c>
      <c r="AC7" s="41">
        <f>SUM(AC8:AC10)</f>
        <v>0</v>
      </c>
      <c r="AD7" s="41">
        <f>SUM(AD8:AD10)</f>
        <v>0</v>
      </c>
      <c r="AE7" s="41">
        <f>SUM(AE8:AE10)</f>
        <v>0</v>
      </c>
      <c r="AF7" s="41">
        <f>SUM(AF8:AF10)</f>
        <v>0</v>
      </c>
      <c r="AG7" s="41">
        <f>SUM(AG8:AG10)</f>
        <v>0</v>
      </c>
      <c r="AH7" s="41">
        <f>SUM(AH8:AH10)</f>
        <v>0</v>
      </c>
      <c r="AI7" s="41">
        <f>SUM(AI8:AI10)</f>
        <v>0</v>
      </c>
      <c r="AJ7" s="41">
        <f>SUM(AJ8:AJ10)</f>
        <v>0</v>
      </c>
      <c r="AK7" s="41">
        <f>SUM(AK8:AK10)</f>
        <v>0</v>
      </c>
      <c r="AL7" s="41">
        <f>SUM(AL8:AL10)</f>
        <v>0</v>
      </c>
      <c r="AM7" s="41">
        <f>SUM(AM8:AM10)</f>
        <v>0</v>
      </c>
      <c r="AN7" s="41">
        <f>SUM(AN8:AN10)</f>
        <v>0</v>
      </c>
      <c r="AO7" s="41">
        <f>SUM(AO8:AO10)</f>
        <v>0</v>
      </c>
      <c r="AP7" s="41">
        <f>SUM(AP8:AP10)</f>
        <v>0</v>
      </c>
      <c r="AQ7" s="41">
        <f>SUM(AQ8:AQ10)</f>
        <v>0</v>
      </c>
      <c r="AR7" s="41">
        <f>SUM(AR8:AR10)</f>
        <v>0</v>
      </c>
      <c r="AS7" s="41">
        <f>SUM(AS8:AS10)</f>
        <v>0</v>
      </c>
      <c r="AT7" s="41">
        <f>SUM(AT8:AT10)</f>
        <v>0</v>
      </c>
      <c r="AU7" s="41">
        <f>SUM(AU8:AU10)</f>
        <v>0</v>
      </c>
      <c r="AV7" s="41">
        <f>SUM(AV8:AV10)</f>
        <v>0</v>
      </c>
      <c r="AW7" s="41">
        <f>SUM(AW8:AW10)</f>
        <v>0</v>
      </c>
      <c r="AX7" s="41">
        <f>SUM(AX8:AX10)</f>
        <v>0</v>
      </c>
      <c r="AY7" s="41">
        <f>SUM(AY8:AY10)</f>
        <v>0</v>
      </c>
      <c r="AZ7" s="41">
        <f>SUM(AZ8:AZ10)</f>
        <v>0</v>
      </c>
      <c r="BA7" s="41">
        <f>SUM(BA8:BA10)</f>
        <v>0</v>
      </c>
      <c r="BB7" s="41">
        <f>SUM(BB8:BB10)</f>
        <v>0</v>
      </c>
      <c r="BC7" s="41">
        <f>SUM(BC8:BC10)</f>
        <v>0</v>
      </c>
      <c r="BD7" s="41">
        <f>SUM(BD8:BD10)</f>
        <v>0</v>
      </c>
      <c r="BE7" s="41">
        <f>SUM(BE8:BE10)</f>
        <v>0</v>
      </c>
      <c r="BF7" s="41">
        <f>SUM(BF8:BF10)</f>
        <v>0</v>
      </c>
      <c r="BG7" s="41">
        <f>SUM(BG8:BG10)</f>
        <v>0</v>
      </c>
      <c r="BH7" s="41">
        <f>SUM(BH8:BH10)</f>
        <v>0</v>
      </c>
      <c r="BI7" s="41">
        <f>SUM(BI8:BI10)</f>
        <v>0</v>
      </c>
      <c r="BJ7" s="41">
        <f>SUM(BJ8:BJ10)</f>
        <v>0</v>
      </c>
      <c r="BK7" s="41">
        <f>SUM(BK8:BK10)</f>
        <v>0</v>
      </c>
      <c r="BL7" s="41">
        <f>SUM(BL8:BL10)</f>
        <v>0</v>
      </c>
      <c r="BM7" s="41">
        <f>SUM(BM8:BM10)</f>
        <v>0</v>
      </c>
      <c r="BN7" s="41">
        <f>SUM(BN8:BN10)</f>
        <v>0</v>
      </c>
      <c r="BO7" s="41">
        <f>SUM(BO8:BO10)</f>
        <v>0</v>
      </c>
      <c r="BP7" s="41">
        <f>SUM(BP8:BP10)</f>
        <v>0</v>
      </c>
      <c r="BQ7" s="41">
        <f>SUM(BQ8:BQ10)</f>
        <v>0</v>
      </c>
      <c r="BR7" s="41">
        <f>SUM(BR8:BR10)</f>
        <v>0</v>
      </c>
      <c r="BS7" s="41">
        <f>SUM(BS8:BS10)</f>
        <v>0</v>
      </c>
      <c r="BT7" s="41">
        <f>SUM(BT8:BT10)</f>
        <v>0</v>
      </c>
      <c r="BU7" s="41">
        <f>SUM(BU8:BU10)</f>
        <v>0</v>
      </c>
      <c r="BV7" s="41">
        <f>SUM(BV8:BV10)</f>
        <v>0</v>
      </c>
      <c r="BW7" s="41">
        <f>SUM(BW8:BW10)</f>
        <v>1</v>
      </c>
      <c r="BX7" s="41">
        <f>SUM(BX8:BX10)</f>
        <v>1</v>
      </c>
      <c r="BY7" s="41">
        <f>SUM(BY8:BY10)</f>
        <v>1</v>
      </c>
      <c r="BZ7" s="41">
        <f>SUM(BZ8:BZ10)</f>
        <v>1</v>
      </c>
      <c r="CA7" s="41">
        <f>SUM(CA8:CA10)</f>
        <v>1</v>
      </c>
      <c r="CB7" s="41">
        <f>SUM(CB8:CB10)</f>
        <v>1</v>
      </c>
      <c r="CC7" s="41">
        <f>SUM(CC8:CC10)</f>
        <v>1</v>
      </c>
      <c r="CD7" s="41">
        <f>SUM(CD8:CD10)</f>
        <v>0</v>
      </c>
      <c r="CE7" s="41">
        <f>SUM(CE8:CE10)</f>
        <v>1</v>
      </c>
      <c r="CF7" s="41">
        <f>SUM(CF8:CF10)</f>
        <v>0</v>
      </c>
      <c r="CG7" s="41">
        <f>SUM(CG8:CG10)</f>
        <v>0</v>
      </c>
      <c r="CH7" s="41">
        <f>SUM(CH8:CH10)</f>
        <v>0</v>
      </c>
      <c r="CI7" s="41">
        <f>SUM(CI8:CI10)</f>
        <v>0</v>
      </c>
      <c r="CJ7" s="41">
        <f>SUM(CJ8:CJ10)</f>
        <v>0</v>
      </c>
      <c r="CK7" s="41">
        <f>SUM(CK8:CK10)</f>
        <v>0</v>
      </c>
      <c r="CL7" s="41">
        <f>SUM(CL8:CL10)</f>
        <v>0</v>
      </c>
      <c r="CM7" s="41">
        <f>SUM(CM8:CM10)</f>
        <v>0</v>
      </c>
      <c r="CN7" s="41">
        <f>SUM(CN8:CN10)</f>
        <v>0</v>
      </c>
      <c r="CO7" s="41">
        <f>SUM(CO8:CO10)</f>
        <v>0</v>
      </c>
      <c r="CP7" s="41">
        <f>SUM(CP8:CP10)</f>
        <v>0</v>
      </c>
      <c r="CQ7" s="41">
        <f>SUM(CQ8:CQ10)</f>
        <v>0</v>
      </c>
      <c r="CR7" s="41">
        <f>SUM(CR8:CR10)</f>
        <v>0</v>
      </c>
      <c r="CS7" s="41">
        <f>SUM(CS8:CS10)</f>
        <v>0</v>
      </c>
      <c r="CT7" s="41">
        <f>SUM(CT8:CT10)</f>
        <v>0</v>
      </c>
      <c r="CU7" s="41">
        <f>SUM(CU8:CU10)</f>
        <v>0</v>
      </c>
      <c r="CV7" s="41">
        <f>SUM(CV8:CV10)</f>
        <v>0</v>
      </c>
      <c r="CW7" s="41">
        <f>SUM(CW8:CW10)</f>
        <v>0</v>
      </c>
      <c r="CX7" s="41">
        <f>SUM(CX8:CX10)</f>
        <v>0</v>
      </c>
      <c r="CY7" s="41">
        <f>SUM(CY8:CY10)</f>
        <v>0</v>
      </c>
      <c r="CZ7" s="41">
        <f>SUM(CZ8:CZ10)</f>
        <v>0</v>
      </c>
      <c r="DA7" s="41">
        <f>SUM(DA8:DA10)</f>
        <v>0</v>
      </c>
      <c r="DB7" s="41">
        <f>SUM(DB8:DB10)</f>
        <v>0</v>
      </c>
      <c r="DC7" s="41">
        <f>SUM(DC8:DC10)</f>
        <v>0</v>
      </c>
      <c r="DD7" s="41">
        <f>SUM(DD8:DD10)</f>
        <v>0</v>
      </c>
      <c r="DE7" s="41">
        <f>SUM(DE8:DE10)</f>
        <v>0</v>
      </c>
      <c r="DF7" s="41">
        <f>SUM(DF8:DF10)</f>
        <v>0</v>
      </c>
      <c r="DG7" s="41">
        <f>SUM(DG8:DG10)</f>
        <v>0</v>
      </c>
      <c r="DH7" s="41">
        <f>SUM(DH8:DH10)</f>
        <v>0</v>
      </c>
      <c r="DI7" s="41">
        <f>SUM(DI8:DI10)</f>
        <v>0</v>
      </c>
      <c r="DJ7" s="41">
        <f>SUM(DJ8:DJ10)</f>
        <v>0</v>
      </c>
      <c r="DK7" s="41">
        <f>SUM(DK8:DK10)</f>
        <v>0</v>
      </c>
      <c r="DL7" s="41">
        <f>SUM(DL8:DL10)</f>
        <v>0</v>
      </c>
      <c r="DM7" s="41">
        <f>SUM(DM8:DM10)</f>
        <v>0</v>
      </c>
      <c r="DN7" s="41">
        <f>SUM(DN8:DN10)</f>
        <v>0</v>
      </c>
      <c r="DO7" s="41">
        <f>SUM(DO8:DO10)</f>
        <v>0</v>
      </c>
      <c r="DP7" s="41">
        <f>SUM(DP8:DP10)</f>
        <v>0</v>
      </c>
      <c r="DQ7" s="41">
        <f>SUM(DQ8:DQ10)</f>
        <v>0</v>
      </c>
      <c r="DR7" s="41">
        <f>SUM(DR8:DR10)</f>
        <v>0</v>
      </c>
      <c r="DS7" s="41">
        <f>SUM(DS8:DS10)</f>
        <v>0</v>
      </c>
      <c r="DT7" s="41">
        <f>SUM(DT8:DT10)</f>
        <v>0</v>
      </c>
      <c r="DU7" s="41">
        <f>SUM(DU8:DU10)</f>
        <v>0</v>
      </c>
      <c r="DV7" s="41">
        <f>SUM(DV8:DV10)</f>
        <v>0</v>
      </c>
      <c r="DW7" s="41">
        <f>SUM(DW8:DW10)</f>
        <v>0</v>
      </c>
      <c r="DX7" s="41">
        <f>SUM(DX8:DX10)</f>
        <v>0</v>
      </c>
      <c r="DY7" s="41">
        <f>SUM(DY8:DY10)</f>
        <v>0</v>
      </c>
      <c r="DZ7" s="41">
        <f>SUM(DZ8:DZ10)</f>
        <v>0</v>
      </c>
      <c r="EA7" s="41">
        <f>SUM(EA8:EA10)</f>
        <v>0</v>
      </c>
      <c r="EB7" s="41">
        <f>SUM(EB8:EB10)</f>
        <v>0</v>
      </c>
      <c r="EC7" s="41">
        <f>SUM(EC8:EC10)</f>
        <v>0</v>
      </c>
      <c r="ED7" s="41">
        <f>SUM(ED8:ED10)</f>
        <v>0</v>
      </c>
      <c r="EE7" s="41">
        <f>SUM(EE8:EE10)</f>
        <v>0</v>
      </c>
      <c r="EF7" s="41">
        <f>SUM(EF8:EF10)</f>
        <v>0</v>
      </c>
      <c r="EG7" s="41">
        <f>SUM(EG8:EG10)</f>
        <v>0</v>
      </c>
      <c r="EH7" s="41">
        <f>SUM(EH8:EH10)</f>
        <v>0</v>
      </c>
      <c r="EI7" s="41">
        <f>SUM(EI8:EI10)</f>
        <v>0</v>
      </c>
      <c r="EJ7" s="41">
        <f>SUM(EJ8:EJ10)</f>
        <v>0</v>
      </c>
      <c r="EK7" s="41">
        <f>SUM(EK8:EK10)</f>
        <v>0</v>
      </c>
      <c r="EL7" s="41">
        <f>SUM(EL8:EL10)</f>
        <v>0</v>
      </c>
      <c r="EM7" s="41">
        <f>SUM(EM8:EM10)</f>
        <v>0</v>
      </c>
      <c r="EN7" s="41">
        <f>SUM(EN8:EN10)</f>
        <v>0</v>
      </c>
      <c r="EO7" s="41">
        <f>SUM(EO8:EO10)</f>
        <v>0</v>
      </c>
      <c r="EP7" s="41">
        <f>SUM(EP8:EP10)</f>
        <v>0</v>
      </c>
      <c r="EQ7" s="41">
        <f>SUM(EQ8:EQ10)</f>
        <v>0</v>
      </c>
      <c r="ER7" s="41">
        <f>SUM(ER8:ER10)</f>
        <v>0</v>
      </c>
      <c r="ES7" s="41">
        <f>SUM(ES8:ES10)</f>
        <v>0</v>
      </c>
      <c r="ET7" s="41">
        <f>SUM(ET8:ET10)</f>
        <v>0</v>
      </c>
      <c r="EU7" s="41">
        <f>SUM(EU8:EU10)</f>
        <v>0</v>
      </c>
      <c r="EV7" s="41">
        <f>SUM(EV8:EV10)</f>
        <v>0</v>
      </c>
      <c r="EW7" s="41">
        <f>SUM(EW8:EW10)</f>
        <v>0</v>
      </c>
      <c r="EX7" s="41">
        <f>SUM(EX8:EX10)</f>
        <v>0</v>
      </c>
      <c r="EY7" s="41">
        <f>SUM(EY8:EY10)</f>
        <v>0</v>
      </c>
      <c r="EZ7" s="41">
        <f>SUM(EZ8:EZ10)</f>
        <v>0</v>
      </c>
      <c r="FA7" s="41">
        <f>SUM(FA8:FA10)</f>
        <v>0</v>
      </c>
      <c r="FB7" s="41">
        <f>SUM(FB8:FB10)</f>
        <v>0</v>
      </c>
      <c r="FC7" s="41">
        <f>SUM(FC8:FC10)</f>
        <v>0</v>
      </c>
      <c r="FD7" s="41">
        <f>SUM(FD8:FD10)</f>
        <v>0</v>
      </c>
      <c r="FE7" s="41">
        <f>SUM(FE8:FE10)</f>
        <v>0</v>
      </c>
      <c r="FF7" s="41">
        <f>SUM(FF8:FF10)</f>
        <v>0</v>
      </c>
      <c r="FG7" s="41">
        <f>SUM(FG8:FG10)</f>
        <v>0</v>
      </c>
      <c r="FH7" s="41">
        <f>SUM(FH8:FH10)</f>
        <v>0</v>
      </c>
      <c r="FI7" s="41">
        <f>SUM(FI8:FI10)</f>
        <v>0</v>
      </c>
      <c r="FJ7" s="41">
        <f>SUM(FJ8:FJ10)</f>
        <v>0</v>
      </c>
      <c r="FK7" s="41">
        <f>SUM(FK8:FK10)</f>
        <v>0</v>
      </c>
      <c r="FL7" s="41">
        <f>SUM(FL8:FL10)</f>
        <v>0</v>
      </c>
      <c r="FM7" s="41">
        <f>SUM(FM8:FM10)</f>
        <v>0</v>
      </c>
      <c r="FN7" s="41">
        <f>SUM(FN8:FN10)</f>
        <v>0</v>
      </c>
      <c r="FO7" s="41">
        <f>SUM(FO8:FO10)</f>
        <v>0</v>
      </c>
      <c r="FP7" s="41">
        <f>SUM(FP8:FP10)</f>
        <v>0</v>
      </c>
      <c r="FQ7" s="41">
        <f>SUM(FQ8:FQ10)</f>
        <v>0</v>
      </c>
      <c r="FR7" s="41">
        <f>SUM(FR8:FR10)</f>
        <v>0</v>
      </c>
      <c r="FS7" s="41">
        <f>SUM(FS8:FS10)</f>
        <v>0</v>
      </c>
      <c r="FT7" s="41">
        <f>SUM(FT8:FT10)</f>
        <v>0</v>
      </c>
      <c r="FU7" s="41">
        <f>SUM(FU8:FU10)</f>
        <v>0</v>
      </c>
      <c r="FV7" s="41">
        <f>SUM(FV8:FV10)</f>
        <v>0</v>
      </c>
      <c r="FW7" s="41">
        <f>SUM(FW8:FW10)</f>
        <v>0</v>
      </c>
      <c r="FX7" s="41">
        <f>SUM(FX8:FX10)</f>
        <v>0</v>
      </c>
      <c r="FY7" s="41">
        <f>SUM(FY8:FY10)</f>
        <v>0</v>
      </c>
      <c r="FZ7" s="41">
        <f>SUM(FZ8:FZ10)</f>
        <v>0</v>
      </c>
      <c r="GA7" s="41">
        <f>SUM(GA8:GA10)</f>
        <v>0</v>
      </c>
      <c r="GB7" s="41">
        <f>SUM(GB8:GB10)</f>
        <v>0</v>
      </c>
      <c r="GC7" s="41">
        <f>SUM(GC8:GC10)</f>
        <v>0</v>
      </c>
      <c r="GD7" s="41">
        <f>SUM(GD8:GD10)</f>
        <v>0</v>
      </c>
      <c r="GE7" s="41">
        <f>SUM(GE8:GE10)</f>
        <v>0</v>
      </c>
      <c r="GF7" s="41">
        <f>SUM(GF8:GF10)</f>
        <v>0</v>
      </c>
      <c r="GG7" s="41">
        <f>SUM(GG8:GG10)</f>
        <v>0</v>
      </c>
      <c r="GH7" s="41">
        <f>SUM(GH8:GH10)</f>
        <v>0</v>
      </c>
      <c r="GI7" s="41">
        <f>SUM(GI8:GI10)</f>
        <v>0</v>
      </c>
      <c r="GJ7" s="41">
        <f>SUM(GJ8:GJ10)</f>
        <v>0</v>
      </c>
      <c r="GK7" s="41">
        <f>SUM(GK8:GK10)</f>
        <v>0</v>
      </c>
      <c r="GL7" s="41">
        <f>SUM(GL8:GL10)</f>
        <v>0</v>
      </c>
      <c r="GM7" s="41">
        <f>SUM(GM8:GM10)</f>
        <v>0</v>
      </c>
      <c r="GN7" s="41">
        <f>SUM(GN8:GN10)</f>
        <v>0</v>
      </c>
      <c r="GO7" s="41">
        <f>SUM(GO8:GO10)</f>
        <v>0</v>
      </c>
      <c r="GP7" s="41">
        <f>SUM(GP8:GP10)</f>
        <v>0</v>
      </c>
      <c r="GQ7" s="41">
        <f>SUM(GQ8:GQ10)</f>
        <v>0</v>
      </c>
      <c r="GR7" s="41">
        <f>SUM(GR8:GR10)</f>
        <v>0</v>
      </c>
      <c r="GS7" s="41">
        <f>SUM(GS8:GS10)</f>
        <v>0</v>
      </c>
      <c r="GT7" s="41">
        <f>SUM(GT8:GT10)</f>
        <v>0</v>
      </c>
      <c r="GU7" s="41">
        <f>SUM(GU8:GU10)</f>
        <v>0</v>
      </c>
      <c r="GV7" s="41">
        <f>SUM(GV8:GV10)</f>
        <v>0</v>
      </c>
      <c r="GW7" s="41">
        <f>SUM(GW8:GW10)</f>
        <v>0</v>
      </c>
      <c r="GX7" s="41">
        <f>SUM(GX8:GX10)</f>
        <v>0</v>
      </c>
      <c r="GY7" s="41">
        <f>SUM(GY8:GY10)</f>
        <v>0</v>
      </c>
      <c r="GZ7" s="41">
        <f>SUM(GZ8:GZ10)</f>
        <v>0</v>
      </c>
      <c r="HA7" s="41">
        <f>SUM(HA8:HA10)</f>
        <v>0</v>
      </c>
      <c r="HB7" s="41">
        <f>SUM(HB8:HB10)</f>
        <v>0</v>
      </c>
      <c r="HC7" s="41">
        <f>SUM(HC8:HC10)</f>
        <v>0</v>
      </c>
      <c r="HD7" s="41">
        <f>SUM(HD8:HD10)</f>
        <v>0</v>
      </c>
      <c r="HE7" s="41">
        <f>SUM(HE8:HE10)</f>
        <v>0</v>
      </c>
      <c r="HF7" s="41">
        <f>SUM(HF8:HF10)</f>
        <v>0</v>
      </c>
      <c r="HG7" s="41">
        <f>SUM(HG8:HG10)</f>
        <v>0</v>
      </c>
      <c r="HH7" s="41">
        <f>SUM(HH8:HH10)</f>
        <v>0</v>
      </c>
      <c r="HI7" s="41">
        <f>SUM(HI8:HI10)</f>
        <v>0</v>
      </c>
      <c r="HJ7" s="41">
        <f>SUM(HJ8:HJ10)</f>
        <v>0</v>
      </c>
      <c r="HK7" s="41">
        <f>SUM(HK8:HK10)</f>
        <v>0</v>
      </c>
      <c r="HL7" s="41">
        <f>SUM(HL8:HL10)</f>
        <v>0</v>
      </c>
      <c r="HM7" s="41">
        <f>SUM(HM8:HM10)</f>
        <v>0</v>
      </c>
      <c r="HN7" s="41">
        <f>SUM(HN8:HN10)</f>
        <v>0</v>
      </c>
      <c r="HO7" s="41">
        <f>SUM(HO8:HO10)</f>
        <v>0</v>
      </c>
      <c r="HP7" s="41">
        <f>SUM(HP8:HP10)</f>
        <v>0</v>
      </c>
      <c r="HQ7" s="41">
        <f>SUM(HQ8:HQ10)</f>
        <v>0</v>
      </c>
      <c r="HR7" s="41">
        <f>SUM(HR8:HR10)</f>
        <v>0</v>
      </c>
      <c r="HS7" s="41">
        <f>SUM(HS8:HS10)</f>
        <v>0</v>
      </c>
      <c r="HT7" s="41">
        <f>SUM(HT8:HT10)</f>
        <v>0</v>
      </c>
      <c r="HU7" s="41">
        <f>SUM(HU8:HU10)</f>
        <v>0</v>
      </c>
      <c r="HV7" s="41">
        <f>SUM(HV8:HV10)</f>
        <v>0</v>
      </c>
      <c r="HW7" s="41">
        <f>SUM(HW8:HW10)</f>
        <v>0</v>
      </c>
      <c r="HX7" s="41">
        <f>SUM(HX8:HX10)</f>
        <v>0</v>
      </c>
      <c r="HY7" s="41">
        <f>SUM(HY8:HY10)</f>
        <v>0</v>
      </c>
      <c r="HZ7" s="41">
        <f>SUM(HZ8:HZ10)</f>
        <v>0</v>
      </c>
      <c r="IA7" s="41">
        <f>SUM(IA8:IA10)</f>
        <v>0</v>
      </c>
      <c r="IB7" s="41">
        <f>SUM(IB8:IB10)</f>
        <v>0</v>
      </c>
      <c r="IC7" s="41">
        <f>SUM(IC8:IC10)</f>
        <v>0</v>
      </c>
      <c r="ID7" s="41">
        <f>SUM(ID8:ID10)</f>
        <v>0</v>
      </c>
      <c r="IE7" s="41">
        <f>SUM(IE8:IE10)</f>
        <v>0</v>
      </c>
      <c r="IF7" s="41">
        <f>SUM(IF8:IF10)</f>
        <v>0</v>
      </c>
      <c r="IG7" s="41">
        <f>SUM(IG8:IG10)</f>
        <v>0</v>
      </c>
      <c r="IH7" s="41">
        <f>SUM(IH8:IH10)</f>
        <v>0</v>
      </c>
      <c r="II7" s="41">
        <f>SUM(II8:II10)</f>
        <v>0</v>
      </c>
      <c r="IJ7" s="41">
        <f>SUM(IJ8:IJ10)</f>
        <v>0</v>
      </c>
      <c r="IK7" s="41">
        <f>SUM(IK8:IK10)</f>
        <v>0</v>
      </c>
      <c r="IL7" s="41">
        <f>SUM(IL8:IL10)</f>
        <v>0</v>
      </c>
      <c r="IM7" s="41">
        <f>SUM(IM8:IM10)</f>
        <v>0</v>
      </c>
      <c r="IN7" s="41">
        <f>SUM(IN8:IN10)</f>
        <v>0</v>
      </c>
      <c r="IO7" s="41">
        <f>SUM(IO8:IO10)</f>
        <v>0</v>
      </c>
      <c r="IP7" s="41">
        <f>SUM(IP8:IP10)</f>
        <v>0</v>
      </c>
      <c r="IQ7" s="41">
        <f>SUM(IQ8:IQ10)</f>
        <v>0</v>
      </c>
      <c r="IR7" s="41">
        <f>SUM(IR8:IR10)</f>
        <v>0</v>
      </c>
      <c r="IS7" s="41">
        <f>SUM(IS8:IS10)</f>
        <v>0</v>
      </c>
      <c r="IT7" s="41">
        <f>SUM(IT8:IT10)</f>
        <v>0</v>
      </c>
      <c r="IU7" s="41">
        <f>SUM(IU8:IU10)</f>
        <v>0</v>
      </c>
      <c r="IV7" s="41">
        <f>SUM(IV8:IV10)</f>
        <v>0</v>
      </c>
      <c r="IW7" s="41">
        <f>SUM(IW8:IW10)</f>
        <v>0</v>
      </c>
      <c r="IX7" s="41">
        <f>SUM(IX8:IX10)</f>
        <v>0</v>
      </c>
      <c r="IY7" s="41">
        <f>SUM(IY8:IY10)</f>
        <v>0</v>
      </c>
      <c r="IZ7" s="41">
        <f>SUM(IZ8:IZ10)</f>
        <v>0</v>
      </c>
      <c r="JA7" s="41">
        <f>SUM(JA8:JA10)</f>
        <v>0</v>
      </c>
      <c r="JB7" s="41">
        <f>SUM(JB8:JB10)</f>
        <v>0</v>
      </c>
      <c r="JC7" s="41">
        <f>SUM(JC8:JC10)</f>
        <v>0</v>
      </c>
      <c r="JD7" s="41">
        <f>SUM(JD8:JD10)</f>
        <v>1</v>
      </c>
      <c r="JE7" s="41">
        <f>SUM(JE8:JE10)</f>
        <v>1</v>
      </c>
      <c r="JF7" s="41">
        <f>SUM(JF8:JF10)</f>
        <v>1</v>
      </c>
      <c r="JG7" s="41">
        <f>SUM(JG8:JG10)</f>
        <v>1</v>
      </c>
      <c r="JH7" s="41">
        <f>SUM(JH8:JH10)</f>
        <v>1</v>
      </c>
      <c r="JI7" s="41">
        <f>SUM(JI8:JI10)</f>
        <v>1</v>
      </c>
      <c r="JJ7" s="41">
        <f>SUM(JJ8:JJ10)</f>
        <v>1</v>
      </c>
      <c r="JK7" s="41">
        <f>SUM(JK8:JK10)</f>
        <v>1</v>
      </c>
      <c r="JL7" s="41">
        <f>SUM(JL8:JL10)</f>
        <v>1</v>
      </c>
      <c r="JM7" s="41">
        <f>SUM(JM8:JM10)</f>
        <v>1</v>
      </c>
      <c r="JN7" s="41">
        <f>SUM(JN8:JN10)</f>
        <v>1</v>
      </c>
      <c r="JO7" s="41">
        <f>SUM(JO8:JO10)</f>
        <v>1</v>
      </c>
      <c r="JP7" s="41">
        <f>SUM(JP8:JP10)</f>
        <v>1</v>
      </c>
      <c r="JQ7" s="41">
        <f>SUM(JQ8:JQ10)</f>
        <v>1</v>
      </c>
      <c r="JR7" s="41">
        <f>SUM(JR8:JR10)</f>
        <v>0</v>
      </c>
      <c r="JS7" s="41">
        <f>SUM(JS8:JS10)</f>
        <v>0</v>
      </c>
      <c r="JT7" s="41">
        <f>SUM(JT8:JT10)</f>
        <v>0</v>
      </c>
      <c r="JU7" s="41">
        <f>SUM(JU8:JU10)</f>
        <v>0</v>
      </c>
      <c r="JV7" s="41">
        <f>SUM(JV8:JV10)</f>
        <v>0</v>
      </c>
      <c r="JW7" s="41">
        <f>SUM(JW8:JW10)</f>
        <v>0</v>
      </c>
      <c r="JX7" s="41">
        <f>SUM(JX8:JX10)</f>
        <v>0</v>
      </c>
      <c r="JY7" s="41">
        <f>SUM(JY8:JY10)</f>
        <v>0</v>
      </c>
      <c r="JZ7" s="41">
        <f>SUM(JZ8:JZ10)</f>
        <v>0</v>
      </c>
      <c r="KA7" s="41">
        <f>SUM(KA8:KA10)</f>
        <v>0</v>
      </c>
      <c r="KB7" s="41">
        <f>SUM(KB8:KB10)</f>
        <v>0</v>
      </c>
      <c r="KC7" s="41">
        <f>SUM(KC8:KC10)</f>
        <v>0</v>
      </c>
      <c r="KD7" s="41">
        <f>SUM(KD8:KD10)</f>
        <v>0</v>
      </c>
      <c r="KE7" s="41">
        <f>SUM(KE8:KE10)</f>
        <v>0</v>
      </c>
      <c r="KF7" s="41">
        <f>SUM(KF8:KF10)</f>
        <v>0</v>
      </c>
      <c r="KG7" s="41">
        <f>SUM(KG8:KG10)</f>
        <v>0</v>
      </c>
      <c r="KH7" s="41">
        <f>SUM(KH8:KH10)</f>
        <v>0</v>
      </c>
      <c r="KI7" s="41">
        <f>SUM(KI8:KI10)</f>
        <v>0</v>
      </c>
      <c r="KJ7" s="41">
        <f>SUM(KJ8:KJ10)</f>
        <v>0</v>
      </c>
      <c r="KK7" s="41">
        <f>SUM(KK8:KK10)</f>
        <v>0</v>
      </c>
      <c r="KL7" s="41">
        <f>SUM(KL8:KL10)</f>
        <v>0</v>
      </c>
      <c r="KM7" s="41">
        <f>SUM(KM8:KM10)</f>
        <v>0</v>
      </c>
      <c r="KN7" s="41">
        <f>SUM(KN8:KN10)</f>
        <v>0</v>
      </c>
      <c r="KO7" s="41">
        <f>SUM(KO8:KO10)</f>
        <v>0</v>
      </c>
      <c r="KP7" s="41">
        <f>SUM(KP8:KP10)</f>
        <v>0</v>
      </c>
      <c r="KQ7" s="41">
        <f>SUM(KQ8:KQ10)</f>
        <v>0</v>
      </c>
      <c r="KR7" s="41">
        <f>SUM(KR8:KR10)</f>
        <v>0</v>
      </c>
      <c r="KS7" s="41">
        <f>SUM(KS8:KS10)</f>
        <v>0</v>
      </c>
      <c r="KT7" s="41">
        <f>SUM(KT8:KT10)</f>
        <v>0</v>
      </c>
      <c r="KU7" s="41">
        <f>SUM(KU8:KU10)</f>
        <v>0</v>
      </c>
      <c r="KV7" s="41">
        <f>SUM(KV8:KV10)</f>
        <v>0</v>
      </c>
      <c r="KW7" s="41">
        <f>SUM(KW8:KW10)</f>
        <v>0</v>
      </c>
      <c r="KX7" s="41">
        <f>SUM(KX8:KX10)</f>
        <v>0</v>
      </c>
      <c r="KY7" s="41">
        <f>SUM(KY8:KY10)</f>
        <v>0</v>
      </c>
      <c r="KZ7" s="41">
        <f>SUM(KZ8:KZ10)</f>
        <v>0</v>
      </c>
      <c r="LA7" s="41">
        <f>SUM(LA8:LA10)</f>
        <v>0</v>
      </c>
      <c r="LB7" s="41">
        <f>SUM(LB8:LB10)</f>
        <v>0</v>
      </c>
      <c r="LC7" s="41">
        <f>SUM(LC8:LC10)</f>
        <v>0</v>
      </c>
      <c r="LD7" s="41">
        <f>SUM(LD8:LD10)</f>
        <v>0</v>
      </c>
      <c r="LE7" s="41">
        <f>SUM(LE8:LE10)</f>
        <v>0</v>
      </c>
      <c r="LF7" s="41">
        <f>SUM(LF8:LF10)</f>
        <v>0</v>
      </c>
      <c r="LG7" s="41">
        <f>SUM(LG8:LG10)</f>
        <v>0</v>
      </c>
      <c r="LH7" s="41">
        <f>SUM(LH8:LH10)</f>
        <v>0</v>
      </c>
      <c r="LI7" s="41">
        <f>SUM(LI8:LI10)</f>
        <v>0</v>
      </c>
      <c r="LJ7" s="41">
        <f>SUM(LJ8:LJ10)</f>
        <v>0</v>
      </c>
      <c r="LK7" s="41">
        <f>SUM(LK8:LK10)</f>
        <v>0</v>
      </c>
      <c r="LL7" s="41">
        <f>SUM(LL8:LL10)</f>
        <v>0</v>
      </c>
      <c r="LM7" s="41">
        <f>SUM(LM8:LM10)</f>
        <v>0</v>
      </c>
      <c r="LN7" s="41">
        <f>SUM(LN8:LN10)</f>
        <v>0</v>
      </c>
      <c r="LO7" s="41">
        <f>SUM(LO8:LO10)</f>
        <v>0</v>
      </c>
      <c r="LP7" s="41">
        <f>SUM(LP8:LP10)</f>
        <v>0</v>
      </c>
      <c r="LQ7" s="41">
        <f>SUM(LQ8:LQ10)</f>
        <v>0</v>
      </c>
      <c r="LR7" s="41">
        <f>SUM(LR8:LR10)</f>
        <v>0</v>
      </c>
      <c r="LS7" s="41">
        <f>SUM(LS8:LS10)</f>
        <v>0</v>
      </c>
      <c r="LT7" s="41">
        <f>SUM(LT8:LT10)</f>
        <v>0</v>
      </c>
      <c r="LU7" s="41">
        <f>SUM(LU8:LU10)</f>
        <v>0</v>
      </c>
      <c r="LV7" s="41">
        <f>SUM(LV8:LV10)</f>
        <v>0</v>
      </c>
      <c r="LW7" s="41">
        <f>SUM(LW8:LW10)</f>
        <v>0</v>
      </c>
      <c r="LX7" s="41">
        <f>SUM(LX8:LX10)</f>
        <v>0</v>
      </c>
      <c r="LY7" s="41">
        <f>SUM(LY8:LY10)</f>
        <v>0</v>
      </c>
      <c r="LZ7" s="41">
        <f>SUM(LZ8:LZ10)</f>
        <v>0</v>
      </c>
      <c r="MA7" s="41">
        <f>SUM(MA8:MA10)</f>
        <v>0</v>
      </c>
      <c r="MB7" s="41">
        <f>SUM(MB8:MB10)</f>
        <v>0</v>
      </c>
      <c r="MC7" s="41">
        <f>SUM(MC8:MC10)</f>
        <v>0</v>
      </c>
      <c r="MD7" s="41">
        <f>SUM(MD8:MD10)</f>
        <v>0</v>
      </c>
      <c r="ME7" s="41">
        <f>SUM(ME8:ME10)</f>
        <v>0</v>
      </c>
      <c r="MF7" s="41">
        <f>SUM(MF8:MF10)</f>
        <v>0</v>
      </c>
      <c r="MG7" s="41">
        <f>SUM(MG8:MG10)</f>
        <v>0</v>
      </c>
      <c r="MH7" s="41">
        <f>SUM(MH8:MH10)</f>
        <v>0</v>
      </c>
      <c r="MI7" s="41">
        <f>SUM(MI8:MI10)</f>
        <v>0</v>
      </c>
      <c r="MJ7" s="41">
        <f>SUM(MJ8:MJ10)</f>
        <v>0</v>
      </c>
      <c r="MK7" s="41">
        <f>SUM(MK8:MK10)</f>
        <v>0</v>
      </c>
      <c r="ML7" s="41">
        <f>SUM(ML8:ML10)</f>
        <v>0</v>
      </c>
      <c r="MM7" s="41">
        <f>SUM(MM8:MM10)</f>
        <v>0</v>
      </c>
      <c r="MN7" s="41">
        <f>SUM(MN8:MN10)</f>
        <v>0</v>
      </c>
      <c r="MO7" s="41">
        <f>SUM(MO8:MO10)</f>
        <v>0</v>
      </c>
      <c r="MP7" s="41">
        <f>SUM(MP8:MP10)</f>
        <v>0</v>
      </c>
      <c r="MQ7" s="41">
        <f>SUM(MQ8:MQ10)</f>
        <v>0</v>
      </c>
      <c r="MR7" s="41">
        <f>SUM(MR8:MR10)</f>
        <v>0</v>
      </c>
      <c r="MS7" s="41">
        <f>SUM(MS8:MS10)</f>
        <v>0</v>
      </c>
      <c r="MT7" s="41">
        <f>SUM(MT8:MT10)</f>
        <v>0</v>
      </c>
      <c r="MU7" s="41">
        <f>SUM(MU8:MU10)</f>
        <v>0</v>
      </c>
      <c r="MV7" s="41">
        <f>SUM(MV8:MV10)</f>
        <v>0</v>
      </c>
      <c r="MW7" s="41">
        <f>SUM(MW8:MW10)</f>
        <v>0</v>
      </c>
      <c r="MX7" s="41">
        <f>SUM(MX8:MX10)</f>
        <v>0</v>
      </c>
      <c r="MY7" s="41">
        <f>SUM(MY8:MY10)</f>
        <v>0</v>
      </c>
      <c r="MZ7" s="41">
        <f>SUM(MZ8:MZ10)</f>
        <v>0</v>
      </c>
      <c r="NA7" s="41">
        <f>SUM(NA8:NA10)</f>
        <v>0</v>
      </c>
      <c r="NB7" s="41">
        <f>SUM(NB8:NB10)</f>
        <v>0</v>
      </c>
      <c r="NC7" s="41">
        <f>SUM(NC8:NC10)</f>
        <v>0</v>
      </c>
      <c r="ND7" s="41">
        <f>SUM(ND8:ND10)</f>
        <v>0</v>
      </c>
      <c r="NE7" s="41">
        <f>SUM(NE8:NE10)</f>
        <v>0</v>
      </c>
      <c r="NF7" s="41">
        <f>SUM(NF8:NF10)</f>
        <v>0</v>
      </c>
      <c r="NG7" s="41">
        <f>SUM(NG8:NG10)</f>
        <v>0</v>
      </c>
      <c r="NH7" s="41">
        <f>SUM(NH8:NH10)</f>
        <v>0</v>
      </c>
      <c r="NI7" s="41">
        <f>SUM(NI8:NI10)</f>
        <v>0</v>
      </c>
      <c r="NJ7" s="41">
        <f>SUM(NJ8:NJ10)</f>
        <v>0</v>
      </c>
      <c r="NK7" s="41">
        <f>SUM(NK8:NK10)</f>
        <v>0</v>
      </c>
      <c r="NL7" s="41">
        <f>SUM(NL8:NL10)</f>
        <v>0</v>
      </c>
      <c r="NM7" s="41">
        <f>SUM(NM8:NM10)</f>
        <v>0</v>
      </c>
      <c r="NN7" s="41">
        <f>SUM(NN8:NN10)</f>
        <v>0</v>
      </c>
      <c r="NO7" s="41">
        <f>SUM(NO8:NO10)</f>
        <v>0</v>
      </c>
      <c r="NP7" s="41">
        <f>SUM(NP8:NP10)</f>
        <v>0</v>
      </c>
      <c r="NQ7" s="41">
        <f>SUM(NQ8:NQ10)</f>
        <v>0</v>
      </c>
      <c r="NR7" s="41">
        <f>SUM(NR8:NR10)</f>
        <v>0</v>
      </c>
      <c r="NS7" s="41">
        <f>SUM(NS8:NS10)</f>
        <v>0</v>
      </c>
      <c r="NT7" s="41">
        <f>SUM(NT8:NT10)</f>
        <v>0</v>
      </c>
      <c r="NU7" s="41">
        <f>SUM(NU8:NU10)</f>
        <v>0</v>
      </c>
      <c r="NV7" s="41">
        <f>SUM(NV8:NV10)</f>
        <v>0</v>
      </c>
      <c r="NW7" s="41">
        <f>SUM(NW8:NW10)</f>
        <v>0</v>
      </c>
      <c r="NX7" s="41">
        <f>SUM(NX8:NX10)</f>
        <v>0</v>
      </c>
      <c r="NY7" s="41">
        <f>SUM(NY8:NY10)</f>
        <v>0</v>
      </c>
      <c r="NZ7" s="41">
        <f>SUM(NZ8:NZ10)</f>
        <v>0</v>
      </c>
      <c r="OA7" s="41">
        <f>SUM(OA8:OA10)</f>
        <v>0</v>
      </c>
      <c r="OB7" s="41">
        <f>SUM(OB8:OB10)</f>
        <v>0</v>
      </c>
      <c r="OC7" s="41">
        <f>SUM(OC8:OC10)</f>
        <v>0</v>
      </c>
      <c r="OD7" s="41">
        <f>SUM(OD8:OD10)</f>
        <v>0</v>
      </c>
      <c r="OE7" s="41">
        <f>SUM(OE8:OE10)</f>
        <v>0</v>
      </c>
      <c r="OF7" s="41">
        <f>SUM(OF8:OF10)</f>
        <v>0</v>
      </c>
      <c r="OG7" s="41">
        <f>SUM(OG8:OG10)</f>
        <v>0</v>
      </c>
      <c r="OH7" s="41">
        <f>SUM(OH8:OH10)</f>
        <v>0</v>
      </c>
      <c r="OI7" s="41">
        <f>SUM(OI8:OI10)</f>
        <v>0</v>
      </c>
      <c r="OJ7" s="41">
        <f>SUM(OJ8:OJ10)</f>
        <v>0</v>
      </c>
      <c r="OK7" s="41">
        <f>SUM(OK8:OK10)</f>
        <v>0</v>
      </c>
      <c r="OL7" s="41">
        <f>SUM(OL8:OL10)</f>
        <v>0</v>
      </c>
      <c r="OM7" s="41">
        <f>SUM(OM8:OM10)</f>
        <v>0</v>
      </c>
      <c r="ON7" s="41">
        <f>SUM(ON8:ON10)</f>
        <v>0</v>
      </c>
      <c r="OO7" s="41">
        <f>SUM(OO8:OO10)</f>
        <v>0</v>
      </c>
      <c r="OP7" s="41">
        <f>SUM(OP8:OP10)</f>
        <v>0</v>
      </c>
      <c r="OQ7" s="41">
        <f>SUM(OQ8:OQ10)</f>
        <v>0</v>
      </c>
      <c r="OR7" s="41">
        <f>SUM(OR8:OR10)</f>
        <v>0</v>
      </c>
      <c r="OS7" s="41">
        <f>SUM(OS8:OS10)</f>
        <v>0</v>
      </c>
      <c r="OT7" s="41">
        <f>SUM(OT8:OT10)</f>
        <v>0</v>
      </c>
      <c r="OU7" s="41">
        <f>SUM(OU8:OU10)</f>
        <v>0</v>
      </c>
      <c r="OV7" s="41">
        <f>SUM(OV8:OV10)</f>
        <v>0</v>
      </c>
      <c r="OW7" s="41">
        <f>SUM(OW8:OW10)</f>
        <v>0</v>
      </c>
      <c r="OX7" s="41">
        <f>SUM(OX8:OX10)</f>
        <v>0</v>
      </c>
      <c r="OY7" s="41">
        <f>SUM(OY8:OY10)</f>
        <v>0</v>
      </c>
      <c r="OZ7" s="41">
        <f>SUM(OZ8:OZ10)</f>
        <v>0</v>
      </c>
      <c r="PA7" s="41">
        <f>SUM(PA8:PA10)</f>
        <v>0</v>
      </c>
      <c r="PB7" s="41">
        <f>SUM(PB8:PB10)</f>
        <v>0</v>
      </c>
      <c r="PC7" s="41">
        <f>SUM(PC8:PC10)</f>
        <v>0</v>
      </c>
      <c r="PD7" s="41">
        <f>SUM(PD8:PD10)</f>
        <v>0</v>
      </c>
      <c r="PE7" s="41">
        <f>SUM(PE8:PE10)</f>
        <v>0</v>
      </c>
      <c r="PF7" s="41">
        <f>SUM(PF8:PF10)</f>
        <v>0</v>
      </c>
      <c r="PG7" s="41">
        <f>SUM(PG8:PG10)</f>
        <v>0</v>
      </c>
      <c r="PH7" s="41">
        <f>SUM(PH8:PH10)</f>
        <v>0</v>
      </c>
      <c r="PI7" s="41">
        <f>SUM(PI8:PI10)</f>
        <v>0</v>
      </c>
      <c r="PJ7" s="41">
        <f>SUM(PJ8:PJ10)</f>
        <v>0</v>
      </c>
      <c r="PK7" s="41">
        <f>SUM(PK8:PK10)</f>
        <v>0</v>
      </c>
      <c r="PL7" s="41">
        <f>SUM(PL8:PL10)</f>
        <v>0</v>
      </c>
      <c r="PM7" s="41">
        <f>SUM(PM8:PM10)</f>
        <v>0</v>
      </c>
      <c r="PN7" s="41">
        <f>SUM(PN8:PN10)</f>
        <v>0</v>
      </c>
      <c r="PO7" s="41">
        <f>SUM(PO8:PO10)</f>
        <v>0</v>
      </c>
      <c r="PP7" s="41">
        <f>SUM(PP8:PP10)</f>
        <v>0</v>
      </c>
      <c r="PQ7" s="41">
        <f>SUM(PQ8:PQ10)</f>
        <v>0</v>
      </c>
      <c r="PR7" s="41">
        <f>SUM(PR8:PR10)</f>
        <v>0</v>
      </c>
      <c r="PS7" s="41">
        <f>SUM(PS8:PS10)</f>
        <v>0</v>
      </c>
      <c r="PT7" s="41">
        <f>SUM(PT8:PT10)</f>
        <v>0</v>
      </c>
      <c r="PU7" s="41">
        <f>SUM(PU8:PU10)</f>
        <v>0</v>
      </c>
      <c r="PV7" s="41">
        <f>SUM(PV8:PV10)</f>
        <v>0</v>
      </c>
      <c r="PW7" s="41">
        <f>SUM(PW8:PW10)</f>
        <v>0</v>
      </c>
      <c r="PX7" s="41">
        <f>SUM(PX8:PX10)</f>
        <v>0</v>
      </c>
      <c r="PY7" s="41">
        <f>SUM(PY8:PY10)</f>
        <v>0</v>
      </c>
      <c r="PZ7" s="41">
        <f>SUM(PZ8:PZ10)</f>
        <v>0</v>
      </c>
      <c r="QA7" s="41">
        <f>SUM(QA8:QA10)</f>
        <v>0</v>
      </c>
      <c r="QB7" s="41">
        <f>SUM(QB8:QB10)</f>
        <v>0</v>
      </c>
      <c r="QC7" s="41">
        <f>SUM(QC8:QC10)</f>
        <v>0</v>
      </c>
      <c r="QD7" s="41">
        <f>SUM(QD8:QD10)</f>
        <v>0</v>
      </c>
      <c r="QE7" s="41">
        <f>SUM(QE8:QE10)</f>
        <v>0</v>
      </c>
      <c r="QF7" s="41">
        <f>SUM(QF8:QF10)</f>
        <v>0</v>
      </c>
      <c r="QG7" s="41">
        <f>SUM(QG8:QG10)</f>
        <v>0</v>
      </c>
      <c r="QH7" s="41">
        <f>SUM(QH8:QH10)</f>
        <v>0</v>
      </c>
      <c r="QI7" s="41">
        <f>SUM(QI8:QI10)</f>
        <v>0</v>
      </c>
      <c r="QJ7" s="41">
        <f>SUM(QJ8:QJ10)</f>
        <v>0</v>
      </c>
      <c r="QK7" s="41">
        <f>SUM(QK8:QK10)</f>
        <v>0</v>
      </c>
      <c r="QL7" s="41">
        <f>SUM(QL8:QL10)</f>
        <v>0</v>
      </c>
      <c r="QM7" s="41">
        <f>SUM(QM8:QM10)</f>
        <v>0</v>
      </c>
      <c r="QN7" s="41">
        <f>SUM(QN8:QN10)</f>
        <v>0</v>
      </c>
      <c r="QO7" s="41">
        <f>SUM(QO8:QO10)</f>
        <v>0</v>
      </c>
      <c r="QP7" s="41">
        <f>SUM(QP8:QP10)</f>
        <v>0</v>
      </c>
      <c r="QQ7" s="41">
        <f>SUM(QQ8:QQ10)</f>
        <v>0</v>
      </c>
      <c r="QR7" s="41">
        <f>SUM(QR8:QR10)</f>
        <v>0</v>
      </c>
      <c r="QS7" s="41">
        <f>SUM(QS8:QS10)</f>
        <v>0</v>
      </c>
      <c r="QT7" s="41">
        <f>SUM(QT8:QT10)</f>
        <v>0</v>
      </c>
      <c r="QU7" s="41">
        <f>SUM(QU8:QU10)</f>
        <v>0</v>
      </c>
      <c r="QV7" s="41">
        <f>SUM(QV8:QV10)</f>
        <v>0</v>
      </c>
      <c r="QW7" s="41">
        <f>SUM(QW8:QW10)</f>
        <v>0</v>
      </c>
      <c r="QX7" s="41">
        <f>SUM(QX8:QX10)</f>
        <v>0</v>
      </c>
      <c r="QY7" s="41">
        <f>SUM(QY8:QY10)</f>
        <v>0</v>
      </c>
      <c r="QZ7" s="41">
        <f>SUM(QZ8:QZ10)</f>
        <v>0</v>
      </c>
      <c r="RA7" s="41">
        <f>SUM(RA8:RA10)</f>
        <v>0</v>
      </c>
      <c r="RB7" s="41">
        <f>SUM(RB8:RB10)</f>
        <v>0</v>
      </c>
      <c r="RC7" s="41">
        <f>SUM(RC8:RC10)</f>
        <v>0</v>
      </c>
      <c r="RD7" s="41">
        <f>SUM(RD8:RD10)</f>
        <v>0</v>
      </c>
      <c r="RE7" s="41">
        <f>SUM(RE8:RE10)</f>
        <v>0</v>
      </c>
      <c r="RF7" s="41">
        <f>SUM(RF8:RF10)</f>
        <v>0</v>
      </c>
      <c r="RG7" s="41">
        <f>SUM(RG8:RG10)</f>
        <v>0</v>
      </c>
      <c r="RH7" s="41">
        <f>SUM(RH8:RH10)</f>
        <v>0</v>
      </c>
      <c r="RI7" s="41">
        <f>SUM(RI8:RI10)</f>
        <v>0</v>
      </c>
      <c r="RJ7" s="41">
        <f>SUM(RJ8:RJ10)</f>
        <v>0</v>
      </c>
      <c r="RK7" s="41">
        <f>SUM(RK8:RK10)</f>
        <v>0</v>
      </c>
      <c r="RL7" s="41">
        <f>SUM(RL8:RL10)</f>
        <v>0</v>
      </c>
      <c r="RM7" s="41">
        <f>SUM(RM8:RM10)</f>
        <v>0</v>
      </c>
      <c r="RN7" s="41">
        <f>SUM(RN8:RN10)</f>
        <v>0</v>
      </c>
      <c r="RO7" s="41">
        <f>SUM(RO8:RO10)</f>
        <v>0</v>
      </c>
      <c r="RP7" s="41">
        <f>SUM(RP8:RP10)</f>
        <v>0</v>
      </c>
      <c r="RQ7" s="41">
        <f>SUM(RQ8:RQ10)</f>
        <v>0</v>
      </c>
      <c r="RR7" s="41">
        <f>SUM(RR8:RR10)</f>
        <v>0</v>
      </c>
      <c r="RS7" s="41">
        <f>SUM(RS8:RS10)</f>
        <v>0</v>
      </c>
      <c r="RT7" s="41">
        <f>SUM(RT8:RT10)</f>
        <v>0</v>
      </c>
      <c r="RU7" s="41">
        <f>SUM(RU8:RU10)</f>
        <v>0</v>
      </c>
      <c r="RV7" s="41">
        <f>SUM(RV8:RV10)</f>
        <v>0</v>
      </c>
      <c r="RW7" s="41">
        <f>SUM(RW8:RW10)</f>
        <v>0</v>
      </c>
      <c r="RX7" s="41">
        <f>SUM(RX8:RX10)</f>
        <v>0</v>
      </c>
      <c r="RY7" s="41">
        <f>SUM(RY8:RY10)</f>
        <v>0</v>
      </c>
      <c r="RZ7" s="41">
        <f>SUM(RZ8:RZ10)</f>
        <v>0</v>
      </c>
      <c r="SA7" s="41">
        <f>SUM(SA8:SA10)</f>
        <v>0</v>
      </c>
      <c r="SB7" s="41">
        <f>SUM(SB8:SB10)</f>
        <v>0</v>
      </c>
      <c r="SC7" s="41">
        <f>SUM(SC8:SC10)</f>
        <v>0</v>
      </c>
      <c r="SD7" s="41">
        <f>SUM(SD8:SD10)</f>
        <v>0</v>
      </c>
      <c r="SE7" s="41">
        <f>SUM(SE8:SE10)</f>
        <v>0</v>
      </c>
      <c r="SF7" s="41">
        <f>SUM(SF8:SF10)</f>
        <v>0</v>
      </c>
      <c r="SG7" s="41">
        <f>SUM(SG8:SG10)</f>
        <v>0</v>
      </c>
      <c r="SH7" s="41">
        <f>SUM(SH8:SH10)</f>
        <v>0</v>
      </c>
      <c r="SI7" s="41">
        <f>SUM(SI8:SI10)</f>
        <v>0</v>
      </c>
      <c r="SJ7" s="41">
        <f>SUM(SJ8:SJ10)</f>
        <v>0</v>
      </c>
      <c r="SK7" s="41">
        <f>SUM(SK8:SK10)</f>
        <v>0</v>
      </c>
      <c r="SL7" s="41">
        <f>SUM(SL8:SL10)</f>
        <v>0</v>
      </c>
      <c r="SM7" s="41">
        <f>SUM(SM8:SM10)</f>
        <v>0</v>
      </c>
      <c r="SN7" s="41">
        <f>SUM(SN8:SN10)</f>
        <v>0</v>
      </c>
      <c r="SO7" s="41">
        <f>SUM(SO8:SO10)</f>
        <v>0</v>
      </c>
      <c r="SP7" s="41">
        <f>SUM(SP8:SP10)</f>
        <v>0</v>
      </c>
      <c r="SQ7" s="41">
        <f>SUM(SQ8:SQ10)</f>
        <v>0</v>
      </c>
      <c r="SR7" s="41">
        <f>SUM(SR8:SR10)</f>
        <v>0</v>
      </c>
      <c r="SS7" s="41">
        <f>SUM(SS8:SS10)</f>
        <v>0</v>
      </c>
      <c r="ST7" s="41">
        <f>SUM(ST8:ST10)</f>
        <v>0</v>
      </c>
      <c r="SU7" s="41">
        <f>SUM(SU8:SU10)</f>
        <v>0</v>
      </c>
      <c r="SV7" s="41">
        <f>SUM(SV8:SV10)</f>
        <v>0</v>
      </c>
      <c r="SW7" s="41">
        <f>SUM(SW8:SW10)</f>
        <v>0</v>
      </c>
      <c r="SX7" s="41">
        <f>SUM(SX8:SX10)</f>
        <v>0</v>
      </c>
      <c r="SY7" s="41">
        <f>SUM(SY8:SY10)</f>
        <v>0</v>
      </c>
      <c r="SZ7" s="41">
        <f>SUM(SZ8:SZ10)</f>
        <v>0</v>
      </c>
      <c r="TA7" s="41">
        <f>SUM(TA8:TA10)</f>
        <v>0</v>
      </c>
      <c r="TB7" s="41">
        <f>SUM(TB8:TB10)</f>
        <v>0</v>
      </c>
      <c r="TC7" s="41">
        <f>SUM(TC8:TC10)</f>
        <v>0</v>
      </c>
      <c r="TD7" s="41">
        <f>SUM(TD8:TD10)</f>
        <v>0</v>
      </c>
      <c r="TE7" s="41">
        <f>SUM(TE8:TE10)</f>
        <v>0</v>
      </c>
      <c r="TF7" s="41">
        <f>SUM(TF8:TF10)</f>
        <v>0</v>
      </c>
      <c r="TG7" s="41">
        <f>SUM(TG8:TG10)</f>
        <v>0</v>
      </c>
      <c r="TH7" s="41">
        <f>SUM(TH8:TH10)</f>
        <v>0</v>
      </c>
      <c r="TI7" s="41">
        <f>SUM(TI8:TI10)</f>
        <v>0</v>
      </c>
      <c r="TJ7" s="41">
        <f>SUM(TJ8:TJ10)</f>
        <v>0</v>
      </c>
      <c r="TK7" s="41">
        <f>SUM(TK8:TK10)</f>
        <v>0</v>
      </c>
      <c r="TL7" s="41">
        <f>SUM(TL8:TL10)</f>
        <v>0</v>
      </c>
      <c r="TM7" s="41">
        <f>SUM(TM8:TM10)</f>
        <v>0</v>
      </c>
      <c r="TN7" s="41">
        <f>SUM(TN8:TN10)</f>
        <v>0</v>
      </c>
      <c r="TO7" s="41">
        <f>SUM(TO8:TO10)</f>
        <v>0</v>
      </c>
      <c r="TP7" s="41">
        <f>SUM(TP8:TP10)</f>
        <v>0</v>
      </c>
      <c r="TQ7" s="41">
        <f>SUM(TQ8:TQ10)</f>
        <v>0</v>
      </c>
      <c r="TR7" s="41">
        <f>SUM(TR8:TR10)</f>
        <v>0</v>
      </c>
      <c r="TS7" s="41">
        <f>SUM(TS8:TS10)</f>
        <v>0</v>
      </c>
      <c r="TT7" s="41">
        <f>SUM(TT8:TT10)</f>
        <v>0</v>
      </c>
      <c r="TU7" s="41">
        <f>SUM(TU8:TU10)</f>
        <v>0</v>
      </c>
      <c r="TV7" s="41">
        <f>SUM(TV8:TV10)</f>
        <v>0</v>
      </c>
      <c r="TW7" s="41">
        <f>SUM(TW8:TW10)</f>
        <v>0</v>
      </c>
      <c r="TX7" s="41">
        <f>SUM(TX8:TX10)</f>
        <v>0</v>
      </c>
      <c r="TY7" s="41">
        <f>SUM(TY8:TY10)</f>
        <v>0</v>
      </c>
      <c r="TZ7" s="41">
        <f>SUM(TZ8:TZ10)</f>
        <v>0</v>
      </c>
      <c r="UA7" s="41">
        <f>SUM(UA8:UA10)</f>
        <v>0</v>
      </c>
      <c r="UB7" s="41">
        <f>SUM(UB8:UB10)</f>
        <v>0</v>
      </c>
      <c r="UC7" s="41">
        <f>SUM(UC8:UC10)</f>
        <v>0</v>
      </c>
      <c r="UD7" s="41">
        <f>SUM(UD8:UD10)</f>
        <v>0</v>
      </c>
      <c r="UE7" s="41">
        <f>SUM(UE8:UE10)</f>
        <v>0</v>
      </c>
      <c r="UF7" s="41">
        <f>SUM(UF8:UF10)</f>
        <v>0</v>
      </c>
      <c r="UG7" s="41">
        <f>SUM(UG8:UG10)</f>
        <v>0</v>
      </c>
      <c r="UH7" s="41">
        <f>SUM(UH8:UH10)</f>
        <v>0</v>
      </c>
      <c r="UI7" s="41">
        <f>SUM(UI8:UI10)</f>
        <v>0</v>
      </c>
      <c r="UJ7" s="41">
        <f>SUM(UJ8:UJ10)</f>
        <v>0</v>
      </c>
      <c r="UK7" s="41">
        <f>SUM(UK8:UK10)</f>
        <v>0</v>
      </c>
      <c r="UL7" s="41">
        <f>SUM(UL8:UL10)</f>
        <v>0</v>
      </c>
      <c r="UM7" s="41">
        <f>SUM(UM8:UM10)</f>
        <v>0</v>
      </c>
      <c r="UN7" s="41">
        <f>SUM(UN8:UN10)</f>
        <v>0</v>
      </c>
      <c r="UO7" s="41">
        <f>SUM(UO8:UO10)</f>
        <v>0</v>
      </c>
      <c r="UP7" s="41">
        <f>SUM(UP8:UP10)</f>
        <v>0</v>
      </c>
      <c r="UQ7" s="41">
        <f>SUM(UQ8:UQ10)</f>
        <v>0</v>
      </c>
      <c r="UR7" s="41">
        <f>SUM(UR8:UR10)</f>
        <v>0</v>
      </c>
      <c r="US7" s="41">
        <f>SUM(US8:US10)</f>
        <v>0</v>
      </c>
      <c r="UT7" s="41">
        <f>SUM(UT8:UT10)</f>
        <v>0</v>
      </c>
      <c r="UU7" s="41">
        <f>SUM(UU8:UU10)</f>
        <v>0</v>
      </c>
      <c r="UV7" s="41">
        <f>SUM(UV8:UV10)</f>
        <v>0</v>
      </c>
      <c r="UW7" s="41">
        <f>SUM(UW8:UW10)</f>
        <v>0</v>
      </c>
      <c r="UX7" s="41">
        <f>SUM(UX8:UX10)</f>
        <v>0</v>
      </c>
      <c r="UY7" s="41">
        <f>SUM(UY8:UY10)</f>
        <v>0</v>
      </c>
      <c r="UZ7" s="41">
        <f>SUM(UZ8:UZ10)</f>
        <v>0</v>
      </c>
      <c r="VA7" s="41">
        <f>SUM(VA8:VA10)</f>
        <v>0</v>
      </c>
      <c r="VB7" s="41">
        <f>SUM(VB8:VB10)</f>
        <v>0</v>
      </c>
      <c r="VC7" s="41">
        <f>SUM(VC8:VC10)</f>
        <v>0</v>
      </c>
      <c r="VD7" s="41">
        <f>SUM(VD8:VD10)</f>
        <v>0</v>
      </c>
      <c r="VE7" s="41">
        <f>SUM(VE8:VE10)</f>
        <v>0</v>
      </c>
      <c r="VF7" s="41">
        <f>SUM(VF8:VF10)</f>
        <v>0</v>
      </c>
      <c r="VG7" s="41">
        <f>SUM(VG8:VG10)</f>
        <v>0</v>
      </c>
      <c r="VH7" s="41">
        <f>SUM(VH8:VH10)</f>
        <v>0</v>
      </c>
      <c r="VI7" s="41">
        <f>SUM(VI8:VI10)</f>
        <v>0</v>
      </c>
      <c r="VJ7" s="41">
        <f>SUM(VJ8:VJ10)</f>
        <v>0</v>
      </c>
      <c r="VK7" s="41">
        <f>SUM(VK8:VK10)</f>
        <v>0</v>
      </c>
      <c r="VL7" s="41">
        <f>SUM(VL8:VL10)</f>
        <v>0</v>
      </c>
      <c r="VM7" s="41">
        <f>SUM(VM8:VM10)</f>
        <v>0</v>
      </c>
      <c r="VN7" s="41">
        <f>SUM(VN8:VN10)</f>
        <v>0</v>
      </c>
      <c r="VO7" s="41">
        <f>SUM(VO8:VO10)</f>
        <v>0</v>
      </c>
      <c r="VP7" s="41">
        <f>SUM(VP8:VP10)</f>
        <v>0</v>
      </c>
      <c r="VQ7" s="41">
        <f>SUM(VQ8:VQ10)</f>
        <v>0</v>
      </c>
      <c r="VR7" s="41">
        <f>SUM(VR8:VR10)</f>
        <v>0</v>
      </c>
      <c r="VS7" s="41">
        <f>SUM(VS8:VS10)</f>
        <v>0</v>
      </c>
      <c r="VT7" s="41">
        <f>SUM(VT8:VT10)</f>
        <v>0</v>
      </c>
      <c r="VU7" s="41">
        <f>SUM(VU8:VU10)</f>
        <v>0</v>
      </c>
      <c r="VV7" s="41">
        <f>SUM(VV8:VV10)</f>
        <v>0</v>
      </c>
      <c r="VW7" s="41">
        <f>SUM(VW8:VW10)</f>
        <v>0</v>
      </c>
      <c r="VX7" s="41">
        <f>SUM(VX8:VX10)</f>
        <v>0</v>
      </c>
      <c r="VY7" s="41">
        <f>SUM(VY8:VY10)</f>
        <v>0</v>
      </c>
      <c r="VZ7" s="41">
        <f>SUM(VZ8:VZ10)</f>
        <v>0</v>
      </c>
      <c r="WA7" s="41">
        <f>SUM(WA8:WA10)</f>
        <v>0</v>
      </c>
      <c r="WB7" s="41">
        <f>SUM(WB8:WB10)</f>
        <v>0</v>
      </c>
      <c r="WC7" s="41">
        <f>SUM(WC8:WC10)</f>
        <v>0</v>
      </c>
      <c r="WD7" s="41">
        <f>SUM(WD8:WD10)</f>
        <v>0</v>
      </c>
      <c r="WE7" s="41">
        <f>SUM(WE8:WE10)</f>
        <v>0</v>
      </c>
      <c r="WF7" s="41">
        <f>SUM(WF8:WF10)</f>
        <v>0</v>
      </c>
      <c r="WG7" s="41">
        <f>SUM(WG8:WG10)</f>
        <v>0</v>
      </c>
      <c r="WH7" s="41">
        <f>SUM(WH8:WH10)</f>
        <v>0</v>
      </c>
      <c r="WI7" s="41">
        <f>SUM(WI8:WI10)</f>
        <v>0</v>
      </c>
      <c r="WJ7" s="41">
        <f>SUM(WJ8:WJ10)</f>
        <v>0</v>
      </c>
      <c r="WK7" s="41">
        <f>SUM(WK8:WK10)</f>
        <v>0</v>
      </c>
      <c r="WL7" s="41">
        <f>SUM(WL8:WL10)</f>
        <v>0</v>
      </c>
      <c r="WM7" s="41">
        <f>SUM(WM8:WM10)</f>
        <v>0</v>
      </c>
      <c r="WN7" s="41">
        <f>SUM(WN8:WN10)</f>
        <v>0</v>
      </c>
      <c r="WO7" s="41">
        <f>SUM(WO8:WO10)</f>
        <v>0</v>
      </c>
      <c r="WP7" s="41">
        <f>SUM(WP8:WP10)</f>
        <v>0</v>
      </c>
      <c r="WQ7" s="41">
        <f>SUM(WQ8:WQ10)</f>
        <v>0</v>
      </c>
      <c r="WR7" s="41">
        <f>SUM(WR8:WR10)</f>
        <v>0</v>
      </c>
      <c r="WS7" s="41">
        <f>SUM(WS8:WS10)</f>
        <v>0</v>
      </c>
      <c r="WT7" s="41">
        <f>SUM(WT8:WT10)</f>
        <v>0</v>
      </c>
      <c r="WU7" s="41">
        <f>SUM(WU8:WU10)</f>
        <v>0</v>
      </c>
      <c r="WV7" s="41">
        <f>SUM(WV8:WV10)</f>
        <v>0</v>
      </c>
      <c r="WW7" s="41">
        <f>SUM(WW8:WW10)</f>
        <v>0</v>
      </c>
      <c r="WX7" s="41">
        <f>SUM(WX8:WX10)</f>
        <v>0</v>
      </c>
      <c r="WY7" s="41">
        <f>SUM(WY8:WY10)</f>
        <v>0</v>
      </c>
      <c r="WZ7" s="41">
        <f>SUM(WZ8:WZ10)</f>
        <v>0</v>
      </c>
      <c r="XA7" s="41">
        <f>SUM(XA8:XA10)</f>
        <v>0</v>
      </c>
      <c r="XB7" s="41">
        <f>SUM(XB8:XB10)</f>
        <v>0</v>
      </c>
      <c r="XC7" s="41">
        <f>SUM(XC8:XC10)</f>
        <v>0</v>
      </c>
      <c r="XD7" s="41">
        <f>SUM(XD8:XD10)</f>
        <v>0</v>
      </c>
      <c r="XE7" s="41">
        <f>SUM(XE8:XE10)</f>
        <v>0</v>
      </c>
      <c r="XF7" s="41">
        <f>SUM(XF8:XF10)</f>
        <v>0</v>
      </c>
      <c r="XG7" s="41">
        <f>SUM(XG8:XG10)</f>
        <v>0</v>
      </c>
      <c r="XH7" s="41">
        <f>SUM(XH8:XH10)</f>
        <v>0</v>
      </c>
      <c r="XI7" s="41">
        <f>SUM(XI8:XI10)</f>
        <v>0</v>
      </c>
      <c r="XJ7" s="41">
        <f>SUM(XJ8:XJ10)</f>
        <v>0</v>
      </c>
      <c r="XK7" s="41">
        <f>SUM(XK8:XK10)</f>
        <v>0</v>
      </c>
      <c r="XL7" s="41">
        <f>SUM(XL8:XL10)</f>
        <v>0</v>
      </c>
      <c r="XM7" s="41">
        <f>SUM(XM8:XM10)</f>
        <v>0</v>
      </c>
      <c r="XN7" s="41">
        <f>SUM(XN8:XN10)</f>
        <v>0</v>
      </c>
      <c r="XO7" s="41">
        <f>SUM(XO8:XO10)</f>
        <v>0</v>
      </c>
      <c r="XP7" s="41">
        <f>SUM(XP8:XP10)</f>
        <v>0</v>
      </c>
      <c r="XQ7" s="41">
        <f>SUM(XQ8:XQ10)</f>
        <v>0</v>
      </c>
      <c r="XR7" s="41">
        <f>SUM(XR8:XR10)</f>
        <v>0</v>
      </c>
      <c r="XS7" s="41">
        <f>SUM(XS8:XS10)</f>
        <v>0</v>
      </c>
      <c r="XT7" s="41">
        <f>SUM(XT8:XT10)</f>
        <v>0</v>
      </c>
      <c r="XU7" s="41">
        <f>SUM(XU8:XU10)</f>
        <v>0</v>
      </c>
      <c r="XV7" s="41">
        <f>SUM(XV8:XV10)</f>
        <v>0</v>
      </c>
      <c r="XW7" s="41">
        <f>SUM(XW8:XW10)</f>
        <v>0</v>
      </c>
      <c r="XX7" s="41">
        <f>SUM(XX8:XX10)</f>
        <v>0</v>
      </c>
      <c r="XY7" s="41">
        <f>SUM(XY8:XY10)</f>
        <v>0</v>
      </c>
      <c r="XZ7" s="41">
        <f>SUM(XZ8:XZ10)</f>
        <v>0</v>
      </c>
      <c r="YA7" s="41">
        <f>SUM(YA8:YA10)</f>
        <v>0</v>
      </c>
      <c r="YB7" s="41">
        <f>SUM(YB8:YB10)</f>
        <v>0</v>
      </c>
      <c r="YC7" s="41">
        <f>SUM(YC8:YC10)</f>
        <v>0</v>
      </c>
      <c r="YD7" s="41">
        <f>SUM(YD8:YD10)</f>
        <v>0</v>
      </c>
      <c r="YE7" s="41">
        <f>SUM(YE8:YE10)</f>
        <v>0</v>
      </c>
      <c r="YF7" s="41">
        <f>SUM(YF8:YF10)</f>
        <v>0</v>
      </c>
      <c r="YG7" s="41">
        <f>SUM(YG8:YG10)</f>
        <v>0</v>
      </c>
      <c r="YH7" s="41">
        <f>SUM(YH8:YH10)</f>
        <v>0</v>
      </c>
      <c r="YI7" s="41">
        <f>SUM(YI8:YI10)</f>
        <v>0</v>
      </c>
      <c r="YJ7" s="41">
        <f>SUM(YJ8:YJ10)</f>
        <v>0</v>
      </c>
      <c r="YK7" s="41">
        <f>SUM(YK8:YK10)</f>
        <v>0</v>
      </c>
      <c r="YL7" s="41">
        <f>SUM(YL8:YL10)</f>
        <v>0</v>
      </c>
      <c r="YM7" s="41">
        <f>SUM(YM8:YM10)</f>
        <v>0</v>
      </c>
      <c r="YN7" s="41">
        <f>SUM(YN8:YN10)</f>
        <v>0</v>
      </c>
      <c r="YO7" s="41">
        <f>SUM(YO8:YO10)</f>
        <v>0</v>
      </c>
      <c r="YP7" s="41">
        <f>SUM(YP8:YP10)</f>
        <v>0</v>
      </c>
      <c r="YQ7" s="41">
        <f>SUM(YQ8:YQ10)</f>
        <v>0</v>
      </c>
      <c r="YR7" s="41">
        <f>SUM(YR8:YR10)</f>
        <v>0</v>
      </c>
      <c r="YS7" s="41">
        <f>SUM(YS8:YS10)</f>
        <v>0</v>
      </c>
      <c r="YT7" s="41">
        <f>SUM(YT8:YT10)</f>
        <v>0</v>
      </c>
      <c r="YU7" s="41">
        <f>SUM(YU8:YU10)</f>
        <v>0</v>
      </c>
      <c r="YV7" s="41">
        <f>SUM(YV8:YV10)</f>
        <v>0</v>
      </c>
      <c r="YW7" s="41">
        <f>SUM(YW8:YW10)</f>
        <v>0</v>
      </c>
      <c r="YX7" s="41">
        <f>SUM(YX8:YX10)</f>
        <v>0</v>
      </c>
      <c r="YY7" s="41">
        <f>SUM(YY8:YY10)</f>
        <v>0</v>
      </c>
      <c r="YZ7" s="41">
        <f>SUM(YZ8:YZ10)</f>
        <v>0</v>
      </c>
      <c r="ZA7" s="41">
        <f>SUM(ZA8:ZA10)</f>
        <v>0</v>
      </c>
      <c r="ZB7" s="41">
        <f>SUM(ZB8:ZB10)</f>
        <v>0</v>
      </c>
      <c r="ZC7" s="41">
        <f>SUM(ZC8:ZC10)</f>
        <v>0</v>
      </c>
      <c r="ZD7" s="41">
        <f>SUM(ZD8:ZD10)</f>
        <v>0</v>
      </c>
      <c r="ZE7" s="41">
        <f>SUM(ZE8:ZE10)</f>
        <v>0</v>
      </c>
      <c r="ZF7" s="41">
        <f>SUM(ZF8:ZF10)</f>
        <v>0</v>
      </c>
      <c r="ZG7" s="41">
        <f>SUM(ZG8:ZG10)</f>
        <v>0</v>
      </c>
      <c r="ZH7" s="41">
        <f>SUM(ZH8:ZH10)</f>
        <v>0</v>
      </c>
      <c r="ZI7" s="41">
        <f>SUM(ZI8:ZI10)</f>
        <v>0</v>
      </c>
      <c r="ZJ7" s="41">
        <f>SUM(ZJ8:ZJ10)</f>
        <v>0</v>
      </c>
      <c r="ZK7" s="41">
        <f>SUM(ZK8:ZK10)</f>
        <v>0</v>
      </c>
      <c r="ZL7" s="41">
        <f>SUM(ZL8:ZL10)</f>
        <v>0</v>
      </c>
      <c r="ZM7" s="41">
        <f>SUM(ZM8:ZM10)</f>
        <v>0</v>
      </c>
      <c r="ZN7" s="41">
        <f>SUM(ZN8:ZN10)</f>
        <v>0</v>
      </c>
      <c r="ZO7" s="41">
        <f>SUM(ZO8:ZO10)</f>
        <v>0</v>
      </c>
      <c r="ZP7" s="41">
        <f>SUM(ZP8:ZP10)</f>
        <v>0</v>
      </c>
      <c r="ZQ7" s="41">
        <f>SUM(ZQ8:ZQ10)</f>
        <v>0</v>
      </c>
      <c r="ZR7" s="41">
        <f>SUM(ZR8:ZR10)</f>
        <v>0</v>
      </c>
      <c r="ZS7" s="41">
        <f>SUM(ZS8:ZS10)</f>
        <v>0</v>
      </c>
      <c r="ZT7" s="41">
        <f>SUM(ZT8:ZT10)</f>
        <v>0</v>
      </c>
      <c r="ZU7" s="41">
        <f>SUM(ZU8:ZU10)</f>
        <v>0</v>
      </c>
      <c r="ZV7" s="41">
        <f>SUM(ZV8:ZV10)</f>
        <v>0</v>
      </c>
      <c r="ZW7" s="41">
        <f>SUM(ZW8:ZW10)</f>
        <v>0</v>
      </c>
      <c r="ZX7" s="41">
        <f>SUM(ZX8:ZX10)</f>
        <v>0</v>
      </c>
      <c r="ZY7" s="41">
        <f>SUM(ZY8:ZY10)</f>
        <v>0</v>
      </c>
      <c r="ZZ7" s="41">
        <f>SUM(ZZ8:ZZ10)</f>
        <v>0</v>
      </c>
      <c r="AAA7" s="41">
        <f>SUM(AAA8:AAA10)</f>
        <v>0</v>
      </c>
      <c r="AAB7" s="41">
        <f>SUM(AAB8:AAB10)</f>
        <v>0</v>
      </c>
      <c r="AAC7" s="41">
        <f>SUM(AAC8:AAC10)</f>
        <v>0</v>
      </c>
      <c r="AAD7" s="41">
        <f>SUM(AAD8:AAD10)</f>
        <v>0</v>
      </c>
      <c r="AAE7" s="41">
        <f>SUM(AAE8:AAE10)</f>
        <v>0</v>
      </c>
      <c r="AAF7" s="41">
        <f>SUM(AAF8:AAF10)</f>
        <v>0</v>
      </c>
      <c r="AAG7" s="41">
        <f>SUM(AAG8:AAG10)</f>
        <v>0</v>
      </c>
      <c r="AAH7" s="41">
        <f>SUM(AAH8:AAH10)</f>
        <v>0</v>
      </c>
      <c r="AAI7" s="41">
        <f>SUM(AAI8:AAI10)</f>
        <v>0</v>
      </c>
      <c r="AAJ7" s="41">
        <f>SUM(AAJ8:AAJ10)</f>
        <v>0</v>
      </c>
      <c r="AAK7" s="41">
        <f>SUM(AAK8:AAK10)</f>
        <v>0</v>
      </c>
      <c r="AAL7" s="41">
        <f>SUM(AAL8:AAL10)</f>
        <v>0</v>
      </c>
      <c r="AAM7" s="41">
        <f>SUM(AAM8:AAM10)</f>
        <v>0</v>
      </c>
      <c r="AAN7" s="41">
        <f>SUM(AAN8:AAN10)</f>
        <v>0</v>
      </c>
      <c r="AAO7" s="41">
        <f>SUM(AAO8:AAO10)</f>
        <v>0</v>
      </c>
      <c r="AAP7" s="41">
        <f>SUM(AAP8:AAP10)</f>
        <v>0</v>
      </c>
      <c r="AAQ7" s="41">
        <f>SUM(AAQ8:AAQ10)</f>
        <v>0</v>
      </c>
      <c r="AAR7" s="41">
        <f>SUM(AAR8:AAR10)</f>
        <v>0</v>
      </c>
      <c r="AAS7" s="41">
        <f>SUM(AAS8:AAS10)</f>
        <v>0</v>
      </c>
      <c r="AAT7" s="41">
        <f>SUM(AAT8:AAT10)</f>
        <v>0</v>
      </c>
      <c r="AAU7" s="41">
        <f>SUM(AAU8:AAU10)</f>
        <v>0</v>
      </c>
      <c r="AAV7" s="41">
        <f>SUM(AAV8:AAV10)</f>
        <v>0</v>
      </c>
      <c r="AAW7" s="41">
        <f>SUM(AAW8:AAW10)</f>
        <v>0</v>
      </c>
      <c r="AAX7" s="41">
        <f>SUM(AAX8:AAX10)</f>
        <v>0</v>
      </c>
      <c r="AAY7" s="41">
        <f>SUM(AAY8:AAY10)</f>
        <v>0</v>
      </c>
      <c r="AAZ7" s="41">
        <f>SUM(AAZ8:AAZ10)</f>
        <v>0</v>
      </c>
      <c r="ABA7" s="41">
        <f>SUM(ABA8:ABA10)</f>
        <v>0</v>
      </c>
      <c r="ABB7" s="41">
        <f>SUM(ABB8:ABB10)</f>
        <v>0</v>
      </c>
      <c r="ABC7" s="41">
        <f>SUM(ABC8:ABC10)</f>
        <v>0</v>
      </c>
      <c r="ABD7" s="41">
        <f>SUM(ABD8:ABD10)</f>
        <v>0</v>
      </c>
      <c r="ABE7" s="41">
        <f>SUM(ABE8:ABE10)</f>
        <v>0</v>
      </c>
      <c r="ABF7" s="41">
        <f>SUM(ABF8:ABF10)</f>
        <v>0</v>
      </c>
      <c r="ABG7" s="41">
        <f>SUM(ABG8:ABG10)</f>
        <v>0</v>
      </c>
      <c r="ABH7" s="41">
        <f>SUM(ABH8:ABH10)</f>
        <v>0</v>
      </c>
      <c r="ABI7" s="41">
        <f>SUM(ABI8:ABI10)</f>
        <v>0</v>
      </c>
      <c r="ABJ7" s="41">
        <f>SUM(ABJ8:ABJ10)</f>
        <v>0</v>
      </c>
      <c r="ABK7" s="41">
        <f>SUM(ABK8:ABK10)</f>
        <v>0</v>
      </c>
      <c r="ABL7" s="41">
        <f>SUM(ABL8:ABL10)</f>
        <v>0</v>
      </c>
      <c r="ABM7" s="41">
        <f>SUM(ABM8:ABM10)</f>
        <v>0</v>
      </c>
      <c r="ABN7" s="41">
        <f>SUM(ABN8:ABN10)</f>
        <v>0</v>
      </c>
      <c r="ABO7" s="41">
        <f>SUM(ABO8:ABO10)</f>
        <v>0</v>
      </c>
      <c r="ABP7" s="41">
        <f>SUM(ABP8:ABP10)</f>
        <v>0</v>
      </c>
      <c r="ABQ7" s="41">
        <f>SUM(ABQ8:ABQ10)</f>
        <v>0</v>
      </c>
      <c r="ABR7" s="41">
        <f>SUM(ABR8:ABR10)</f>
        <v>0</v>
      </c>
      <c r="ABS7" s="41">
        <f>SUM(ABS8:ABS10)</f>
        <v>0</v>
      </c>
      <c r="ABT7" s="41">
        <f>SUM(ABT8:ABT10)</f>
        <v>0</v>
      </c>
      <c r="ABU7" s="41">
        <f>SUM(ABU8:ABU10)</f>
        <v>0</v>
      </c>
      <c r="ABV7" s="41">
        <f>SUM(ABV8:ABV10)</f>
        <v>0</v>
      </c>
      <c r="ABW7" s="41">
        <f>SUM(ABW8:ABW10)</f>
        <v>0</v>
      </c>
      <c r="ABX7" s="41">
        <f>SUM(ABX8:ABX10)</f>
        <v>0</v>
      </c>
      <c r="ABY7" s="41">
        <f>SUM(ABY8:ABY10)</f>
        <v>0</v>
      </c>
      <c r="ABZ7" s="41">
        <f>SUM(ABZ8:ABZ10)</f>
        <v>0</v>
      </c>
      <c r="ACA7" s="41">
        <f>SUM(ACA8:ACA10)</f>
        <v>0</v>
      </c>
      <c r="ACB7" s="41">
        <f>SUM(ACB8:ACB10)</f>
        <v>0</v>
      </c>
      <c r="ACC7" s="41">
        <f>SUM(ACC8:ACC10)</f>
        <v>0</v>
      </c>
      <c r="ACD7" s="41">
        <f>SUM(ACD8:ACD10)</f>
        <v>0</v>
      </c>
      <c r="ACE7" s="41">
        <f>SUM(ACE8:ACE10)</f>
        <v>0</v>
      </c>
      <c r="ACF7" s="41">
        <f>SUM(ACF8:ACF10)</f>
        <v>0</v>
      </c>
      <c r="ACG7" s="41">
        <f>SUM(ACG8:ACG10)</f>
        <v>0</v>
      </c>
      <c r="ACH7" s="41">
        <f>SUM(ACH8:ACH10)</f>
        <v>0</v>
      </c>
      <c r="ACI7" s="41">
        <f>SUM(ACI8:ACI10)</f>
        <v>0</v>
      </c>
      <c r="ACJ7" s="41">
        <f>SUM(ACJ8:ACJ10)</f>
        <v>0</v>
      </c>
      <c r="ACK7" s="41">
        <f>SUM(ACK8:ACK10)</f>
        <v>0</v>
      </c>
      <c r="ACL7" s="41">
        <f>SUM(ACL8:ACL10)</f>
        <v>0</v>
      </c>
      <c r="ACM7" s="41">
        <f>SUM(ACM8:ACM10)</f>
        <v>0</v>
      </c>
      <c r="ACN7" s="41">
        <f>SUM(ACN8:ACN10)</f>
        <v>0</v>
      </c>
      <c r="ACO7" s="41">
        <f>SUM(ACO8:ACO10)</f>
        <v>0</v>
      </c>
      <c r="ACP7" s="41">
        <f>SUM(ACP8:ACP10)</f>
        <v>0</v>
      </c>
      <c r="ACQ7" s="41">
        <f>SUM(ACQ8:ACQ10)</f>
        <v>0</v>
      </c>
      <c r="ACR7" s="41">
        <f>SUM(ACR8:ACR10)</f>
        <v>0</v>
      </c>
      <c r="ACS7" s="41">
        <f>SUM(ACS8:ACS10)</f>
        <v>0</v>
      </c>
      <c r="ACT7" s="41">
        <f>SUM(ACT8:ACT10)</f>
        <v>0</v>
      </c>
      <c r="ACU7" s="41">
        <f>SUM(ACU8:ACU10)</f>
        <v>0</v>
      </c>
      <c r="ACV7" s="41">
        <f>SUM(ACV8:ACV10)</f>
        <v>0</v>
      </c>
      <c r="ACW7" s="41">
        <f>SUM(ACW8:ACW10)</f>
        <v>0</v>
      </c>
      <c r="ACX7" s="41">
        <f>SUM(ACX8:ACX10)</f>
        <v>0</v>
      </c>
      <c r="ACY7" s="41">
        <f>SUM(ACY8:ACY10)</f>
        <v>0</v>
      </c>
      <c r="ACZ7" s="41">
        <f>SUM(ACZ8:ACZ10)</f>
        <v>0</v>
      </c>
      <c r="ADA7" s="41">
        <f>SUM(ADA8:ADA10)</f>
        <v>0</v>
      </c>
      <c r="ADB7" s="41">
        <f>SUM(ADB8:ADB10)</f>
        <v>0</v>
      </c>
      <c r="ADC7" s="41">
        <f>SUM(ADC8:ADC10)</f>
        <v>0</v>
      </c>
      <c r="ADD7" s="41">
        <f>SUM(ADD8:ADD10)</f>
        <v>0</v>
      </c>
      <c r="ADE7" s="41">
        <f>SUM(ADE8:ADE10)</f>
        <v>0</v>
      </c>
      <c r="ADF7" s="41">
        <f>SUM(ADF8:ADF10)</f>
        <v>0</v>
      </c>
      <c r="ADG7" s="41">
        <f>SUM(ADG8:ADG10)</f>
        <v>0</v>
      </c>
      <c r="ADH7" s="41">
        <f>SUM(ADH8:ADH10)</f>
        <v>0</v>
      </c>
      <c r="ADI7" s="41">
        <f>SUM(ADI8:ADI10)</f>
        <v>0</v>
      </c>
      <c r="ADJ7" s="41">
        <f>SUM(ADJ8:ADJ10)</f>
        <v>0</v>
      </c>
      <c r="ADK7" s="41">
        <f>SUM(ADK8:ADK10)</f>
        <v>0</v>
      </c>
      <c r="ADL7" s="41">
        <f>SUM(ADL8:ADL10)</f>
        <v>0</v>
      </c>
      <c r="ADM7" s="41">
        <f>SUM(ADM8:ADM10)</f>
        <v>0</v>
      </c>
      <c r="ADN7" s="41">
        <f>SUM(ADN8:ADN10)</f>
        <v>0</v>
      </c>
      <c r="ADO7" s="41">
        <f>SUM(ADO8:ADO10)</f>
        <v>0</v>
      </c>
    </row>
    <row r="8" spans="1:795" s="30" customFormat="1" ht="12.75" x14ac:dyDescent="0.25">
      <c r="A8" s="128" t="str">
        <f t="shared" ref="A8:A10" ca="1" si="652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2015.1</v>
      </c>
      <c r="B8" s="129" t="s">
        <v>26</v>
      </c>
      <c r="C8" s="130" t="s">
        <v>61</v>
      </c>
      <c r="D8" s="130"/>
      <c r="E8" s="130" t="s">
        <v>20</v>
      </c>
      <c r="F8" s="130"/>
      <c r="G8" s="129" t="s">
        <v>54</v>
      </c>
      <c r="H8" s="131">
        <v>2015</v>
      </c>
      <c r="I8" s="132">
        <v>9</v>
      </c>
      <c r="J8" s="133">
        <f>IsoWeekToDateB2(H8,I8)</f>
        <v>42058</v>
      </c>
      <c r="K8" s="134">
        <f t="shared" ref="K8:K10" si="653">J8+L8-1</f>
        <v>42064</v>
      </c>
      <c r="L8" s="135">
        <f>M8*7</f>
        <v>7</v>
      </c>
      <c r="M8" s="136">
        <v>1</v>
      </c>
      <c r="N8" s="137">
        <v>1</v>
      </c>
      <c r="O8" s="135">
        <f t="shared" ref="O8:O10" si="654">NETWORKDAYS(J8,K8)</f>
        <v>5</v>
      </c>
      <c r="P8" s="138">
        <f t="shared" ref="P8:P10" si="655">ROUNDDOWN(N8*L8,0)</f>
        <v>7</v>
      </c>
      <c r="Q8" s="135">
        <f t="shared" ref="Q8:Q10" si="656">L8-P8</f>
        <v>0</v>
      </c>
      <c r="R8" s="71"/>
      <c r="S8" s="29">
        <f t="shared" ref="S8:AH10" si="657">IF(AND($J8&lt;=S$3, $K8&gt;=S$3),1,0)</f>
        <v>0</v>
      </c>
      <c r="T8" s="29">
        <f t="shared" ref="T8:CE10" si="658">IF(AND($J8&lt;=T$3, $K8&gt;=T$3),1,0)</f>
        <v>0</v>
      </c>
      <c r="U8" s="29">
        <f t="shared" si="658"/>
        <v>0</v>
      </c>
      <c r="V8" s="29">
        <f t="shared" si="658"/>
        <v>0</v>
      </c>
      <c r="W8" s="29">
        <f t="shared" si="658"/>
        <v>0</v>
      </c>
      <c r="X8" s="29">
        <f t="shared" si="658"/>
        <v>0</v>
      </c>
      <c r="Y8" s="29">
        <f t="shared" si="658"/>
        <v>0</v>
      </c>
      <c r="Z8" s="29">
        <f t="shared" si="658"/>
        <v>0</v>
      </c>
      <c r="AA8" s="29">
        <f t="shared" si="658"/>
        <v>0</v>
      </c>
      <c r="AB8" s="29">
        <f t="shared" si="658"/>
        <v>0</v>
      </c>
      <c r="AC8" s="29">
        <f t="shared" si="658"/>
        <v>0</v>
      </c>
      <c r="AD8" s="29">
        <f t="shared" si="658"/>
        <v>0</v>
      </c>
      <c r="AE8" s="29">
        <f t="shared" si="658"/>
        <v>0</v>
      </c>
      <c r="AF8" s="29">
        <f t="shared" si="658"/>
        <v>0</v>
      </c>
      <c r="AG8" s="29">
        <f t="shared" si="658"/>
        <v>0</v>
      </c>
      <c r="AH8" s="29">
        <f t="shared" si="658"/>
        <v>0</v>
      </c>
      <c r="AI8" s="29">
        <f t="shared" si="658"/>
        <v>0</v>
      </c>
      <c r="AJ8" s="29">
        <f t="shared" si="658"/>
        <v>0</v>
      </c>
      <c r="AK8" s="29">
        <f t="shared" si="658"/>
        <v>0</v>
      </c>
      <c r="AL8" s="29">
        <f t="shared" si="658"/>
        <v>0</v>
      </c>
      <c r="AM8" s="29">
        <f t="shared" si="658"/>
        <v>0</v>
      </c>
      <c r="AN8" s="29">
        <f t="shared" si="658"/>
        <v>0</v>
      </c>
      <c r="AO8" s="29">
        <f t="shared" si="658"/>
        <v>0</v>
      </c>
      <c r="AP8" s="29">
        <f t="shared" si="658"/>
        <v>0</v>
      </c>
      <c r="AQ8" s="29">
        <f t="shared" si="658"/>
        <v>0</v>
      </c>
      <c r="AR8" s="29">
        <f t="shared" si="658"/>
        <v>0</v>
      </c>
      <c r="AS8" s="29">
        <f t="shared" si="658"/>
        <v>0</v>
      </c>
      <c r="AT8" s="29">
        <f t="shared" si="658"/>
        <v>0</v>
      </c>
      <c r="AU8" s="29">
        <f t="shared" si="658"/>
        <v>0</v>
      </c>
      <c r="AV8" s="29">
        <f t="shared" si="658"/>
        <v>0</v>
      </c>
      <c r="AW8" s="29">
        <f t="shared" si="658"/>
        <v>0</v>
      </c>
      <c r="AX8" s="29">
        <f t="shared" si="658"/>
        <v>0</v>
      </c>
      <c r="AY8" s="29">
        <f t="shared" si="658"/>
        <v>0</v>
      </c>
      <c r="AZ8" s="29">
        <f t="shared" si="658"/>
        <v>0</v>
      </c>
      <c r="BA8" s="29">
        <f t="shared" si="658"/>
        <v>0</v>
      </c>
      <c r="BB8" s="29">
        <f t="shared" si="658"/>
        <v>0</v>
      </c>
      <c r="BC8" s="29">
        <f t="shared" si="658"/>
        <v>0</v>
      </c>
      <c r="BD8" s="29">
        <f t="shared" si="658"/>
        <v>0</v>
      </c>
      <c r="BE8" s="29">
        <f t="shared" si="658"/>
        <v>0</v>
      </c>
      <c r="BF8" s="29">
        <f t="shared" si="658"/>
        <v>0</v>
      </c>
      <c r="BG8" s="29">
        <f t="shared" si="658"/>
        <v>0</v>
      </c>
      <c r="BH8" s="29">
        <f t="shared" si="658"/>
        <v>0</v>
      </c>
      <c r="BI8" s="29">
        <f t="shared" si="658"/>
        <v>0</v>
      </c>
      <c r="BJ8" s="29">
        <f t="shared" si="658"/>
        <v>0</v>
      </c>
      <c r="BK8" s="29">
        <f t="shared" si="658"/>
        <v>0</v>
      </c>
      <c r="BL8" s="29">
        <f t="shared" si="658"/>
        <v>0</v>
      </c>
      <c r="BM8" s="29">
        <f t="shared" si="658"/>
        <v>0</v>
      </c>
      <c r="BN8" s="29">
        <f t="shared" si="658"/>
        <v>0</v>
      </c>
      <c r="BO8" s="29">
        <f t="shared" si="658"/>
        <v>0</v>
      </c>
      <c r="BP8" s="29">
        <f t="shared" si="658"/>
        <v>0</v>
      </c>
      <c r="BQ8" s="29">
        <f t="shared" si="658"/>
        <v>0</v>
      </c>
      <c r="BR8" s="29">
        <f t="shared" si="658"/>
        <v>0</v>
      </c>
      <c r="BS8" s="29">
        <f t="shared" si="658"/>
        <v>0</v>
      </c>
      <c r="BT8" s="29">
        <f t="shared" si="658"/>
        <v>0</v>
      </c>
      <c r="BU8" s="29">
        <f t="shared" si="658"/>
        <v>0</v>
      </c>
      <c r="BV8" s="29">
        <f t="shared" si="658"/>
        <v>0</v>
      </c>
      <c r="BW8" s="29">
        <f t="shared" si="658"/>
        <v>1</v>
      </c>
      <c r="BX8" s="29">
        <f t="shared" si="658"/>
        <v>1</v>
      </c>
      <c r="BY8" s="29">
        <f t="shared" si="658"/>
        <v>1</v>
      </c>
      <c r="BZ8" s="29">
        <f t="shared" si="658"/>
        <v>1</v>
      </c>
      <c r="CA8" s="29">
        <f t="shared" si="658"/>
        <v>1</v>
      </c>
      <c r="CB8" s="29">
        <f t="shared" si="658"/>
        <v>1</v>
      </c>
      <c r="CC8" s="29">
        <f t="shared" si="658"/>
        <v>1</v>
      </c>
      <c r="CD8" s="29">
        <f t="shared" si="658"/>
        <v>0</v>
      </c>
      <c r="CE8" s="29">
        <f t="shared" si="658"/>
        <v>0</v>
      </c>
      <c r="CF8" s="29">
        <f t="shared" ref="CF8:EQ10" si="659">IF(AND($J8&lt;=CF$3, $K8&gt;=CF$3),1,0)</f>
        <v>0</v>
      </c>
      <c r="CG8" s="29">
        <f t="shared" si="659"/>
        <v>0</v>
      </c>
      <c r="CH8" s="29">
        <f t="shared" si="659"/>
        <v>0</v>
      </c>
      <c r="CI8" s="29">
        <f t="shared" si="659"/>
        <v>0</v>
      </c>
      <c r="CJ8" s="29">
        <f t="shared" si="659"/>
        <v>0</v>
      </c>
      <c r="CK8" s="29">
        <f t="shared" si="659"/>
        <v>0</v>
      </c>
      <c r="CL8" s="29">
        <f t="shared" si="659"/>
        <v>0</v>
      </c>
      <c r="CM8" s="29">
        <f t="shared" si="659"/>
        <v>0</v>
      </c>
      <c r="CN8" s="29">
        <f t="shared" si="659"/>
        <v>0</v>
      </c>
      <c r="CO8" s="29">
        <f t="shared" si="659"/>
        <v>0</v>
      </c>
      <c r="CP8" s="29">
        <f t="shared" si="659"/>
        <v>0</v>
      </c>
      <c r="CQ8" s="29">
        <f t="shared" si="659"/>
        <v>0</v>
      </c>
      <c r="CR8" s="29">
        <f t="shared" si="659"/>
        <v>0</v>
      </c>
      <c r="CS8" s="29">
        <f t="shared" si="659"/>
        <v>0</v>
      </c>
      <c r="CT8" s="29">
        <f t="shared" si="659"/>
        <v>0</v>
      </c>
      <c r="CU8" s="29">
        <f t="shared" si="659"/>
        <v>0</v>
      </c>
      <c r="CV8" s="29">
        <f t="shared" si="659"/>
        <v>0</v>
      </c>
      <c r="CW8" s="29">
        <f t="shared" si="659"/>
        <v>0</v>
      </c>
      <c r="CX8" s="29">
        <f t="shared" si="659"/>
        <v>0</v>
      </c>
      <c r="CY8" s="29">
        <f t="shared" si="659"/>
        <v>0</v>
      </c>
      <c r="CZ8" s="29">
        <f t="shared" si="659"/>
        <v>0</v>
      </c>
      <c r="DA8" s="29">
        <f t="shared" si="659"/>
        <v>0</v>
      </c>
      <c r="DB8" s="29">
        <f t="shared" si="659"/>
        <v>0</v>
      </c>
      <c r="DC8" s="29">
        <f t="shared" si="659"/>
        <v>0</v>
      </c>
      <c r="DD8" s="29">
        <f t="shared" si="659"/>
        <v>0</v>
      </c>
      <c r="DE8" s="29">
        <f t="shared" si="659"/>
        <v>0</v>
      </c>
      <c r="DF8" s="29">
        <f t="shared" si="659"/>
        <v>0</v>
      </c>
      <c r="DG8" s="29">
        <f t="shared" si="659"/>
        <v>0</v>
      </c>
      <c r="DH8" s="29">
        <f t="shared" si="659"/>
        <v>0</v>
      </c>
      <c r="DI8" s="29">
        <f t="shared" si="659"/>
        <v>0</v>
      </c>
      <c r="DJ8" s="29">
        <f t="shared" si="659"/>
        <v>0</v>
      </c>
      <c r="DK8" s="29">
        <f t="shared" si="659"/>
        <v>0</v>
      </c>
      <c r="DL8" s="29">
        <f t="shared" si="659"/>
        <v>0</v>
      </c>
      <c r="DM8" s="29">
        <f t="shared" si="659"/>
        <v>0</v>
      </c>
      <c r="DN8" s="29">
        <f t="shared" si="659"/>
        <v>0</v>
      </c>
      <c r="DO8" s="29">
        <f t="shared" si="659"/>
        <v>0</v>
      </c>
      <c r="DP8" s="29">
        <f t="shared" si="659"/>
        <v>0</v>
      </c>
      <c r="DQ8" s="29">
        <f t="shared" si="659"/>
        <v>0</v>
      </c>
      <c r="DR8" s="29">
        <f t="shared" si="659"/>
        <v>0</v>
      </c>
      <c r="DS8" s="29">
        <f t="shared" si="659"/>
        <v>0</v>
      </c>
      <c r="DT8" s="29">
        <f t="shared" si="659"/>
        <v>0</v>
      </c>
      <c r="DU8" s="29">
        <f t="shared" si="659"/>
        <v>0</v>
      </c>
      <c r="DV8" s="29">
        <f t="shared" si="659"/>
        <v>0</v>
      </c>
      <c r="DW8" s="29">
        <f t="shared" si="659"/>
        <v>0</v>
      </c>
      <c r="DX8" s="29">
        <f t="shared" si="659"/>
        <v>0</v>
      </c>
      <c r="DY8" s="29">
        <f t="shared" si="659"/>
        <v>0</v>
      </c>
      <c r="DZ8" s="29">
        <f t="shared" si="659"/>
        <v>0</v>
      </c>
      <c r="EA8" s="29">
        <f t="shared" si="659"/>
        <v>0</v>
      </c>
      <c r="EB8" s="29">
        <f t="shared" si="659"/>
        <v>0</v>
      </c>
      <c r="EC8" s="29">
        <f t="shared" si="659"/>
        <v>0</v>
      </c>
      <c r="ED8" s="29">
        <f t="shared" si="659"/>
        <v>0</v>
      </c>
      <c r="EE8" s="29">
        <f t="shared" si="659"/>
        <v>0</v>
      </c>
      <c r="EF8" s="29">
        <f t="shared" si="659"/>
        <v>0</v>
      </c>
      <c r="EG8" s="29">
        <f t="shared" si="659"/>
        <v>0</v>
      </c>
      <c r="EH8" s="29">
        <f t="shared" si="659"/>
        <v>0</v>
      </c>
      <c r="EI8" s="29">
        <f t="shared" si="659"/>
        <v>0</v>
      </c>
      <c r="EJ8" s="29">
        <f t="shared" si="659"/>
        <v>0</v>
      </c>
      <c r="EK8" s="29">
        <f t="shared" si="659"/>
        <v>0</v>
      </c>
      <c r="EL8" s="29">
        <f t="shared" si="659"/>
        <v>0</v>
      </c>
      <c r="EM8" s="29">
        <f t="shared" si="659"/>
        <v>0</v>
      </c>
      <c r="EN8" s="29">
        <f t="shared" si="659"/>
        <v>0</v>
      </c>
      <c r="EO8" s="29">
        <f t="shared" si="659"/>
        <v>0</v>
      </c>
      <c r="EP8" s="29">
        <f t="shared" si="659"/>
        <v>0</v>
      </c>
      <c r="EQ8" s="29">
        <f t="shared" si="659"/>
        <v>0</v>
      </c>
      <c r="ER8" s="29">
        <f t="shared" ref="ER8:HC10" si="660">IF(AND($J8&lt;=ER$3, $K8&gt;=ER$3),1,0)</f>
        <v>0</v>
      </c>
      <c r="ES8" s="29">
        <f t="shared" si="660"/>
        <v>0</v>
      </c>
      <c r="ET8" s="29">
        <f t="shared" si="660"/>
        <v>0</v>
      </c>
      <c r="EU8" s="29">
        <f t="shared" si="660"/>
        <v>0</v>
      </c>
      <c r="EV8" s="29">
        <f t="shared" si="660"/>
        <v>0</v>
      </c>
      <c r="EW8" s="29">
        <f t="shared" si="660"/>
        <v>0</v>
      </c>
      <c r="EX8" s="29">
        <f t="shared" si="660"/>
        <v>0</v>
      </c>
      <c r="EY8" s="29">
        <f t="shared" si="660"/>
        <v>0</v>
      </c>
      <c r="EZ8" s="29">
        <f t="shared" si="660"/>
        <v>0</v>
      </c>
      <c r="FA8" s="29">
        <f t="shared" si="660"/>
        <v>0</v>
      </c>
      <c r="FB8" s="29">
        <f t="shared" si="660"/>
        <v>0</v>
      </c>
      <c r="FC8" s="29">
        <f t="shared" si="660"/>
        <v>0</v>
      </c>
      <c r="FD8" s="29">
        <f t="shared" si="660"/>
        <v>0</v>
      </c>
      <c r="FE8" s="29">
        <f t="shared" si="660"/>
        <v>0</v>
      </c>
      <c r="FF8" s="29">
        <f t="shared" si="660"/>
        <v>0</v>
      </c>
      <c r="FG8" s="29">
        <f t="shared" si="660"/>
        <v>0</v>
      </c>
      <c r="FH8" s="29">
        <f t="shared" si="660"/>
        <v>0</v>
      </c>
      <c r="FI8" s="29">
        <f t="shared" si="660"/>
        <v>0</v>
      </c>
      <c r="FJ8" s="29">
        <f t="shared" si="660"/>
        <v>0</v>
      </c>
      <c r="FK8" s="29">
        <f t="shared" si="660"/>
        <v>0</v>
      </c>
      <c r="FL8" s="29">
        <f t="shared" si="660"/>
        <v>0</v>
      </c>
      <c r="FM8" s="29">
        <f t="shared" si="660"/>
        <v>0</v>
      </c>
      <c r="FN8" s="29">
        <f t="shared" si="660"/>
        <v>0</v>
      </c>
      <c r="FO8" s="29">
        <f t="shared" si="660"/>
        <v>0</v>
      </c>
      <c r="FP8" s="29">
        <f t="shared" si="660"/>
        <v>0</v>
      </c>
      <c r="FQ8" s="29">
        <f t="shared" si="660"/>
        <v>0</v>
      </c>
      <c r="FR8" s="29">
        <f t="shared" si="660"/>
        <v>0</v>
      </c>
      <c r="FS8" s="29">
        <f t="shared" si="660"/>
        <v>0</v>
      </c>
      <c r="FT8" s="29">
        <f t="shared" si="660"/>
        <v>0</v>
      </c>
      <c r="FU8" s="29">
        <f t="shared" si="660"/>
        <v>0</v>
      </c>
      <c r="FV8" s="29">
        <f t="shared" si="660"/>
        <v>0</v>
      </c>
      <c r="FW8" s="29">
        <f t="shared" si="660"/>
        <v>0</v>
      </c>
      <c r="FX8" s="29">
        <f t="shared" si="660"/>
        <v>0</v>
      </c>
      <c r="FY8" s="29">
        <f t="shared" si="660"/>
        <v>0</v>
      </c>
      <c r="FZ8" s="29">
        <f t="shared" si="660"/>
        <v>0</v>
      </c>
      <c r="GA8" s="29">
        <f t="shared" si="660"/>
        <v>0</v>
      </c>
      <c r="GB8" s="29">
        <f t="shared" si="660"/>
        <v>0</v>
      </c>
      <c r="GC8" s="29">
        <f t="shared" si="660"/>
        <v>0</v>
      </c>
      <c r="GD8" s="29">
        <f t="shared" si="660"/>
        <v>0</v>
      </c>
      <c r="GE8" s="29">
        <f t="shared" si="660"/>
        <v>0</v>
      </c>
      <c r="GF8" s="29">
        <f t="shared" si="660"/>
        <v>0</v>
      </c>
      <c r="GG8" s="29">
        <f t="shared" si="660"/>
        <v>0</v>
      </c>
      <c r="GH8" s="29">
        <f t="shared" si="660"/>
        <v>0</v>
      </c>
      <c r="GI8" s="29">
        <f t="shared" si="660"/>
        <v>0</v>
      </c>
      <c r="GJ8" s="29">
        <f t="shared" si="660"/>
        <v>0</v>
      </c>
      <c r="GK8" s="29">
        <f t="shared" si="660"/>
        <v>0</v>
      </c>
      <c r="GL8" s="29">
        <f t="shared" si="660"/>
        <v>0</v>
      </c>
      <c r="GM8" s="29">
        <f t="shared" si="660"/>
        <v>0</v>
      </c>
      <c r="GN8" s="29">
        <f t="shared" si="660"/>
        <v>0</v>
      </c>
      <c r="GO8" s="29">
        <f t="shared" si="660"/>
        <v>0</v>
      </c>
      <c r="GP8" s="29">
        <f t="shared" si="660"/>
        <v>0</v>
      </c>
      <c r="GQ8" s="29">
        <f t="shared" si="660"/>
        <v>0</v>
      </c>
      <c r="GR8" s="29">
        <f t="shared" si="660"/>
        <v>0</v>
      </c>
      <c r="GS8" s="29">
        <f t="shared" si="660"/>
        <v>0</v>
      </c>
      <c r="GT8" s="29">
        <f t="shared" si="660"/>
        <v>0</v>
      </c>
      <c r="GU8" s="29">
        <f t="shared" si="660"/>
        <v>0</v>
      </c>
      <c r="GV8" s="29">
        <f t="shared" si="660"/>
        <v>0</v>
      </c>
      <c r="GW8" s="29">
        <f t="shared" si="660"/>
        <v>0</v>
      </c>
      <c r="GX8" s="29">
        <f t="shared" si="660"/>
        <v>0</v>
      </c>
      <c r="GY8" s="29">
        <f t="shared" si="660"/>
        <v>0</v>
      </c>
      <c r="GZ8" s="29">
        <f t="shared" si="660"/>
        <v>0</v>
      </c>
      <c r="HA8" s="29">
        <f t="shared" si="660"/>
        <v>0</v>
      </c>
      <c r="HB8" s="29">
        <f t="shared" si="660"/>
        <v>0</v>
      </c>
      <c r="HC8" s="29">
        <f t="shared" si="660"/>
        <v>0</v>
      </c>
      <c r="HD8" s="29">
        <f t="shared" ref="HD8:JO10" si="661">IF(AND($J8&lt;=HD$3, $K8&gt;=HD$3),1,0)</f>
        <v>0</v>
      </c>
      <c r="HE8" s="29">
        <f t="shared" si="661"/>
        <v>0</v>
      </c>
      <c r="HF8" s="29">
        <f t="shared" si="661"/>
        <v>0</v>
      </c>
      <c r="HG8" s="29">
        <f t="shared" si="661"/>
        <v>0</v>
      </c>
      <c r="HH8" s="29">
        <f t="shared" si="661"/>
        <v>0</v>
      </c>
      <c r="HI8" s="29">
        <f t="shared" si="661"/>
        <v>0</v>
      </c>
      <c r="HJ8" s="29">
        <f t="shared" si="661"/>
        <v>0</v>
      </c>
      <c r="HK8" s="29">
        <f t="shared" si="661"/>
        <v>0</v>
      </c>
      <c r="HL8" s="29">
        <f t="shared" si="661"/>
        <v>0</v>
      </c>
      <c r="HM8" s="29">
        <f t="shared" si="661"/>
        <v>0</v>
      </c>
      <c r="HN8" s="29">
        <f t="shared" si="661"/>
        <v>0</v>
      </c>
      <c r="HO8" s="29">
        <f t="shared" si="661"/>
        <v>0</v>
      </c>
      <c r="HP8" s="29">
        <f t="shared" si="661"/>
        <v>0</v>
      </c>
      <c r="HQ8" s="29">
        <f t="shared" si="661"/>
        <v>0</v>
      </c>
      <c r="HR8" s="29">
        <f t="shared" si="661"/>
        <v>0</v>
      </c>
      <c r="HS8" s="29">
        <f t="shared" si="661"/>
        <v>0</v>
      </c>
      <c r="HT8" s="29">
        <f t="shared" si="661"/>
        <v>0</v>
      </c>
      <c r="HU8" s="29">
        <f t="shared" si="661"/>
        <v>0</v>
      </c>
      <c r="HV8" s="29">
        <f t="shared" si="661"/>
        <v>0</v>
      </c>
      <c r="HW8" s="29">
        <f t="shared" si="661"/>
        <v>0</v>
      </c>
      <c r="HX8" s="29">
        <f t="shared" si="661"/>
        <v>0</v>
      </c>
      <c r="HY8" s="29">
        <f t="shared" si="661"/>
        <v>0</v>
      </c>
      <c r="HZ8" s="29">
        <f t="shared" si="661"/>
        <v>0</v>
      </c>
      <c r="IA8" s="29">
        <f t="shared" si="661"/>
        <v>0</v>
      </c>
      <c r="IB8" s="29">
        <f t="shared" si="661"/>
        <v>0</v>
      </c>
      <c r="IC8" s="29">
        <f t="shared" si="661"/>
        <v>0</v>
      </c>
      <c r="ID8" s="29">
        <f t="shared" si="661"/>
        <v>0</v>
      </c>
      <c r="IE8" s="29">
        <f t="shared" si="661"/>
        <v>0</v>
      </c>
      <c r="IF8" s="29">
        <f t="shared" si="661"/>
        <v>0</v>
      </c>
      <c r="IG8" s="29">
        <f t="shared" si="661"/>
        <v>0</v>
      </c>
      <c r="IH8" s="29">
        <f t="shared" si="661"/>
        <v>0</v>
      </c>
      <c r="II8" s="29">
        <f t="shared" si="661"/>
        <v>0</v>
      </c>
      <c r="IJ8" s="29">
        <f t="shared" si="661"/>
        <v>0</v>
      </c>
      <c r="IK8" s="29">
        <f t="shared" si="661"/>
        <v>0</v>
      </c>
      <c r="IL8" s="29">
        <f t="shared" si="661"/>
        <v>0</v>
      </c>
      <c r="IM8" s="29">
        <f t="shared" si="661"/>
        <v>0</v>
      </c>
      <c r="IN8" s="29">
        <f t="shared" si="661"/>
        <v>0</v>
      </c>
      <c r="IO8" s="29">
        <f t="shared" si="661"/>
        <v>0</v>
      </c>
      <c r="IP8" s="29">
        <f t="shared" si="661"/>
        <v>0</v>
      </c>
      <c r="IQ8" s="29">
        <f t="shared" si="661"/>
        <v>0</v>
      </c>
      <c r="IR8" s="29">
        <f t="shared" si="661"/>
        <v>0</v>
      </c>
      <c r="IS8" s="29">
        <f t="shared" si="661"/>
        <v>0</v>
      </c>
      <c r="IT8" s="29">
        <f t="shared" si="661"/>
        <v>0</v>
      </c>
      <c r="IU8" s="29">
        <f t="shared" si="661"/>
        <v>0</v>
      </c>
      <c r="IV8" s="29">
        <f t="shared" si="661"/>
        <v>0</v>
      </c>
      <c r="IW8" s="29">
        <f t="shared" si="661"/>
        <v>0</v>
      </c>
      <c r="IX8" s="29">
        <f t="shared" si="661"/>
        <v>0</v>
      </c>
      <c r="IY8" s="29">
        <f t="shared" si="661"/>
        <v>0</v>
      </c>
      <c r="IZ8" s="29">
        <f t="shared" si="661"/>
        <v>0</v>
      </c>
      <c r="JA8" s="29">
        <f t="shared" si="661"/>
        <v>0</v>
      </c>
      <c r="JB8" s="29">
        <f t="shared" si="661"/>
        <v>0</v>
      </c>
      <c r="JC8" s="29">
        <f t="shared" si="661"/>
        <v>0</v>
      </c>
      <c r="JD8" s="29">
        <f t="shared" si="661"/>
        <v>0</v>
      </c>
      <c r="JE8" s="29">
        <f t="shared" si="661"/>
        <v>0</v>
      </c>
      <c r="JF8" s="29">
        <f t="shared" si="661"/>
        <v>0</v>
      </c>
      <c r="JG8" s="29">
        <f t="shared" si="661"/>
        <v>0</v>
      </c>
      <c r="JH8" s="29">
        <f t="shared" si="661"/>
        <v>0</v>
      </c>
      <c r="JI8" s="29">
        <f t="shared" si="661"/>
        <v>0</v>
      </c>
      <c r="JJ8" s="29">
        <f t="shared" si="661"/>
        <v>0</v>
      </c>
      <c r="JK8" s="29">
        <f t="shared" si="661"/>
        <v>0</v>
      </c>
      <c r="JL8" s="29">
        <f t="shared" si="661"/>
        <v>0</v>
      </c>
      <c r="JM8" s="29">
        <f t="shared" si="661"/>
        <v>0</v>
      </c>
      <c r="JN8" s="29">
        <f t="shared" si="661"/>
        <v>0</v>
      </c>
      <c r="JO8" s="29">
        <f t="shared" si="661"/>
        <v>0</v>
      </c>
      <c r="JP8" s="29">
        <f t="shared" ref="JP8:MA10" si="662">IF(AND($J8&lt;=JP$3, $K8&gt;=JP$3),1,0)</f>
        <v>0</v>
      </c>
      <c r="JQ8" s="29">
        <f t="shared" si="662"/>
        <v>0</v>
      </c>
      <c r="JR8" s="29">
        <f t="shared" si="662"/>
        <v>0</v>
      </c>
      <c r="JS8" s="29">
        <f t="shared" si="662"/>
        <v>0</v>
      </c>
      <c r="JT8" s="29">
        <f t="shared" si="662"/>
        <v>0</v>
      </c>
      <c r="JU8" s="29">
        <f t="shared" si="662"/>
        <v>0</v>
      </c>
      <c r="JV8" s="29">
        <f t="shared" si="662"/>
        <v>0</v>
      </c>
      <c r="JW8" s="29">
        <f t="shared" si="662"/>
        <v>0</v>
      </c>
      <c r="JX8" s="29">
        <f t="shared" si="662"/>
        <v>0</v>
      </c>
      <c r="JY8" s="29">
        <f t="shared" si="662"/>
        <v>0</v>
      </c>
      <c r="JZ8" s="29">
        <f t="shared" si="662"/>
        <v>0</v>
      </c>
      <c r="KA8" s="29">
        <f t="shared" si="662"/>
        <v>0</v>
      </c>
      <c r="KB8" s="29">
        <f t="shared" si="662"/>
        <v>0</v>
      </c>
      <c r="KC8" s="29">
        <f t="shared" si="662"/>
        <v>0</v>
      </c>
      <c r="KD8" s="29">
        <f t="shared" si="662"/>
        <v>0</v>
      </c>
      <c r="KE8" s="29">
        <f t="shared" si="662"/>
        <v>0</v>
      </c>
      <c r="KF8" s="29">
        <f t="shared" si="662"/>
        <v>0</v>
      </c>
      <c r="KG8" s="29">
        <f t="shared" si="662"/>
        <v>0</v>
      </c>
      <c r="KH8" s="29">
        <f t="shared" si="662"/>
        <v>0</v>
      </c>
      <c r="KI8" s="29">
        <f t="shared" si="662"/>
        <v>0</v>
      </c>
      <c r="KJ8" s="29">
        <f t="shared" si="662"/>
        <v>0</v>
      </c>
      <c r="KK8" s="29">
        <f t="shared" si="662"/>
        <v>0</v>
      </c>
      <c r="KL8" s="29">
        <f t="shared" si="662"/>
        <v>0</v>
      </c>
      <c r="KM8" s="29">
        <f t="shared" si="662"/>
        <v>0</v>
      </c>
      <c r="KN8" s="29">
        <f t="shared" si="662"/>
        <v>0</v>
      </c>
      <c r="KO8" s="29">
        <f t="shared" si="662"/>
        <v>0</v>
      </c>
      <c r="KP8" s="29">
        <f t="shared" si="662"/>
        <v>0</v>
      </c>
      <c r="KQ8" s="29">
        <f t="shared" si="662"/>
        <v>0</v>
      </c>
      <c r="KR8" s="29">
        <f t="shared" si="662"/>
        <v>0</v>
      </c>
      <c r="KS8" s="29">
        <f t="shared" si="662"/>
        <v>0</v>
      </c>
      <c r="KT8" s="29">
        <f t="shared" si="662"/>
        <v>0</v>
      </c>
      <c r="KU8" s="29">
        <f t="shared" si="662"/>
        <v>0</v>
      </c>
      <c r="KV8" s="29">
        <f t="shared" si="662"/>
        <v>0</v>
      </c>
      <c r="KW8" s="29">
        <f t="shared" si="662"/>
        <v>0</v>
      </c>
      <c r="KX8" s="29">
        <f t="shared" si="662"/>
        <v>0</v>
      </c>
      <c r="KY8" s="29">
        <f t="shared" si="662"/>
        <v>0</v>
      </c>
      <c r="KZ8" s="29">
        <f t="shared" si="662"/>
        <v>0</v>
      </c>
      <c r="LA8" s="29">
        <f t="shared" si="662"/>
        <v>0</v>
      </c>
      <c r="LB8" s="29">
        <f t="shared" si="662"/>
        <v>0</v>
      </c>
      <c r="LC8" s="29">
        <f t="shared" si="662"/>
        <v>0</v>
      </c>
      <c r="LD8" s="29">
        <f t="shared" si="662"/>
        <v>0</v>
      </c>
      <c r="LE8" s="29">
        <f t="shared" si="662"/>
        <v>0</v>
      </c>
      <c r="LF8" s="29">
        <f t="shared" si="662"/>
        <v>0</v>
      </c>
      <c r="LG8" s="29">
        <f t="shared" si="662"/>
        <v>0</v>
      </c>
      <c r="LH8" s="29">
        <f t="shared" si="662"/>
        <v>0</v>
      </c>
      <c r="LI8" s="29">
        <f t="shared" si="662"/>
        <v>0</v>
      </c>
      <c r="LJ8" s="29">
        <f t="shared" si="662"/>
        <v>0</v>
      </c>
      <c r="LK8" s="29">
        <f t="shared" si="662"/>
        <v>0</v>
      </c>
      <c r="LL8" s="29">
        <f t="shared" si="662"/>
        <v>0</v>
      </c>
      <c r="LM8" s="29">
        <f t="shared" si="662"/>
        <v>0</v>
      </c>
      <c r="LN8" s="29">
        <f t="shared" si="662"/>
        <v>0</v>
      </c>
      <c r="LO8" s="29">
        <f t="shared" si="662"/>
        <v>0</v>
      </c>
      <c r="LP8" s="29">
        <f t="shared" si="662"/>
        <v>0</v>
      </c>
      <c r="LQ8" s="29">
        <f t="shared" si="662"/>
        <v>0</v>
      </c>
      <c r="LR8" s="29">
        <f t="shared" si="662"/>
        <v>0</v>
      </c>
      <c r="LS8" s="29">
        <f t="shared" si="662"/>
        <v>0</v>
      </c>
      <c r="LT8" s="29">
        <f t="shared" si="662"/>
        <v>0</v>
      </c>
      <c r="LU8" s="29">
        <f t="shared" si="662"/>
        <v>0</v>
      </c>
      <c r="LV8" s="29">
        <f t="shared" si="662"/>
        <v>0</v>
      </c>
      <c r="LW8" s="29">
        <f t="shared" si="662"/>
        <v>0</v>
      </c>
      <c r="LX8" s="29">
        <f t="shared" si="662"/>
        <v>0</v>
      </c>
      <c r="LY8" s="29">
        <f t="shared" si="662"/>
        <v>0</v>
      </c>
      <c r="LZ8" s="29">
        <f t="shared" si="662"/>
        <v>0</v>
      </c>
      <c r="MA8" s="29">
        <f t="shared" si="662"/>
        <v>0</v>
      </c>
      <c r="MB8" s="29">
        <f t="shared" ref="MB8:OM10" si="663">IF(AND($J8&lt;=MB$3, $K8&gt;=MB$3),1,0)</f>
        <v>0</v>
      </c>
      <c r="MC8" s="29">
        <f t="shared" si="663"/>
        <v>0</v>
      </c>
      <c r="MD8" s="29">
        <f t="shared" si="663"/>
        <v>0</v>
      </c>
      <c r="ME8" s="29">
        <f t="shared" si="663"/>
        <v>0</v>
      </c>
      <c r="MF8" s="29">
        <f t="shared" si="663"/>
        <v>0</v>
      </c>
      <c r="MG8" s="29">
        <f t="shared" si="663"/>
        <v>0</v>
      </c>
      <c r="MH8" s="29">
        <f t="shared" si="663"/>
        <v>0</v>
      </c>
      <c r="MI8" s="29">
        <f t="shared" si="663"/>
        <v>0</v>
      </c>
      <c r="MJ8" s="29">
        <f t="shared" si="663"/>
        <v>0</v>
      </c>
      <c r="MK8" s="29">
        <f t="shared" si="663"/>
        <v>0</v>
      </c>
      <c r="ML8" s="29">
        <f t="shared" si="663"/>
        <v>0</v>
      </c>
      <c r="MM8" s="29">
        <f t="shared" si="663"/>
        <v>0</v>
      </c>
      <c r="MN8" s="29">
        <f t="shared" si="663"/>
        <v>0</v>
      </c>
      <c r="MO8" s="29">
        <f t="shared" si="663"/>
        <v>0</v>
      </c>
      <c r="MP8" s="29">
        <f t="shared" si="663"/>
        <v>0</v>
      </c>
      <c r="MQ8" s="29">
        <f t="shared" si="663"/>
        <v>0</v>
      </c>
      <c r="MR8" s="29">
        <f t="shared" si="663"/>
        <v>0</v>
      </c>
      <c r="MS8" s="29">
        <f t="shared" si="663"/>
        <v>0</v>
      </c>
      <c r="MT8" s="29">
        <f t="shared" si="663"/>
        <v>0</v>
      </c>
      <c r="MU8" s="29">
        <f t="shared" si="663"/>
        <v>0</v>
      </c>
      <c r="MV8" s="29">
        <f t="shared" si="663"/>
        <v>0</v>
      </c>
      <c r="MW8" s="29">
        <f t="shared" si="663"/>
        <v>0</v>
      </c>
      <c r="MX8" s="29">
        <f t="shared" si="663"/>
        <v>0</v>
      </c>
      <c r="MY8" s="29">
        <f t="shared" si="663"/>
        <v>0</v>
      </c>
      <c r="MZ8" s="29">
        <f t="shared" si="663"/>
        <v>0</v>
      </c>
      <c r="NA8" s="29">
        <f t="shared" si="663"/>
        <v>0</v>
      </c>
      <c r="NB8" s="29">
        <f t="shared" si="663"/>
        <v>0</v>
      </c>
      <c r="NC8" s="29">
        <f t="shared" si="663"/>
        <v>0</v>
      </c>
      <c r="ND8" s="29">
        <f t="shared" si="663"/>
        <v>0</v>
      </c>
      <c r="NE8" s="29">
        <f t="shared" si="663"/>
        <v>0</v>
      </c>
      <c r="NF8" s="29">
        <f t="shared" si="663"/>
        <v>0</v>
      </c>
      <c r="NG8" s="29">
        <f t="shared" si="663"/>
        <v>0</v>
      </c>
      <c r="NH8" s="29">
        <f t="shared" si="663"/>
        <v>0</v>
      </c>
      <c r="NI8" s="29">
        <f t="shared" si="663"/>
        <v>0</v>
      </c>
      <c r="NJ8" s="29">
        <f t="shared" si="663"/>
        <v>0</v>
      </c>
      <c r="NK8" s="29">
        <f t="shared" si="663"/>
        <v>0</v>
      </c>
      <c r="NL8" s="29">
        <f t="shared" si="663"/>
        <v>0</v>
      </c>
      <c r="NM8" s="29">
        <f t="shared" si="663"/>
        <v>0</v>
      </c>
      <c r="NN8" s="29">
        <f t="shared" si="663"/>
        <v>0</v>
      </c>
      <c r="NO8" s="29">
        <f t="shared" si="663"/>
        <v>0</v>
      </c>
      <c r="NP8" s="29">
        <f t="shared" si="663"/>
        <v>0</v>
      </c>
      <c r="NQ8" s="29">
        <f t="shared" si="663"/>
        <v>0</v>
      </c>
      <c r="NR8" s="29">
        <f t="shared" si="663"/>
        <v>0</v>
      </c>
      <c r="NS8" s="29">
        <f t="shared" si="663"/>
        <v>0</v>
      </c>
      <c r="NT8" s="29">
        <f t="shared" si="663"/>
        <v>0</v>
      </c>
      <c r="NU8" s="29">
        <f t="shared" si="663"/>
        <v>0</v>
      </c>
      <c r="NV8" s="29">
        <f t="shared" si="663"/>
        <v>0</v>
      </c>
      <c r="NW8" s="29">
        <f t="shared" si="663"/>
        <v>0</v>
      </c>
      <c r="NX8" s="29">
        <f t="shared" si="663"/>
        <v>0</v>
      </c>
      <c r="NY8" s="29">
        <f t="shared" si="663"/>
        <v>0</v>
      </c>
      <c r="NZ8" s="29">
        <f t="shared" si="663"/>
        <v>0</v>
      </c>
      <c r="OA8" s="29">
        <f t="shared" si="663"/>
        <v>0</v>
      </c>
      <c r="OB8" s="29">
        <f t="shared" si="663"/>
        <v>0</v>
      </c>
      <c r="OC8" s="29">
        <f t="shared" si="663"/>
        <v>0</v>
      </c>
      <c r="OD8" s="29">
        <f t="shared" si="663"/>
        <v>0</v>
      </c>
      <c r="OE8" s="29">
        <f t="shared" si="663"/>
        <v>0</v>
      </c>
      <c r="OF8" s="29">
        <f t="shared" si="663"/>
        <v>0</v>
      </c>
      <c r="OG8" s="29">
        <f t="shared" si="663"/>
        <v>0</v>
      </c>
      <c r="OH8" s="29">
        <f t="shared" si="663"/>
        <v>0</v>
      </c>
      <c r="OI8" s="29">
        <f t="shared" si="663"/>
        <v>0</v>
      </c>
      <c r="OJ8" s="29">
        <f t="shared" si="663"/>
        <v>0</v>
      </c>
      <c r="OK8" s="29">
        <f t="shared" si="663"/>
        <v>0</v>
      </c>
      <c r="OL8" s="29">
        <f t="shared" si="663"/>
        <v>0</v>
      </c>
      <c r="OM8" s="29">
        <f t="shared" si="663"/>
        <v>0</v>
      </c>
      <c r="ON8" s="29">
        <f t="shared" ref="ON8:QY10" si="664">IF(AND($J8&lt;=ON$3, $K8&gt;=ON$3),1,0)</f>
        <v>0</v>
      </c>
      <c r="OO8" s="29">
        <f t="shared" si="664"/>
        <v>0</v>
      </c>
      <c r="OP8" s="29">
        <f t="shared" si="664"/>
        <v>0</v>
      </c>
      <c r="OQ8" s="29">
        <f t="shared" si="664"/>
        <v>0</v>
      </c>
      <c r="OR8" s="29">
        <f t="shared" si="664"/>
        <v>0</v>
      </c>
      <c r="OS8" s="29">
        <f t="shared" si="664"/>
        <v>0</v>
      </c>
      <c r="OT8" s="29">
        <f t="shared" si="664"/>
        <v>0</v>
      </c>
      <c r="OU8" s="29">
        <f t="shared" si="664"/>
        <v>0</v>
      </c>
      <c r="OV8" s="29">
        <f t="shared" si="664"/>
        <v>0</v>
      </c>
      <c r="OW8" s="29">
        <f t="shared" si="664"/>
        <v>0</v>
      </c>
      <c r="OX8" s="29">
        <f t="shared" si="664"/>
        <v>0</v>
      </c>
      <c r="OY8" s="29">
        <f t="shared" si="664"/>
        <v>0</v>
      </c>
      <c r="OZ8" s="29">
        <f t="shared" si="664"/>
        <v>0</v>
      </c>
      <c r="PA8" s="29">
        <f t="shared" si="664"/>
        <v>0</v>
      </c>
      <c r="PB8" s="29">
        <f t="shared" si="664"/>
        <v>0</v>
      </c>
      <c r="PC8" s="29">
        <f t="shared" si="664"/>
        <v>0</v>
      </c>
      <c r="PD8" s="29">
        <f t="shared" si="664"/>
        <v>0</v>
      </c>
      <c r="PE8" s="29">
        <f t="shared" si="664"/>
        <v>0</v>
      </c>
      <c r="PF8" s="29">
        <f t="shared" si="664"/>
        <v>0</v>
      </c>
      <c r="PG8" s="29">
        <f t="shared" si="664"/>
        <v>0</v>
      </c>
      <c r="PH8" s="29">
        <f t="shared" si="664"/>
        <v>0</v>
      </c>
      <c r="PI8" s="29">
        <f t="shared" si="664"/>
        <v>0</v>
      </c>
      <c r="PJ8" s="29">
        <f t="shared" si="664"/>
        <v>0</v>
      </c>
      <c r="PK8" s="29">
        <f t="shared" si="664"/>
        <v>0</v>
      </c>
      <c r="PL8" s="29">
        <f t="shared" si="664"/>
        <v>0</v>
      </c>
      <c r="PM8" s="29">
        <f t="shared" si="664"/>
        <v>0</v>
      </c>
      <c r="PN8" s="29">
        <f t="shared" si="664"/>
        <v>0</v>
      </c>
      <c r="PO8" s="29">
        <f t="shared" si="664"/>
        <v>0</v>
      </c>
      <c r="PP8" s="29">
        <f t="shared" si="664"/>
        <v>0</v>
      </c>
      <c r="PQ8" s="29">
        <f t="shared" si="664"/>
        <v>0</v>
      </c>
      <c r="PR8" s="29">
        <f t="shared" si="664"/>
        <v>0</v>
      </c>
      <c r="PS8" s="29">
        <f t="shared" si="664"/>
        <v>0</v>
      </c>
      <c r="PT8" s="29">
        <f t="shared" si="664"/>
        <v>0</v>
      </c>
      <c r="PU8" s="29">
        <f t="shared" si="664"/>
        <v>0</v>
      </c>
      <c r="PV8" s="29">
        <f t="shared" si="664"/>
        <v>0</v>
      </c>
      <c r="PW8" s="29">
        <f t="shared" si="664"/>
        <v>0</v>
      </c>
      <c r="PX8" s="29">
        <f t="shared" si="664"/>
        <v>0</v>
      </c>
      <c r="PY8" s="29">
        <f t="shared" si="664"/>
        <v>0</v>
      </c>
      <c r="PZ8" s="29">
        <f t="shared" si="664"/>
        <v>0</v>
      </c>
      <c r="QA8" s="29">
        <f t="shared" si="664"/>
        <v>0</v>
      </c>
      <c r="QB8" s="29">
        <f t="shared" si="664"/>
        <v>0</v>
      </c>
      <c r="QC8" s="29">
        <f t="shared" si="664"/>
        <v>0</v>
      </c>
      <c r="QD8" s="29">
        <f t="shared" si="664"/>
        <v>0</v>
      </c>
      <c r="QE8" s="29">
        <f t="shared" si="664"/>
        <v>0</v>
      </c>
      <c r="QF8" s="29">
        <f t="shared" si="664"/>
        <v>0</v>
      </c>
      <c r="QG8" s="29">
        <f t="shared" si="664"/>
        <v>0</v>
      </c>
      <c r="QH8" s="29">
        <f t="shared" si="664"/>
        <v>0</v>
      </c>
      <c r="QI8" s="29">
        <f t="shared" si="664"/>
        <v>0</v>
      </c>
      <c r="QJ8" s="29">
        <f t="shared" si="664"/>
        <v>0</v>
      </c>
      <c r="QK8" s="29">
        <f t="shared" si="664"/>
        <v>0</v>
      </c>
      <c r="QL8" s="29">
        <f t="shared" si="664"/>
        <v>0</v>
      </c>
      <c r="QM8" s="29">
        <f t="shared" si="664"/>
        <v>0</v>
      </c>
      <c r="QN8" s="29">
        <f t="shared" si="664"/>
        <v>0</v>
      </c>
      <c r="QO8" s="29">
        <f t="shared" si="664"/>
        <v>0</v>
      </c>
      <c r="QP8" s="29">
        <f t="shared" si="664"/>
        <v>0</v>
      </c>
      <c r="QQ8" s="29">
        <f t="shared" si="664"/>
        <v>0</v>
      </c>
      <c r="QR8" s="29">
        <f t="shared" si="664"/>
        <v>0</v>
      </c>
      <c r="QS8" s="29">
        <f t="shared" si="664"/>
        <v>0</v>
      </c>
      <c r="QT8" s="29">
        <f t="shared" si="664"/>
        <v>0</v>
      </c>
      <c r="QU8" s="29">
        <f t="shared" si="664"/>
        <v>0</v>
      </c>
      <c r="QV8" s="29">
        <f t="shared" si="664"/>
        <v>0</v>
      </c>
      <c r="QW8" s="29">
        <f t="shared" si="664"/>
        <v>0</v>
      </c>
      <c r="QX8" s="29">
        <f t="shared" si="664"/>
        <v>0</v>
      </c>
      <c r="QY8" s="29">
        <f t="shared" si="664"/>
        <v>0</v>
      </c>
      <c r="QZ8" s="29">
        <f t="shared" ref="QZ8:RO10" si="665">IF(AND($J8&lt;=QZ$3, $K8&gt;=QZ$3),1,0)</f>
        <v>0</v>
      </c>
      <c r="RA8" s="29">
        <f t="shared" si="665"/>
        <v>0</v>
      </c>
      <c r="RB8" s="29">
        <f t="shared" si="665"/>
        <v>0</v>
      </c>
      <c r="RC8" s="29">
        <f t="shared" si="665"/>
        <v>0</v>
      </c>
      <c r="RD8" s="29">
        <f t="shared" si="665"/>
        <v>0</v>
      </c>
      <c r="RE8" s="29">
        <f t="shared" si="665"/>
        <v>0</v>
      </c>
      <c r="RF8" s="29">
        <f t="shared" si="665"/>
        <v>0</v>
      </c>
      <c r="RG8" s="29">
        <f t="shared" si="665"/>
        <v>0</v>
      </c>
      <c r="RH8" s="29">
        <f t="shared" si="665"/>
        <v>0</v>
      </c>
      <c r="RI8" s="29">
        <f t="shared" si="665"/>
        <v>0</v>
      </c>
      <c r="RJ8" s="29">
        <f t="shared" si="665"/>
        <v>0</v>
      </c>
      <c r="RK8" s="29">
        <f t="shared" si="665"/>
        <v>0</v>
      </c>
      <c r="RL8" s="29">
        <f t="shared" si="665"/>
        <v>0</v>
      </c>
      <c r="RM8" s="29">
        <f t="shared" si="665"/>
        <v>0</v>
      </c>
      <c r="RN8" s="29">
        <f t="shared" si="665"/>
        <v>0</v>
      </c>
      <c r="RO8" s="29">
        <f t="shared" si="665"/>
        <v>0</v>
      </c>
      <c r="RP8" s="29">
        <f t="shared" ref="RP8:UA10" si="666">IF(AND($J8&lt;=RP$3, $K8&gt;=RP$3),1,0)</f>
        <v>0</v>
      </c>
      <c r="RQ8" s="29">
        <f t="shared" si="666"/>
        <v>0</v>
      </c>
      <c r="RR8" s="29">
        <f t="shared" si="666"/>
        <v>0</v>
      </c>
      <c r="RS8" s="29">
        <f t="shared" si="666"/>
        <v>0</v>
      </c>
      <c r="RT8" s="29">
        <f t="shared" si="666"/>
        <v>0</v>
      </c>
      <c r="RU8" s="29">
        <f t="shared" si="666"/>
        <v>0</v>
      </c>
      <c r="RV8" s="29">
        <f t="shared" si="666"/>
        <v>0</v>
      </c>
      <c r="RW8" s="29">
        <f t="shared" si="666"/>
        <v>0</v>
      </c>
      <c r="RX8" s="29">
        <f t="shared" si="666"/>
        <v>0</v>
      </c>
      <c r="RY8" s="29">
        <f t="shared" si="666"/>
        <v>0</v>
      </c>
      <c r="RZ8" s="29">
        <f t="shared" si="666"/>
        <v>0</v>
      </c>
      <c r="SA8" s="29">
        <f t="shared" si="666"/>
        <v>0</v>
      </c>
      <c r="SB8" s="29">
        <f t="shared" si="666"/>
        <v>0</v>
      </c>
      <c r="SC8" s="29">
        <f t="shared" si="666"/>
        <v>0</v>
      </c>
      <c r="SD8" s="29">
        <f t="shared" si="666"/>
        <v>0</v>
      </c>
      <c r="SE8" s="29">
        <f t="shared" si="666"/>
        <v>0</v>
      </c>
      <c r="SF8" s="29">
        <f t="shared" si="666"/>
        <v>0</v>
      </c>
      <c r="SG8" s="29">
        <f t="shared" si="666"/>
        <v>0</v>
      </c>
      <c r="SH8" s="29">
        <f t="shared" si="666"/>
        <v>0</v>
      </c>
      <c r="SI8" s="29">
        <f t="shared" si="666"/>
        <v>0</v>
      </c>
      <c r="SJ8" s="29">
        <f t="shared" si="666"/>
        <v>0</v>
      </c>
      <c r="SK8" s="29">
        <f t="shared" si="666"/>
        <v>0</v>
      </c>
      <c r="SL8" s="29">
        <f t="shared" si="666"/>
        <v>0</v>
      </c>
      <c r="SM8" s="29">
        <f t="shared" si="666"/>
        <v>0</v>
      </c>
      <c r="SN8" s="29">
        <f t="shared" si="666"/>
        <v>0</v>
      </c>
      <c r="SO8" s="29">
        <f t="shared" si="666"/>
        <v>0</v>
      </c>
      <c r="SP8" s="29">
        <f t="shared" si="666"/>
        <v>0</v>
      </c>
      <c r="SQ8" s="29">
        <f t="shared" si="666"/>
        <v>0</v>
      </c>
      <c r="SR8" s="29">
        <f t="shared" si="666"/>
        <v>0</v>
      </c>
      <c r="SS8" s="29">
        <f t="shared" si="666"/>
        <v>0</v>
      </c>
      <c r="ST8" s="29">
        <f t="shared" si="666"/>
        <v>0</v>
      </c>
      <c r="SU8" s="29">
        <f t="shared" si="666"/>
        <v>0</v>
      </c>
      <c r="SV8" s="29">
        <f t="shared" si="666"/>
        <v>0</v>
      </c>
      <c r="SW8" s="29">
        <f t="shared" si="666"/>
        <v>0</v>
      </c>
      <c r="SX8" s="29">
        <f t="shared" si="666"/>
        <v>0</v>
      </c>
      <c r="SY8" s="29">
        <f t="shared" si="666"/>
        <v>0</v>
      </c>
      <c r="SZ8" s="29">
        <f t="shared" si="666"/>
        <v>0</v>
      </c>
      <c r="TA8" s="29">
        <f t="shared" si="666"/>
        <v>0</v>
      </c>
      <c r="TB8" s="29">
        <f t="shared" si="666"/>
        <v>0</v>
      </c>
      <c r="TC8" s="29">
        <f t="shared" si="666"/>
        <v>0</v>
      </c>
      <c r="TD8" s="29">
        <f t="shared" si="666"/>
        <v>0</v>
      </c>
      <c r="TE8" s="29">
        <f t="shared" si="666"/>
        <v>0</v>
      </c>
      <c r="TF8" s="29">
        <f t="shared" si="666"/>
        <v>0</v>
      </c>
      <c r="TG8" s="29">
        <f t="shared" si="666"/>
        <v>0</v>
      </c>
      <c r="TH8" s="29">
        <f t="shared" si="666"/>
        <v>0</v>
      </c>
      <c r="TI8" s="29">
        <f t="shared" si="666"/>
        <v>0</v>
      </c>
      <c r="TJ8" s="29">
        <f t="shared" si="666"/>
        <v>0</v>
      </c>
      <c r="TK8" s="29">
        <f t="shared" si="666"/>
        <v>0</v>
      </c>
      <c r="TL8" s="29">
        <f t="shared" si="666"/>
        <v>0</v>
      </c>
      <c r="TM8" s="29">
        <f t="shared" si="666"/>
        <v>0</v>
      </c>
      <c r="TN8" s="29">
        <f t="shared" si="666"/>
        <v>0</v>
      </c>
      <c r="TO8" s="29">
        <f t="shared" si="666"/>
        <v>0</v>
      </c>
      <c r="TP8" s="29">
        <f t="shared" si="666"/>
        <v>0</v>
      </c>
      <c r="TQ8" s="29">
        <f t="shared" si="666"/>
        <v>0</v>
      </c>
      <c r="TR8" s="29">
        <f t="shared" si="666"/>
        <v>0</v>
      </c>
      <c r="TS8" s="29">
        <f t="shared" si="666"/>
        <v>0</v>
      </c>
      <c r="TT8" s="29">
        <f t="shared" si="666"/>
        <v>0</v>
      </c>
      <c r="TU8" s="29">
        <f t="shared" si="666"/>
        <v>0</v>
      </c>
      <c r="TV8" s="29">
        <f t="shared" si="666"/>
        <v>0</v>
      </c>
      <c r="TW8" s="29">
        <f t="shared" si="666"/>
        <v>0</v>
      </c>
      <c r="TX8" s="29">
        <f t="shared" si="666"/>
        <v>0</v>
      </c>
      <c r="TY8" s="29">
        <f t="shared" si="666"/>
        <v>0</v>
      </c>
      <c r="TZ8" s="29">
        <f t="shared" si="666"/>
        <v>0</v>
      </c>
      <c r="UA8" s="29">
        <f t="shared" si="666"/>
        <v>0</v>
      </c>
      <c r="UB8" s="29">
        <f t="shared" ref="UB8:WM10" si="667">IF(AND($J8&lt;=UB$3, $K8&gt;=UB$3),1,0)</f>
        <v>0</v>
      </c>
      <c r="UC8" s="29">
        <f t="shared" si="667"/>
        <v>0</v>
      </c>
      <c r="UD8" s="29">
        <f t="shared" si="667"/>
        <v>0</v>
      </c>
      <c r="UE8" s="29">
        <f t="shared" si="667"/>
        <v>0</v>
      </c>
      <c r="UF8" s="29">
        <f t="shared" si="667"/>
        <v>0</v>
      </c>
      <c r="UG8" s="29">
        <f t="shared" si="667"/>
        <v>0</v>
      </c>
      <c r="UH8" s="29">
        <f t="shared" si="667"/>
        <v>0</v>
      </c>
      <c r="UI8" s="29">
        <f t="shared" si="667"/>
        <v>0</v>
      </c>
      <c r="UJ8" s="29">
        <f t="shared" si="667"/>
        <v>0</v>
      </c>
      <c r="UK8" s="29">
        <f t="shared" si="667"/>
        <v>0</v>
      </c>
      <c r="UL8" s="29">
        <f t="shared" si="667"/>
        <v>0</v>
      </c>
      <c r="UM8" s="29">
        <f t="shared" si="667"/>
        <v>0</v>
      </c>
      <c r="UN8" s="29">
        <f t="shared" si="667"/>
        <v>0</v>
      </c>
      <c r="UO8" s="29">
        <f t="shared" si="667"/>
        <v>0</v>
      </c>
      <c r="UP8" s="29">
        <f t="shared" si="667"/>
        <v>0</v>
      </c>
      <c r="UQ8" s="29">
        <f t="shared" si="667"/>
        <v>0</v>
      </c>
      <c r="UR8" s="29">
        <f t="shared" si="667"/>
        <v>0</v>
      </c>
      <c r="US8" s="29">
        <f t="shared" si="667"/>
        <v>0</v>
      </c>
      <c r="UT8" s="29">
        <f t="shared" si="667"/>
        <v>0</v>
      </c>
      <c r="UU8" s="29">
        <f t="shared" si="667"/>
        <v>0</v>
      </c>
      <c r="UV8" s="29">
        <f t="shared" si="667"/>
        <v>0</v>
      </c>
      <c r="UW8" s="29">
        <f t="shared" si="667"/>
        <v>0</v>
      </c>
      <c r="UX8" s="29">
        <f t="shared" si="667"/>
        <v>0</v>
      </c>
      <c r="UY8" s="29">
        <f t="shared" si="667"/>
        <v>0</v>
      </c>
      <c r="UZ8" s="29">
        <f t="shared" si="667"/>
        <v>0</v>
      </c>
      <c r="VA8" s="29">
        <f t="shared" si="667"/>
        <v>0</v>
      </c>
      <c r="VB8" s="29">
        <f t="shared" si="667"/>
        <v>0</v>
      </c>
      <c r="VC8" s="29">
        <f t="shared" si="667"/>
        <v>0</v>
      </c>
      <c r="VD8" s="29">
        <f t="shared" si="667"/>
        <v>0</v>
      </c>
      <c r="VE8" s="29">
        <f t="shared" si="667"/>
        <v>0</v>
      </c>
      <c r="VF8" s="29">
        <f t="shared" si="667"/>
        <v>0</v>
      </c>
      <c r="VG8" s="29">
        <f t="shared" si="667"/>
        <v>0</v>
      </c>
      <c r="VH8" s="29">
        <f t="shared" si="667"/>
        <v>0</v>
      </c>
      <c r="VI8" s="29">
        <f t="shared" si="667"/>
        <v>0</v>
      </c>
      <c r="VJ8" s="29">
        <f t="shared" si="667"/>
        <v>0</v>
      </c>
      <c r="VK8" s="29">
        <f t="shared" si="667"/>
        <v>0</v>
      </c>
      <c r="VL8" s="29">
        <f t="shared" si="667"/>
        <v>0</v>
      </c>
      <c r="VM8" s="29">
        <f t="shared" si="667"/>
        <v>0</v>
      </c>
      <c r="VN8" s="29">
        <f t="shared" si="667"/>
        <v>0</v>
      </c>
      <c r="VO8" s="29">
        <f t="shared" si="667"/>
        <v>0</v>
      </c>
      <c r="VP8" s="29">
        <f t="shared" si="667"/>
        <v>0</v>
      </c>
      <c r="VQ8" s="29">
        <f t="shared" si="667"/>
        <v>0</v>
      </c>
      <c r="VR8" s="29">
        <f t="shared" si="667"/>
        <v>0</v>
      </c>
      <c r="VS8" s="29">
        <f t="shared" si="667"/>
        <v>0</v>
      </c>
      <c r="VT8" s="29">
        <f t="shared" si="667"/>
        <v>0</v>
      </c>
      <c r="VU8" s="29">
        <f t="shared" si="667"/>
        <v>0</v>
      </c>
      <c r="VV8" s="29">
        <f t="shared" si="667"/>
        <v>0</v>
      </c>
      <c r="VW8" s="29">
        <f t="shared" si="667"/>
        <v>0</v>
      </c>
      <c r="VX8" s="29">
        <f t="shared" si="667"/>
        <v>0</v>
      </c>
      <c r="VY8" s="29">
        <f t="shared" si="667"/>
        <v>0</v>
      </c>
      <c r="VZ8" s="29">
        <f t="shared" si="667"/>
        <v>0</v>
      </c>
      <c r="WA8" s="29">
        <f t="shared" si="667"/>
        <v>0</v>
      </c>
      <c r="WB8" s="29">
        <f t="shared" si="667"/>
        <v>0</v>
      </c>
      <c r="WC8" s="29">
        <f t="shared" si="667"/>
        <v>0</v>
      </c>
      <c r="WD8" s="29">
        <f t="shared" si="667"/>
        <v>0</v>
      </c>
      <c r="WE8" s="29">
        <f t="shared" si="667"/>
        <v>0</v>
      </c>
      <c r="WF8" s="29">
        <f t="shared" si="667"/>
        <v>0</v>
      </c>
      <c r="WG8" s="29">
        <f t="shared" si="667"/>
        <v>0</v>
      </c>
      <c r="WH8" s="29">
        <f t="shared" si="667"/>
        <v>0</v>
      </c>
      <c r="WI8" s="29">
        <f t="shared" si="667"/>
        <v>0</v>
      </c>
      <c r="WJ8" s="29">
        <f t="shared" si="667"/>
        <v>0</v>
      </c>
      <c r="WK8" s="29">
        <f t="shared" si="667"/>
        <v>0</v>
      </c>
      <c r="WL8" s="29">
        <f t="shared" si="667"/>
        <v>0</v>
      </c>
      <c r="WM8" s="29">
        <f t="shared" si="667"/>
        <v>0</v>
      </c>
      <c r="WN8" s="29">
        <f t="shared" ref="WN8:YY10" si="668">IF(AND($J8&lt;=WN$3, $K8&gt;=WN$3),1,0)</f>
        <v>0</v>
      </c>
      <c r="WO8" s="29">
        <f t="shared" si="668"/>
        <v>0</v>
      </c>
      <c r="WP8" s="29">
        <f t="shared" si="668"/>
        <v>0</v>
      </c>
      <c r="WQ8" s="29">
        <f t="shared" si="668"/>
        <v>0</v>
      </c>
      <c r="WR8" s="29">
        <f t="shared" si="668"/>
        <v>0</v>
      </c>
      <c r="WS8" s="29">
        <f t="shared" si="668"/>
        <v>0</v>
      </c>
      <c r="WT8" s="29">
        <f t="shared" si="668"/>
        <v>0</v>
      </c>
      <c r="WU8" s="29">
        <f t="shared" si="668"/>
        <v>0</v>
      </c>
      <c r="WV8" s="29">
        <f t="shared" si="668"/>
        <v>0</v>
      </c>
      <c r="WW8" s="29">
        <f t="shared" si="668"/>
        <v>0</v>
      </c>
      <c r="WX8" s="29">
        <f t="shared" si="668"/>
        <v>0</v>
      </c>
      <c r="WY8" s="29">
        <f t="shared" si="668"/>
        <v>0</v>
      </c>
      <c r="WZ8" s="29">
        <f t="shared" si="668"/>
        <v>0</v>
      </c>
      <c r="XA8" s="29">
        <f t="shared" si="668"/>
        <v>0</v>
      </c>
      <c r="XB8" s="29">
        <f t="shared" si="668"/>
        <v>0</v>
      </c>
      <c r="XC8" s="29">
        <f t="shared" si="668"/>
        <v>0</v>
      </c>
      <c r="XD8" s="29">
        <f t="shared" si="668"/>
        <v>0</v>
      </c>
      <c r="XE8" s="29">
        <f t="shared" si="668"/>
        <v>0</v>
      </c>
      <c r="XF8" s="29">
        <f t="shared" si="668"/>
        <v>0</v>
      </c>
      <c r="XG8" s="29">
        <f t="shared" si="668"/>
        <v>0</v>
      </c>
      <c r="XH8" s="29">
        <f t="shared" si="668"/>
        <v>0</v>
      </c>
      <c r="XI8" s="29">
        <f t="shared" si="668"/>
        <v>0</v>
      </c>
      <c r="XJ8" s="29">
        <f t="shared" si="668"/>
        <v>0</v>
      </c>
      <c r="XK8" s="29">
        <f t="shared" si="668"/>
        <v>0</v>
      </c>
      <c r="XL8" s="29">
        <f t="shared" si="668"/>
        <v>0</v>
      </c>
      <c r="XM8" s="29">
        <f t="shared" si="668"/>
        <v>0</v>
      </c>
      <c r="XN8" s="29">
        <f t="shared" si="668"/>
        <v>0</v>
      </c>
      <c r="XO8" s="29">
        <f t="shared" si="668"/>
        <v>0</v>
      </c>
      <c r="XP8" s="29">
        <f t="shared" si="668"/>
        <v>0</v>
      </c>
      <c r="XQ8" s="29">
        <f t="shared" si="668"/>
        <v>0</v>
      </c>
      <c r="XR8" s="29">
        <f t="shared" si="668"/>
        <v>0</v>
      </c>
      <c r="XS8" s="29">
        <f t="shared" si="668"/>
        <v>0</v>
      </c>
      <c r="XT8" s="29">
        <f t="shared" si="668"/>
        <v>0</v>
      </c>
      <c r="XU8" s="29">
        <f t="shared" si="668"/>
        <v>0</v>
      </c>
      <c r="XV8" s="29">
        <f t="shared" si="668"/>
        <v>0</v>
      </c>
      <c r="XW8" s="29">
        <f t="shared" si="668"/>
        <v>0</v>
      </c>
      <c r="XX8" s="29">
        <f t="shared" si="668"/>
        <v>0</v>
      </c>
      <c r="XY8" s="29">
        <f t="shared" si="668"/>
        <v>0</v>
      </c>
      <c r="XZ8" s="29">
        <f t="shared" si="668"/>
        <v>0</v>
      </c>
      <c r="YA8" s="29">
        <f t="shared" si="668"/>
        <v>0</v>
      </c>
      <c r="YB8" s="29">
        <f t="shared" si="668"/>
        <v>0</v>
      </c>
      <c r="YC8" s="29">
        <f t="shared" si="668"/>
        <v>0</v>
      </c>
      <c r="YD8" s="29">
        <f t="shared" si="668"/>
        <v>0</v>
      </c>
      <c r="YE8" s="29">
        <f t="shared" si="668"/>
        <v>0</v>
      </c>
      <c r="YF8" s="29">
        <f t="shared" si="668"/>
        <v>0</v>
      </c>
      <c r="YG8" s="29">
        <f t="shared" si="668"/>
        <v>0</v>
      </c>
      <c r="YH8" s="29">
        <f t="shared" si="668"/>
        <v>0</v>
      </c>
      <c r="YI8" s="29">
        <f t="shared" si="668"/>
        <v>0</v>
      </c>
      <c r="YJ8" s="29">
        <f t="shared" si="668"/>
        <v>0</v>
      </c>
      <c r="YK8" s="29">
        <f t="shared" si="668"/>
        <v>0</v>
      </c>
      <c r="YL8" s="29">
        <f t="shared" si="668"/>
        <v>0</v>
      </c>
      <c r="YM8" s="29">
        <f t="shared" si="668"/>
        <v>0</v>
      </c>
      <c r="YN8" s="29">
        <f t="shared" si="668"/>
        <v>0</v>
      </c>
      <c r="YO8" s="29">
        <f t="shared" si="668"/>
        <v>0</v>
      </c>
      <c r="YP8" s="29">
        <f t="shared" si="668"/>
        <v>0</v>
      </c>
      <c r="YQ8" s="29">
        <f t="shared" si="668"/>
        <v>0</v>
      </c>
      <c r="YR8" s="29">
        <f t="shared" si="668"/>
        <v>0</v>
      </c>
      <c r="YS8" s="29">
        <f t="shared" si="668"/>
        <v>0</v>
      </c>
      <c r="YT8" s="29">
        <f t="shared" si="668"/>
        <v>0</v>
      </c>
      <c r="YU8" s="29">
        <f t="shared" si="668"/>
        <v>0</v>
      </c>
      <c r="YV8" s="29">
        <f t="shared" si="668"/>
        <v>0</v>
      </c>
      <c r="YW8" s="29">
        <f t="shared" si="668"/>
        <v>0</v>
      </c>
      <c r="YX8" s="29">
        <f t="shared" si="668"/>
        <v>0</v>
      </c>
      <c r="YY8" s="29">
        <f t="shared" si="668"/>
        <v>0</v>
      </c>
      <c r="YZ8" s="29">
        <f t="shared" ref="YZ8:ABK10" si="669">IF(AND($J8&lt;=YZ$3, $K8&gt;=YZ$3),1,0)</f>
        <v>0</v>
      </c>
      <c r="ZA8" s="29">
        <f t="shared" si="669"/>
        <v>0</v>
      </c>
      <c r="ZB8" s="29">
        <f t="shared" si="669"/>
        <v>0</v>
      </c>
      <c r="ZC8" s="29">
        <f t="shared" si="669"/>
        <v>0</v>
      </c>
      <c r="ZD8" s="29">
        <f t="shared" si="669"/>
        <v>0</v>
      </c>
      <c r="ZE8" s="29">
        <f t="shared" si="669"/>
        <v>0</v>
      </c>
      <c r="ZF8" s="29">
        <f t="shared" si="669"/>
        <v>0</v>
      </c>
      <c r="ZG8" s="29">
        <f t="shared" si="669"/>
        <v>0</v>
      </c>
      <c r="ZH8" s="29">
        <f t="shared" si="669"/>
        <v>0</v>
      </c>
      <c r="ZI8" s="29">
        <f t="shared" si="669"/>
        <v>0</v>
      </c>
      <c r="ZJ8" s="29">
        <f t="shared" si="669"/>
        <v>0</v>
      </c>
      <c r="ZK8" s="29">
        <f t="shared" si="669"/>
        <v>0</v>
      </c>
      <c r="ZL8" s="29">
        <f t="shared" si="669"/>
        <v>0</v>
      </c>
      <c r="ZM8" s="29">
        <f t="shared" si="669"/>
        <v>0</v>
      </c>
      <c r="ZN8" s="29">
        <f t="shared" si="669"/>
        <v>0</v>
      </c>
      <c r="ZO8" s="29">
        <f t="shared" si="669"/>
        <v>0</v>
      </c>
      <c r="ZP8" s="29">
        <f t="shared" si="669"/>
        <v>0</v>
      </c>
      <c r="ZQ8" s="29">
        <f t="shared" si="669"/>
        <v>0</v>
      </c>
      <c r="ZR8" s="29">
        <f t="shared" si="669"/>
        <v>0</v>
      </c>
      <c r="ZS8" s="29">
        <f t="shared" si="669"/>
        <v>0</v>
      </c>
      <c r="ZT8" s="29">
        <f t="shared" si="669"/>
        <v>0</v>
      </c>
      <c r="ZU8" s="29">
        <f t="shared" si="669"/>
        <v>0</v>
      </c>
      <c r="ZV8" s="29">
        <f t="shared" si="669"/>
        <v>0</v>
      </c>
      <c r="ZW8" s="29">
        <f t="shared" si="669"/>
        <v>0</v>
      </c>
      <c r="ZX8" s="29">
        <f t="shared" si="669"/>
        <v>0</v>
      </c>
      <c r="ZY8" s="29">
        <f t="shared" si="669"/>
        <v>0</v>
      </c>
      <c r="ZZ8" s="29">
        <f t="shared" si="669"/>
        <v>0</v>
      </c>
      <c r="AAA8" s="29">
        <f t="shared" si="669"/>
        <v>0</v>
      </c>
      <c r="AAB8" s="29">
        <f t="shared" si="669"/>
        <v>0</v>
      </c>
      <c r="AAC8" s="29">
        <f t="shared" si="669"/>
        <v>0</v>
      </c>
      <c r="AAD8" s="29">
        <f t="shared" si="669"/>
        <v>0</v>
      </c>
      <c r="AAE8" s="29">
        <f t="shared" si="669"/>
        <v>0</v>
      </c>
      <c r="AAF8" s="29">
        <f t="shared" si="669"/>
        <v>0</v>
      </c>
      <c r="AAG8" s="29">
        <f t="shared" si="669"/>
        <v>0</v>
      </c>
      <c r="AAH8" s="29">
        <f t="shared" si="669"/>
        <v>0</v>
      </c>
      <c r="AAI8" s="29">
        <f t="shared" si="669"/>
        <v>0</v>
      </c>
      <c r="AAJ8" s="29">
        <f t="shared" si="669"/>
        <v>0</v>
      </c>
      <c r="AAK8" s="29">
        <f t="shared" si="669"/>
        <v>0</v>
      </c>
      <c r="AAL8" s="29">
        <f t="shared" si="669"/>
        <v>0</v>
      </c>
      <c r="AAM8" s="29">
        <f t="shared" si="669"/>
        <v>0</v>
      </c>
      <c r="AAN8" s="29">
        <f t="shared" si="669"/>
        <v>0</v>
      </c>
      <c r="AAO8" s="29">
        <f t="shared" si="669"/>
        <v>0</v>
      </c>
      <c r="AAP8" s="29">
        <f t="shared" si="669"/>
        <v>0</v>
      </c>
      <c r="AAQ8" s="29">
        <f t="shared" si="669"/>
        <v>0</v>
      </c>
      <c r="AAR8" s="29">
        <f t="shared" si="669"/>
        <v>0</v>
      </c>
      <c r="AAS8" s="29">
        <f t="shared" si="669"/>
        <v>0</v>
      </c>
      <c r="AAT8" s="29">
        <f t="shared" si="669"/>
        <v>0</v>
      </c>
      <c r="AAU8" s="29">
        <f t="shared" si="669"/>
        <v>0</v>
      </c>
      <c r="AAV8" s="29">
        <f t="shared" si="669"/>
        <v>0</v>
      </c>
      <c r="AAW8" s="29">
        <f t="shared" si="669"/>
        <v>0</v>
      </c>
      <c r="AAX8" s="29">
        <f t="shared" si="669"/>
        <v>0</v>
      </c>
      <c r="AAY8" s="29">
        <f t="shared" si="669"/>
        <v>0</v>
      </c>
      <c r="AAZ8" s="29">
        <f t="shared" si="669"/>
        <v>0</v>
      </c>
      <c r="ABA8" s="29">
        <f t="shared" si="669"/>
        <v>0</v>
      </c>
      <c r="ABB8" s="29">
        <f t="shared" si="669"/>
        <v>0</v>
      </c>
      <c r="ABC8" s="29">
        <f t="shared" si="669"/>
        <v>0</v>
      </c>
      <c r="ABD8" s="29">
        <f t="shared" si="669"/>
        <v>0</v>
      </c>
      <c r="ABE8" s="29">
        <f t="shared" si="669"/>
        <v>0</v>
      </c>
      <c r="ABF8" s="29">
        <f t="shared" si="669"/>
        <v>0</v>
      </c>
      <c r="ABG8" s="29">
        <f t="shared" si="669"/>
        <v>0</v>
      </c>
      <c r="ABH8" s="29">
        <f t="shared" si="669"/>
        <v>0</v>
      </c>
      <c r="ABI8" s="29">
        <f t="shared" si="669"/>
        <v>0</v>
      </c>
      <c r="ABJ8" s="29">
        <f t="shared" si="669"/>
        <v>0</v>
      </c>
      <c r="ABK8" s="29">
        <f t="shared" si="669"/>
        <v>0</v>
      </c>
      <c r="ABL8" s="29">
        <f t="shared" ref="ABL8:ADO10" si="670">IF(AND($J8&lt;=ABL$3, $K8&gt;=ABL$3),1,0)</f>
        <v>0</v>
      </c>
      <c r="ABM8" s="29">
        <f t="shared" si="670"/>
        <v>0</v>
      </c>
      <c r="ABN8" s="29">
        <f t="shared" si="670"/>
        <v>0</v>
      </c>
      <c r="ABO8" s="29">
        <f t="shared" si="670"/>
        <v>0</v>
      </c>
      <c r="ABP8" s="29">
        <f t="shared" si="670"/>
        <v>0</v>
      </c>
      <c r="ABQ8" s="29">
        <f t="shared" si="670"/>
        <v>0</v>
      </c>
      <c r="ABR8" s="29">
        <f t="shared" si="670"/>
        <v>0</v>
      </c>
      <c r="ABS8" s="29">
        <f t="shared" si="670"/>
        <v>0</v>
      </c>
      <c r="ABT8" s="29">
        <f t="shared" si="670"/>
        <v>0</v>
      </c>
      <c r="ABU8" s="29">
        <f t="shared" si="670"/>
        <v>0</v>
      </c>
      <c r="ABV8" s="29">
        <f t="shared" si="670"/>
        <v>0</v>
      </c>
      <c r="ABW8" s="29">
        <f t="shared" si="670"/>
        <v>0</v>
      </c>
      <c r="ABX8" s="29">
        <f t="shared" si="670"/>
        <v>0</v>
      </c>
      <c r="ABY8" s="29">
        <f t="shared" si="670"/>
        <v>0</v>
      </c>
      <c r="ABZ8" s="29">
        <f t="shared" si="670"/>
        <v>0</v>
      </c>
      <c r="ACA8" s="29">
        <f t="shared" si="670"/>
        <v>0</v>
      </c>
      <c r="ACB8" s="29">
        <f t="shared" si="670"/>
        <v>0</v>
      </c>
      <c r="ACC8" s="29">
        <f t="shared" si="670"/>
        <v>0</v>
      </c>
      <c r="ACD8" s="29">
        <f t="shared" si="670"/>
        <v>0</v>
      </c>
      <c r="ACE8" s="29">
        <f t="shared" si="670"/>
        <v>0</v>
      </c>
      <c r="ACF8" s="29">
        <f t="shared" si="670"/>
        <v>0</v>
      </c>
      <c r="ACG8" s="29">
        <f t="shared" si="670"/>
        <v>0</v>
      </c>
      <c r="ACH8" s="29">
        <f t="shared" si="670"/>
        <v>0</v>
      </c>
      <c r="ACI8" s="29">
        <f t="shared" si="670"/>
        <v>0</v>
      </c>
      <c r="ACJ8" s="29">
        <f t="shared" si="670"/>
        <v>0</v>
      </c>
      <c r="ACK8" s="29">
        <f t="shared" si="670"/>
        <v>0</v>
      </c>
      <c r="ACL8" s="29">
        <f t="shared" si="670"/>
        <v>0</v>
      </c>
      <c r="ACM8" s="29">
        <f t="shared" si="670"/>
        <v>0</v>
      </c>
      <c r="ACN8" s="29">
        <f t="shared" si="670"/>
        <v>0</v>
      </c>
      <c r="ACO8" s="29">
        <f t="shared" si="670"/>
        <v>0</v>
      </c>
      <c r="ACP8" s="29">
        <f t="shared" si="670"/>
        <v>0</v>
      </c>
      <c r="ACQ8" s="29">
        <f t="shared" si="670"/>
        <v>0</v>
      </c>
      <c r="ACR8" s="29">
        <f t="shared" si="670"/>
        <v>0</v>
      </c>
      <c r="ACS8" s="29">
        <f t="shared" si="670"/>
        <v>0</v>
      </c>
      <c r="ACT8" s="29">
        <f t="shared" si="670"/>
        <v>0</v>
      </c>
      <c r="ACU8" s="29">
        <f t="shared" si="670"/>
        <v>0</v>
      </c>
      <c r="ACV8" s="29">
        <f t="shared" si="670"/>
        <v>0</v>
      </c>
      <c r="ACW8" s="29">
        <f t="shared" si="670"/>
        <v>0</v>
      </c>
      <c r="ACX8" s="29">
        <f t="shared" si="670"/>
        <v>0</v>
      </c>
      <c r="ACY8" s="29">
        <f t="shared" si="670"/>
        <v>0</v>
      </c>
      <c r="ACZ8" s="29">
        <f t="shared" si="670"/>
        <v>0</v>
      </c>
      <c r="ADA8" s="29">
        <f t="shared" si="670"/>
        <v>0</v>
      </c>
      <c r="ADB8" s="29">
        <f t="shared" si="670"/>
        <v>0</v>
      </c>
      <c r="ADC8" s="29">
        <f t="shared" si="670"/>
        <v>0</v>
      </c>
      <c r="ADD8" s="29">
        <f t="shared" si="670"/>
        <v>0</v>
      </c>
      <c r="ADE8" s="29">
        <f t="shared" si="670"/>
        <v>0</v>
      </c>
      <c r="ADF8" s="29">
        <f t="shared" si="670"/>
        <v>0</v>
      </c>
      <c r="ADG8" s="29">
        <f t="shared" si="670"/>
        <v>0</v>
      </c>
      <c r="ADH8" s="29">
        <f t="shared" si="670"/>
        <v>0</v>
      </c>
      <c r="ADI8" s="29">
        <f t="shared" si="670"/>
        <v>0</v>
      </c>
      <c r="ADJ8" s="29">
        <f t="shared" si="670"/>
        <v>0</v>
      </c>
      <c r="ADK8" s="29">
        <f t="shared" si="670"/>
        <v>0</v>
      </c>
      <c r="ADL8" s="29">
        <f t="shared" si="670"/>
        <v>0</v>
      </c>
      <c r="ADM8" s="29">
        <f t="shared" si="670"/>
        <v>0</v>
      </c>
      <c r="ADN8" s="29">
        <f t="shared" si="670"/>
        <v>0</v>
      </c>
      <c r="ADO8" s="29">
        <f t="shared" si="670"/>
        <v>0</v>
      </c>
    </row>
    <row r="9" spans="1:795" s="30" customFormat="1" ht="12.75" x14ac:dyDescent="0.25">
      <c r="A9" s="20" t="str">
        <f t="shared" ca="1" si="652"/>
        <v>2015.2</v>
      </c>
      <c r="B9" s="74" t="s">
        <v>26</v>
      </c>
      <c r="C9" s="130" t="s">
        <v>62</v>
      </c>
      <c r="D9" s="28"/>
      <c r="E9" s="28" t="s">
        <v>20</v>
      </c>
      <c r="F9" s="28"/>
      <c r="G9" s="74" t="s">
        <v>54</v>
      </c>
      <c r="H9" s="105">
        <v>2015</v>
      </c>
      <c r="I9" s="63">
        <v>36</v>
      </c>
      <c r="J9" s="64">
        <f>IsoWeekToDateB2(H9,I9)</f>
        <v>42247</v>
      </c>
      <c r="K9" s="21">
        <f t="shared" si="653"/>
        <v>42260</v>
      </c>
      <c r="L9" s="22">
        <f>M9*7</f>
        <v>14</v>
      </c>
      <c r="M9" s="52">
        <v>2</v>
      </c>
      <c r="N9" s="53">
        <v>1</v>
      </c>
      <c r="O9" s="22">
        <f t="shared" ref="O9" si="671">NETWORKDAYS(J9,K9)</f>
        <v>10</v>
      </c>
      <c r="P9" s="23">
        <f t="shared" ref="P9" si="672">ROUNDDOWN(N9*L9,0)</f>
        <v>14</v>
      </c>
      <c r="Q9" s="22">
        <f t="shared" ref="Q9" si="673">L9-P9</f>
        <v>0</v>
      </c>
      <c r="R9" s="29"/>
      <c r="S9" s="29">
        <f t="shared" si="657"/>
        <v>0</v>
      </c>
      <c r="T9" s="29">
        <f t="shared" si="657"/>
        <v>0</v>
      </c>
      <c r="U9" s="29">
        <f t="shared" si="657"/>
        <v>0</v>
      </c>
      <c r="V9" s="29">
        <f t="shared" si="657"/>
        <v>0</v>
      </c>
      <c r="W9" s="29">
        <f t="shared" si="657"/>
        <v>0</v>
      </c>
      <c r="X9" s="29">
        <f t="shared" si="657"/>
        <v>0</v>
      </c>
      <c r="Y9" s="29">
        <f t="shared" si="657"/>
        <v>0</v>
      </c>
      <c r="Z9" s="29">
        <f t="shared" si="657"/>
        <v>0</v>
      </c>
      <c r="AA9" s="29">
        <f t="shared" si="657"/>
        <v>0</v>
      </c>
      <c r="AB9" s="29">
        <f t="shared" si="657"/>
        <v>0</v>
      </c>
      <c r="AC9" s="29">
        <f t="shared" si="657"/>
        <v>0</v>
      </c>
      <c r="AD9" s="29">
        <f t="shared" si="657"/>
        <v>0</v>
      </c>
      <c r="AE9" s="29">
        <f t="shared" si="657"/>
        <v>0</v>
      </c>
      <c r="AF9" s="29">
        <f t="shared" si="657"/>
        <v>0</v>
      </c>
      <c r="AG9" s="29">
        <f t="shared" si="657"/>
        <v>0</v>
      </c>
      <c r="AH9" s="29">
        <f t="shared" si="657"/>
        <v>0</v>
      </c>
      <c r="AI9" s="29">
        <f t="shared" ref="AI9:CT9" si="674">IF(AND($J9&lt;=AI$3, $K9&gt;=AI$3),1,0)</f>
        <v>0</v>
      </c>
      <c r="AJ9" s="29">
        <f t="shared" si="674"/>
        <v>0</v>
      </c>
      <c r="AK9" s="29">
        <f t="shared" si="674"/>
        <v>0</v>
      </c>
      <c r="AL9" s="29">
        <f t="shared" si="674"/>
        <v>0</v>
      </c>
      <c r="AM9" s="29">
        <f t="shared" si="674"/>
        <v>0</v>
      </c>
      <c r="AN9" s="29">
        <f t="shared" si="674"/>
        <v>0</v>
      </c>
      <c r="AO9" s="29">
        <f t="shared" si="674"/>
        <v>0</v>
      </c>
      <c r="AP9" s="29">
        <f t="shared" si="674"/>
        <v>0</v>
      </c>
      <c r="AQ9" s="29">
        <f t="shared" si="674"/>
        <v>0</v>
      </c>
      <c r="AR9" s="29">
        <f t="shared" si="674"/>
        <v>0</v>
      </c>
      <c r="AS9" s="29">
        <f t="shared" si="674"/>
        <v>0</v>
      </c>
      <c r="AT9" s="29">
        <f t="shared" si="674"/>
        <v>0</v>
      </c>
      <c r="AU9" s="29">
        <f t="shared" si="674"/>
        <v>0</v>
      </c>
      <c r="AV9" s="29">
        <f t="shared" si="674"/>
        <v>0</v>
      </c>
      <c r="AW9" s="29">
        <f t="shared" si="674"/>
        <v>0</v>
      </c>
      <c r="AX9" s="29">
        <f t="shared" si="674"/>
        <v>0</v>
      </c>
      <c r="AY9" s="29">
        <f t="shared" si="674"/>
        <v>0</v>
      </c>
      <c r="AZ9" s="29">
        <f t="shared" si="674"/>
        <v>0</v>
      </c>
      <c r="BA9" s="29">
        <f t="shared" si="674"/>
        <v>0</v>
      </c>
      <c r="BB9" s="29">
        <f t="shared" si="674"/>
        <v>0</v>
      </c>
      <c r="BC9" s="29">
        <f t="shared" si="674"/>
        <v>0</v>
      </c>
      <c r="BD9" s="29">
        <f t="shared" si="674"/>
        <v>0</v>
      </c>
      <c r="BE9" s="29">
        <f t="shared" si="674"/>
        <v>0</v>
      </c>
      <c r="BF9" s="29">
        <f t="shared" si="674"/>
        <v>0</v>
      </c>
      <c r="BG9" s="29">
        <f t="shared" si="674"/>
        <v>0</v>
      </c>
      <c r="BH9" s="29">
        <f t="shared" si="674"/>
        <v>0</v>
      </c>
      <c r="BI9" s="29">
        <f t="shared" si="674"/>
        <v>0</v>
      </c>
      <c r="BJ9" s="29">
        <f t="shared" si="674"/>
        <v>0</v>
      </c>
      <c r="BK9" s="29">
        <f t="shared" si="674"/>
        <v>0</v>
      </c>
      <c r="BL9" s="29">
        <f t="shared" si="674"/>
        <v>0</v>
      </c>
      <c r="BM9" s="29">
        <f t="shared" si="674"/>
        <v>0</v>
      </c>
      <c r="BN9" s="29">
        <f t="shared" si="674"/>
        <v>0</v>
      </c>
      <c r="BO9" s="29">
        <f t="shared" si="674"/>
        <v>0</v>
      </c>
      <c r="BP9" s="29">
        <f t="shared" si="674"/>
        <v>0</v>
      </c>
      <c r="BQ9" s="29">
        <f t="shared" si="674"/>
        <v>0</v>
      </c>
      <c r="BR9" s="29">
        <f t="shared" si="674"/>
        <v>0</v>
      </c>
      <c r="BS9" s="29">
        <f t="shared" si="674"/>
        <v>0</v>
      </c>
      <c r="BT9" s="29">
        <f t="shared" si="674"/>
        <v>0</v>
      </c>
      <c r="BU9" s="29">
        <f t="shared" si="674"/>
        <v>0</v>
      </c>
      <c r="BV9" s="29">
        <f t="shared" si="674"/>
        <v>0</v>
      </c>
      <c r="BW9" s="29">
        <f t="shared" si="674"/>
        <v>0</v>
      </c>
      <c r="BX9" s="29">
        <f t="shared" si="674"/>
        <v>0</v>
      </c>
      <c r="BY9" s="29">
        <f t="shared" si="674"/>
        <v>0</v>
      </c>
      <c r="BZ9" s="29">
        <f t="shared" si="674"/>
        <v>0</v>
      </c>
      <c r="CA9" s="29">
        <f t="shared" si="674"/>
        <v>0</v>
      </c>
      <c r="CB9" s="29">
        <f t="shared" si="674"/>
        <v>0</v>
      </c>
      <c r="CC9" s="29">
        <f t="shared" si="674"/>
        <v>0</v>
      </c>
      <c r="CD9" s="29">
        <f t="shared" si="674"/>
        <v>0</v>
      </c>
      <c r="CE9" s="29">
        <f t="shared" si="674"/>
        <v>0</v>
      </c>
      <c r="CF9" s="29">
        <f t="shared" si="674"/>
        <v>0</v>
      </c>
      <c r="CG9" s="29">
        <f t="shared" si="674"/>
        <v>0</v>
      </c>
      <c r="CH9" s="29">
        <f t="shared" si="674"/>
        <v>0</v>
      </c>
      <c r="CI9" s="29">
        <f t="shared" si="674"/>
        <v>0</v>
      </c>
      <c r="CJ9" s="29">
        <f t="shared" si="674"/>
        <v>0</v>
      </c>
      <c r="CK9" s="29">
        <f t="shared" si="674"/>
        <v>0</v>
      </c>
      <c r="CL9" s="29">
        <f t="shared" si="674"/>
        <v>0</v>
      </c>
      <c r="CM9" s="29">
        <f t="shared" si="674"/>
        <v>0</v>
      </c>
      <c r="CN9" s="29">
        <f t="shared" si="674"/>
        <v>0</v>
      </c>
      <c r="CO9" s="29">
        <f t="shared" si="674"/>
        <v>0</v>
      </c>
      <c r="CP9" s="29">
        <f t="shared" si="674"/>
        <v>0</v>
      </c>
      <c r="CQ9" s="29">
        <f t="shared" si="674"/>
        <v>0</v>
      </c>
      <c r="CR9" s="29">
        <f t="shared" si="674"/>
        <v>0</v>
      </c>
      <c r="CS9" s="29">
        <f t="shared" si="674"/>
        <v>0</v>
      </c>
      <c r="CT9" s="29">
        <f t="shared" si="674"/>
        <v>0</v>
      </c>
      <c r="CU9" s="29">
        <f t="shared" ref="CU9:FF9" si="675">IF(AND($J9&lt;=CU$3, $K9&gt;=CU$3),1,0)</f>
        <v>0</v>
      </c>
      <c r="CV9" s="29">
        <f t="shared" si="675"/>
        <v>0</v>
      </c>
      <c r="CW9" s="29">
        <f t="shared" si="675"/>
        <v>0</v>
      </c>
      <c r="CX9" s="29">
        <f t="shared" si="675"/>
        <v>0</v>
      </c>
      <c r="CY9" s="29">
        <f t="shared" si="675"/>
        <v>0</v>
      </c>
      <c r="CZ9" s="29">
        <f t="shared" si="675"/>
        <v>0</v>
      </c>
      <c r="DA9" s="29">
        <f t="shared" si="675"/>
        <v>0</v>
      </c>
      <c r="DB9" s="29">
        <f t="shared" si="675"/>
        <v>0</v>
      </c>
      <c r="DC9" s="29">
        <f t="shared" si="675"/>
        <v>0</v>
      </c>
      <c r="DD9" s="29">
        <f t="shared" si="675"/>
        <v>0</v>
      </c>
      <c r="DE9" s="29">
        <f t="shared" si="675"/>
        <v>0</v>
      </c>
      <c r="DF9" s="29">
        <f t="shared" si="675"/>
        <v>0</v>
      </c>
      <c r="DG9" s="29">
        <f t="shared" si="675"/>
        <v>0</v>
      </c>
      <c r="DH9" s="29">
        <f t="shared" si="675"/>
        <v>0</v>
      </c>
      <c r="DI9" s="29">
        <f t="shared" si="675"/>
        <v>0</v>
      </c>
      <c r="DJ9" s="29">
        <f t="shared" si="675"/>
        <v>0</v>
      </c>
      <c r="DK9" s="29">
        <f t="shared" si="675"/>
        <v>0</v>
      </c>
      <c r="DL9" s="29">
        <f t="shared" si="675"/>
        <v>0</v>
      </c>
      <c r="DM9" s="29">
        <f t="shared" si="675"/>
        <v>0</v>
      </c>
      <c r="DN9" s="29">
        <f t="shared" si="675"/>
        <v>0</v>
      </c>
      <c r="DO9" s="29">
        <f t="shared" si="675"/>
        <v>0</v>
      </c>
      <c r="DP9" s="29">
        <f t="shared" si="675"/>
        <v>0</v>
      </c>
      <c r="DQ9" s="29">
        <f t="shared" si="675"/>
        <v>0</v>
      </c>
      <c r="DR9" s="29">
        <f t="shared" si="675"/>
        <v>0</v>
      </c>
      <c r="DS9" s="29">
        <f t="shared" si="675"/>
        <v>0</v>
      </c>
      <c r="DT9" s="29">
        <f t="shared" si="675"/>
        <v>0</v>
      </c>
      <c r="DU9" s="29">
        <f t="shared" si="675"/>
        <v>0</v>
      </c>
      <c r="DV9" s="29">
        <f t="shared" si="675"/>
        <v>0</v>
      </c>
      <c r="DW9" s="29">
        <f t="shared" si="675"/>
        <v>0</v>
      </c>
      <c r="DX9" s="29">
        <f t="shared" si="675"/>
        <v>0</v>
      </c>
      <c r="DY9" s="29">
        <f t="shared" si="675"/>
        <v>0</v>
      </c>
      <c r="DZ9" s="29">
        <f t="shared" si="675"/>
        <v>0</v>
      </c>
      <c r="EA9" s="29">
        <f t="shared" si="675"/>
        <v>0</v>
      </c>
      <c r="EB9" s="29">
        <f t="shared" si="675"/>
        <v>0</v>
      </c>
      <c r="EC9" s="29">
        <f t="shared" si="675"/>
        <v>0</v>
      </c>
      <c r="ED9" s="29">
        <f t="shared" si="675"/>
        <v>0</v>
      </c>
      <c r="EE9" s="29">
        <f t="shared" si="675"/>
        <v>0</v>
      </c>
      <c r="EF9" s="29">
        <f t="shared" si="675"/>
        <v>0</v>
      </c>
      <c r="EG9" s="29">
        <f t="shared" si="675"/>
        <v>0</v>
      </c>
      <c r="EH9" s="29">
        <f t="shared" si="675"/>
        <v>0</v>
      </c>
      <c r="EI9" s="29">
        <f t="shared" si="675"/>
        <v>0</v>
      </c>
      <c r="EJ9" s="29">
        <f t="shared" si="675"/>
        <v>0</v>
      </c>
      <c r="EK9" s="29">
        <f t="shared" si="675"/>
        <v>0</v>
      </c>
      <c r="EL9" s="29">
        <f t="shared" si="675"/>
        <v>0</v>
      </c>
      <c r="EM9" s="29">
        <f t="shared" si="675"/>
        <v>0</v>
      </c>
      <c r="EN9" s="29">
        <f t="shared" si="675"/>
        <v>0</v>
      </c>
      <c r="EO9" s="29">
        <f t="shared" si="675"/>
        <v>0</v>
      </c>
      <c r="EP9" s="29">
        <f t="shared" si="675"/>
        <v>0</v>
      </c>
      <c r="EQ9" s="29">
        <f t="shared" si="675"/>
        <v>0</v>
      </c>
      <c r="ER9" s="29">
        <f t="shared" si="675"/>
        <v>0</v>
      </c>
      <c r="ES9" s="29">
        <f t="shared" si="675"/>
        <v>0</v>
      </c>
      <c r="ET9" s="29">
        <f t="shared" si="675"/>
        <v>0</v>
      </c>
      <c r="EU9" s="29">
        <f t="shared" si="675"/>
        <v>0</v>
      </c>
      <c r="EV9" s="29">
        <f t="shared" si="675"/>
        <v>0</v>
      </c>
      <c r="EW9" s="29">
        <f t="shared" si="675"/>
        <v>0</v>
      </c>
      <c r="EX9" s="29">
        <f t="shared" si="675"/>
        <v>0</v>
      </c>
      <c r="EY9" s="29">
        <f t="shared" si="675"/>
        <v>0</v>
      </c>
      <c r="EZ9" s="29">
        <f t="shared" si="675"/>
        <v>0</v>
      </c>
      <c r="FA9" s="29">
        <f t="shared" si="675"/>
        <v>0</v>
      </c>
      <c r="FB9" s="29">
        <f t="shared" si="675"/>
        <v>0</v>
      </c>
      <c r="FC9" s="29">
        <f t="shared" si="675"/>
        <v>0</v>
      </c>
      <c r="FD9" s="29">
        <f t="shared" si="675"/>
        <v>0</v>
      </c>
      <c r="FE9" s="29">
        <f t="shared" si="675"/>
        <v>0</v>
      </c>
      <c r="FF9" s="29">
        <f t="shared" si="675"/>
        <v>0</v>
      </c>
      <c r="FG9" s="29">
        <f t="shared" ref="FG9:HR9" si="676">IF(AND($J9&lt;=FG$3, $K9&gt;=FG$3),1,0)</f>
        <v>0</v>
      </c>
      <c r="FH9" s="29">
        <f t="shared" si="676"/>
        <v>0</v>
      </c>
      <c r="FI9" s="29">
        <f t="shared" si="676"/>
        <v>0</v>
      </c>
      <c r="FJ9" s="29">
        <f t="shared" si="676"/>
        <v>0</v>
      </c>
      <c r="FK9" s="29">
        <f t="shared" si="676"/>
        <v>0</v>
      </c>
      <c r="FL9" s="29">
        <f t="shared" si="676"/>
        <v>0</v>
      </c>
      <c r="FM9" s="29">
        <f t="shared" si="676"/>
        <v>0</v>
      </c>
      <c r="FN9" s="29">
        <f t="shared" si="676"/>
        <v>0</v>
      </c>
      <c r="FO9" s="29">
        <f t="shared" si="676"/>
        <v>0</v>
      </c>
      <c r="FP9" s="29">
        <f t="shared" si="676"/>
        <v>0</v>
      </c>
      <c r="FQ9" s="29">
        <f t="shared" si="676"/>
        <v>0</v>
      </c>
      <c r="FR9" s="29">
        <f t="shared" si="676"/>
        <v>0</v>
      </c>
      <c r="FS9" s="29">
        <f t="shared" si="676"/>
        <v>0</v>
      </c>
      <c r="FT9" s="29">
        <f t="shared" si="676"/>
        <v>0</v>
      </c>
      <c r="FU9" s="29">
        <f t="shared" si="676"/>
        <v>0</v>
      </c>
      <c r="FV9" s="29">
        <f t="shared" si="676"/>
        <v>0</v>
      </c>
      <c r="FW9" s="29">
        <f t="shared" si="676"/>
        <v>0</v>
      </c>
      <c r="FX9" s="29">
        <f t="shared" si="676"/>
        <v>0</v>
      </c>
      <c r="FY9" s="29">
        <f t="shared" si="676"/>
        <v>0</v>
      </c>
      <c r="FZ9" s="29">
        <f t="shared" si="676"/>
        <v>0</v>
      </c>
      <c r="GA9" s="29">
        <f t="shared" si="676"/>
        <v>0</v>
      </c>
      <c r="GB9" s="29">
        <f t="shared" si="676"/>
        <v>0</v>
      </c>
      <c r="GC9" s="29">
        <f t="shared" si="676"/>
        <v>0</v>
      </c>
      <c r="GD9" s="29">
        <f t="shared" si="676"/>
        <v>0</v>
      </c>
      <c r="GE9" s="29">
        <f t="shared" si="676"/>
        <v>0</v>
      </c>
      <c r="GF9" s="29">
        <f t="shared" si="676"/>
        <v>0</v>
      </c>
      <c r="GG9" s="29">
        <f t="shared" si="676"/>
        <v>0</v>
      </c>
      <c r="GH9" s="29">
        <f t="shared" si="676"/>
        <v>0</v>
      </c>
      <c r="GI9" s="29">
        <f t="shared" si="676"/>
        <v>0</v>
      </c>
      <c r="GJ9" s="29">
        <f t="shared" si="676"/>
        <v>0</v>
      </c>
      <c r="GK9" s="29">
        <f t="shared" si="676"/>
        <v>0</v>
      </c>
      <c r="GL9" s="29">
        <f t="shared" si="676"/>
        <v>0</v>
      </c>
      <c r="GM9" s="29">
        <f t="shared" si="676"/>
        <v>0</v>
      </c>
      <c r="GN9" s="29">
        <f t="shared" si="676"/>
        <v>0</v>
      </c>
      <c r="GO9" s="29">
        <f t="shared" si="676"/>
        <v>0</v>
      </c>
      <c r="GP9" s="29">
        <f t="shared" si="676"/>
        <v>0</v>
      </c>
      <c r="GQ9" s="29">
        <f t="shared" si="676"/>
        <v>0</v>
      </c>
      <c r="GR9" s="29">
        <f t="shared" si="676"/>
        <v>0</v>
      </c>
      <c r="GS9" s="29">
        <f t="shared" si="676"/>
        <v>0</v>
      </c>
      <c r="GT9" s="29">
        <f t="shared" si="676"/>
        <v>0</v>
      </c>
      <c r="GU9" s="29">
        <f t="shared" si="676"/>
        <v>0</v>
      </c>
      <c r="GV9" s="29">
        <f t="shared" si="676"/>
        <v>0</v>
      </c>
      <c r="GW9" s="29">
        <f t="shared" si="676"/>
        <v>0</v>
      </c>
      <c r="GX9" s="29">
        <f t="shared" si="676"/>
        <v>0</v>
      </c>
      <c r="GY9" s="29">
        <f t="shared" si="676"/>
        <v>0</v>
      </c>
      <c r="GZ9" s="29">
        <f t="shared" si="676"/>
        <v>0</v>
      </c>
      <c r="HA9" s="29">
        <f t="shared" si="676"/>
        <v>0</v>
      </c>
      <c r="HB9" s="29">
        <f t="shared" si="676"/>
        <v>0</v>
      </c>
      <c r="HC9" s="29">
        <f t="shared" si="676"/>
        <v>0</v>
      </c>
      <c r="HD9" s="29">
        <f t="shared" si="676"/>
        <v>0</v>
      </c>
      <c r="HE9" s="29">
        <f t="shared" si="676"/>
        <v>0</v>
      </c>
      <c r="HF9" s="29">
        <f t="shared" si="676"/>
        <v>0</v>
      </c>
      <c r="HG9" s="29">
        <f t="shared" si="676"/>
        <v>0</v>
      </c>
      <c r="HH9" s="29">
        <f t="shared" si="676"/>
        <v>0</v>
      </c>
      <c r="HI9" s="29">
        <f t="shared" si="676"/>
        <v>0</v>
      </c>
      <c r="HJ9" s="29">
        <f t="shared" si="676"/>
        <v>0</v>
      </c>
      <c r="HK9" s="29">
        <f t="shared" si="676"/>
        <v>0</v>
      </c>
      <c r="HL9" s="29">
        <f t="shared" si="676"/>
        <v>0</v>
      </c>
      <c r="HM9" s="29">
        <f t="shared" si="676"/>
        <v>0</v>
      </c>
      <c r="HN9" s="29">
        <f t="shared" si="676"/>
        <v>0</v>
      </c>
      <c r="HO9" s="29">
        <f t="shared" si="676"/>
        <v>0</v>
      </c>
      <c r="HP9" s="29">
        <f t="shared" si="676"/>
        <v>0</v>
      </c>
      <c r="HQ9" s="29">
        <f t="shared" si="676"/>
        <v>0</v>
      </c>
      <c r="HR9" s="29">
        <f t="shared" si="676"/>
        <v>0</v>
      </c>
      <c r="HS9" s="29">
        <f t="shared" ref="HS9:KD9" si="677">IF(AND($J9&lt;=HS$3, $K9&gt;=HS$3),1,0)</f>
        <v>0</v>
      </c>
      <c r="HT9" s="29">
        <f t="shared" si="677"/>
        <v>0</v>
      </c>
      <c r="HU9" s="29">
        <f t="shared" si="677"/>
        <v>0</v>
      </c>
      <c r="HV9" s="29">
        <f t="shared" si="677"/>
        <v>0</v>
      </c>
      <c r="HW9" s="29">
        <f t="shared" si="677"/>
        <v>0</v>
      </c>
      <c r="HX9" s="29">
        <f t="shared" si="677"/>
        <v>0</v>
      </c>
      <c r="HY9" s="29">
        <f t="shared" si="677"/>
        <v>0</v>
      </c>
      <c r="HZ9" s="29">
        <f t="shared" si="677"/>
        <v>0</v>
      </c>
      <c r="IA9" s="29">
        <f t="shared" si="677"/>
        <v>0</v>
      </c>
      <c r="IB9" s="29">
        <f t="shared" si="677"/>
        <v>0</v>
      </c>
      <c r="IC9" s="29">
        <f t="shared" si="677"/>
        <v>0</v>
      </c>
      <c r="ID9" s="29">
        <f t="shared" si="677"/>
        <v>0</v>
      </c>
      <c r="IE9" s="29">
        <f t="shared" si="677"/>
        <v>0</v>
      </c>
      <c r="IF9" s="29">
        <f t="shared" si="677"/>
        <v>0</v>
      </c>
      <c r="IG9" s="29">
        <f t="shared" si="677"/>
        <v>0</v>
      </c>
      <c r="IH9" s="29">
        <f t="shared" si="677"/>
        <v>0</v>
      </c>
      <c r="II9" s="29">
        <f t="shared" si="677"/>
        <v>0</v>
      </c>
      <c r="IJ9" s="29">
        <f t="shared" si="677"/>
        <v>0</v>
      </c>
      <c r="IK9" s="29">
        <f t="shared" si="677"/>
        <v>0</v>
      </c>
      <c r="IL9" s="29">
        <f t="shared" si="677"/>
        <v>0</v>
      </c>
      <c r="IM9" s="29">
        <f t="shared" si="677"/>
        <v>0</v>
      </c>
      <c r="IN9" s="29">
        <f t="shared" si="677"/>
        <v>0</v>
      </c>
      <c r="IO9" s="29">
        <f t="shared" si="677"/>
        <v>0</v>
      </c>
      <c r="IP9" s="29">
        <f t="shared" si="677"/>
        <v>0</v>
      </c>
      <c r="IQ9" s="29">
        <f t="shared" si="677"/>
        <v>0</v>
      </c>
      <c r="IR9" s="29">
        <f t="shared" si="677"/>
        <v>0</v>
      </c>
      <c r="IS9" s="29">
        <f t="shared" si="677"/>
        <v>0</v>
      </c>
      <c r="IT9" s="29">
        <f t="shared" si="677"/>
        <v>0</v>
      </c>
      <c r="IU9" s="29">
        <f t="shared" si="677"/>
        <v>0</v>
      </c>
      <c r="IV9" s="29">
        <f t="shared" si="677"/>
        <v>0</v>
      </c>
      <c r="IW9" s="29">
        <f t="shared" si="677"/>
        <v>0</v>
      </c>
      <c r="IX9" s="29">
        <f t="shared" si="677"/>
        <v>0</v>
      </c>
      <c r="IY9" s="29">
        <f t="shared" si="677"/>
        <v>0</v>
      </c>
      <c r="IZ9" s="29">
        <f t="shared" si="677"/>
        <v>0</v>
      </c>
      <c r="JA9" s="29">
        <f t="shared" si="677"/>
        <v>0</v>
      </c>
      <c r="JB9" s="29">
        <f t="shared" si="677"/>
        <v>0</v>
      </c>
      <c r="JC9" s="29">
        <f t="shared" si="677"/>
        <v>0</v>
      </c>
      <c r="JD9" s="29">
        <f t="shared" si="677"/>
        <v>1</v>
      </c>
      <c r="JE9" s="29">
        <f t="shared" si="677"/>
        <v>1</v>
      </c>
      <c r="JF9" s="29">
        <f t="shared" si="677"/>
        <v>1</v>
      </c>
      <c r="JG9" s="29">
        <f t="shared" si="677"/>
        <v>1</v>
      </c>
      <c r="JH9" s="29">
        <f t="shared" si="677"/>
        <v>1</v>
      </c>
      <c r="JI9" s="29">
        <f t="shared" si="677"/>
        <v>1</v>
      </c>
      <c r="JJ9" s="29">
        <f t="shared" si="677"/>
        <v>1</v>
      </c>
      <c r="JK9" s="29">
        <f t="shared" si="677"/>
        <v>1</v>
      </c>
      <c r="JL9" s="29">
        <f t="shared" si="677"/>
        <v>1</v>
      </c>
      <c r="JM9" s="29">
        <f t="shared" si="677"/>
        <v>1</v>
      </c>
      <c r="JN9" s="29">
        <f t="shared" si="677"/>
        <v>1</v>
      </c>
      <c r="JO9" s="29">
        <f t="shared" si="677"/>
        <v>1</v>
      </c>
      <c r="JP9" s="29">
        <f t="shared" si="677"/>
        <v>1</v>
      </c>
      <c r="JQ9" s="29">
        <f t="shared" si="677"/>
        <v>1</v>
      </c>
      <c r="JR9" s="29">
        <f t="shared" si="677"/>
        <v>0</v>
      </c>
      <c r="JS9" s="29">
        <f t="shared" si="677"/>
        <v>0</v>
      </c>
      <c r="JT9" s="29">
        <f t="shared" si="677"/>
        <v>0</v>
      </c>
      <c r="JU9" s="29">
        <f t="shared" si="677"/>
        <v>0</v>
      </c>
      <c r="JV9" s="29">
        <f t="shared" si="677"/>
        <v>0</v>
      </c>
      <c r="JW9" s="29">
        <f t="shared" si="677"/>
        <v>0</v>
      </c>
      <c r="JX9" s="29">
        <f t="shared" si="677"/>
        <v>0</v>
      </c>
      <c r="JY9" s="29">
        <f t="shared" si="677"/>
        <v>0</v>
      </c>
      <c r="JZ9" s="29">
        <f t="shared" si="677"/>
        <v>0</v>
      </c>
      <c r="KA9" s="29">
        <f t="shared" si="677"/>
        <v>0</v>
      </c>
      <c r="KB9" s="29">
        <f t="shared" si="677"/>
        <v>0</v>
      </c>
      <c r="KC9" s="29">
        <f t="shared" si="677"/>
        <v>0</v>
      </c>
      <c r="KD9" s="29">
        <f t="shared" si="677"/>
        <v>0</v>
      </c>
      <c r="KE9" s="29">
        <f t="shared" ref="KE9:MP9" si="678">IF(AND($J9&lt;=KE$3, $K9&gt;=KE$3),1,0)</f>
        <v>0</v>
      </c>
      <c r="KF9" s="29">
        <f t="shared" si="678"/>
        <v>0</v>
      </c>
      <c r="KG9" s="29">
        <f t="shared" si="678"/>
        <v>0</v>
      </c>
      <c r="KH9" s="29">
        <f t="shared" si="678"/>
        <v>0</v>
      </c>
      <c r="KI9" s="29">
        <f t="shared" si="678"/>
        <v>0</v>
      </c>
      <c r="KJ9" s="29">
        <f t="shared" si="678"/>
        <v>0</v>
      </c>
      <c r="KK9" s="29">
        <f t="shared" si="678"/>
        <v>0</v>
      </c>
      <c r="KL9" s="29">
        <f t="shared" si="678"/>
        <v>0</v>
      </c>
      <c r="KM9" s="29">
        <f t="shared" si="678"/>
        <v>0</v>
      </c>
      <c r="KN9" s="29">
        <f t="shared" si="678"/>
        <v>0</v>
      </c>
      <c r="KO9" s="29">
        <f t="shared" si="678"/>
        <v>0</v>
      </c>
      <c r="KP9" s="29">
        <f t="shared" si="678"/>
        <v>0</v>
      </c>
      <c r="KQ9" s="29">
        <f t="shared" si="678"/>
        <v>0</v>
      </c>
      <c r="KR9" s="29">
        <f t="shared" si="678"/>
        <v>0</v>
      </c>
      <c r="KS9" s="29">
        <f t="shared" si="678"/>
        <v>0</v>
      </c>
      <c r="KT9" s="29">
        <f t="shared" si="678"/>
        <v>0</v>
      </c>
      <c r="KU9" s="29">
        <f t="shared" si="678"/>
        <v>0</v>
      </c>
      <c r="KV9" s="29">
        <f t="shared" si="678"/>
        <v>0</v>
      </c>
      <c r="KW9" s="29">
        <f t="shared" si="678"/>
        <v>0</v>
      </c>
      <c r="KX9" s="29">
        <f t="shared" si="678"/>
        <v>0</v>
      </c>
      <c r="KY9" s="29">
        <f t="shared" si="678"/>
        <v>0</v>
      </c>
      <c r="KZ9" s="29">
        <f t="shared" si="678"/>
        <v>0</v>
      </c>
      <c r="LA9" s="29">
        <f t="shared" si="678"/>
        <v>0</v>
      </c>
      <c r="LB9" s="29">
        <f t="shared" si="678"/>
        <v>0</v>
      </c>
      <c r="LC9" s="29">
        <f t="shared" si="678"/>
        <v>0</v>
      </c>
      <c r="LD9" s="29">
        <f t="shared" si="678"/>
        <v>0</v>
      </c>
      <c r="LE9" s="29">
        <f t="shared" si="678"/>
        <v>0</v>
      </c>
      <c r="LF9" s="29">
        <f t="shared" si="678"/>
        <v>0</v>
      </c>
      <c r="LG9" s="29">
        <f t="shared" si="678"/>
        <v>0</v>
      </c>
      <c r="LH9" s="29">
        <f t="shared" si="678"/>
        <v>0</v>
      </c>
      <c r="LI9" s="29">
        <f t="shared" si="678"/>
        <v>0</v>
      </c>
      <c r="LJ9" s="29">
        <f t="shared" si="678"/>
        <v>0</v>
      </c>
      <c r="LK9" s="29">
        <f t="shared" si="678"/>
        <v>0</v>
      </c>
      <c r="LL9" s="29">
        <f t="shared" si="678"/>
        <v>0</v>
      </c>
      <c r="LM9" s="29">
        <f t="shared" si="678"/>
        <v>0</v>
      </c>
      <c r="LN9" s="29">
        <f t="shared" si="678"/>
        <v>0</v>
      </c>
      <c r="LO9" s="29">
        <f t="shared" si="678"/>
        <v>0</v>
      </c>
      <c r="LP9" s="29">
        <f t="shared" si="678"/>
        <v>0</v>
      </c>
      <c r="LQ9" s="29">
        <f t="shared" si="678"/>
        <v>0</v>
      </c>
      <c r="LR9" s="29">
        <f t="shared" si="678"/>
        <v>0</v>
      </c>
      <c r="LS9" s="29">
        <f t="shared" si="678"/>
        <v>0</v>
      </c>
      <c r="LT9" s="29">
        <f t="shared" si="678"/>
        <v>0</v>
      </c>
      <c r="LU9" s="29">
        <f t="shared" si="678"/>
        <v>0</v>
      </c>
      <c r="LV9" s="29">
        <f t="shared" si="678"/>
        <v>0</v>
      </c>
      <c r="LW9" s="29">
        <f t="shared" si="678"/>
        <v>0</v>
      </c>
      <c r="LX9" s="29">
        <f t="shared" si="678"/>
        <v>0</v>
      </c>
      <c r="LY9" s="29">
        <f t="shared" si="678"/>
        <v>0</v>
      </c>
      <c r="LZ9" s="29">
        <f t="shared" si="678"/>
        <v>0</v>
      </c>
      <c r="MA9" s="29">
        <f t="shared" si="678"/>
        <v>0</v>
      </c>
      <c r="MB9" s="29">
        <f t="shared" si="678"/>
        <v>0</v>
      </c>
      <c r="MC9" s="29">
        <f t="shared" si="678"/>
        <v>0</v>
      </c>
      <c r="MD9" s="29">
        <f t="shared" si="678"/>
        <v>0</v>
      </c>
      <c r="ME9" s="29">
        <f t="shared" si="678"/>
        <v>0</v>
      </c>
      <c r="MF9" s="29">
        <f t="shared" si="678"/>
        <v>0</v>
      </c>
      <c r="MG9" s="29">
        <f t="shared" si="678"/>
        <v>0</v>
      </c>
      <c r="MH9" s="29">
        <f t="shared" si="678"/>
        <v>0</v>
      </c>
      <c r="MI9" s="29">
        <f t="shared" si="678"/>
        <v>0</v>
      </c>
      <c r="MJ9" s="29">
        <f t="shared" si="678"/>
        <v>0</v>
      </c>
      <c r="MK9" s="29">
        <f t="shared" si="678"/>
        <v>0</v>
      </c>
      <c r="ML9" s="29">
        <f t="shared" si="678"/>
        <v>0</v>
      </c>
      <c r="MM9" s="29">
        <f t="shared" si="678"/>
        <v>0</v>
      </c>
      <c r="MN9" s="29">
        <f t="shared" si="678"/>
        <v>0</v>
      </c>
      <c r="MO9" s="29">
        <f t="shared" si="678"/>
        <v>0</v>
      </c>
      <c r="MP9" s="29">
        <f t="shared" si="678"/>
        <v>0</v>
      </c>
      <c r="MQ9" s="29">
        <f t="shared" ref="MQ9:PB9" si="679">IF(AND($J9&lt;=MQ$3, $K9&gt;=MQ$3),1,0)</f>
        <v>0</v>
      </c>
      <c r="MR9" s="29">
        <f t="shared" si="679"/>
        <v>0</v>
      </c>
      <c r="MS9" s="29">
        <f t="shared" si="679"/>
        <v>0</v>
      </c>
      <c r="MT9" s="29">
        <f t="shared" si="679"/>
        <v>0</v>
      </c>
      <c r="MU9" s="29">
        <f t="shared" si="679"/>
        <v>0</v>
      </c>
      <c r="MV9" s="29">
        <f t="shared" si="679"/>
        <v>0</v>
      </c>
      <c r="MW9" s="29">
        <f t="shared" si="679"/>
        <v>0</v>
      </c>
      <c r="MX9" s="29">
        <f t="shared" si="679"/>
        <v>0</v>
      </c>
      <c r="MY9" s="29">
        <f t="shared" si="679"/>
        <v>0</v>
      </c>
      <c r="MZ9" s="29">
        <f t="shared" si="679"/>
        <v>0</v>
      </c>
      <c r="NA9" s="29">
        <f t="shared" si="679"/>
        <v>0</v>
      </c>
      <c r="NB9" s="29">
        <f t="shared" si="679"/>
        <v>0</v>
      </c>
      <c r="NC9" s="29">
        <f t="shared" si="679"/>
        <v>0</v>
      </c>
      <c r="ND9" s="29">
        <f t="shared" si="679"/>
        <v>0</v>
      </c>
      <c r="NE9" s="29">
        <f t="shared" si="679"/>
        <v>0</v>
      </c>
      <c r="NF9" s="29">
        <f t="shared" si="679"/>
        <v>0</v>
      </c>
      <c r="NG9" s="29">
        <f t="shared" si="679"/>
        <v>0</v>
      </c>
      <c r="NH9" s="29">
        <f t="shared" si="679"/>
        <v>0</v>
      </c>
      <c r="NI9" s="29">
        <f t="shared" si="679"/>
        <v>0</v>
      </c>
      <c r="NJ9" s="29">
        <f t="shared" si="679"/>
        <v>0</v>
      </c>
      <c r="NK9" s="29">
        <f t="shared" si="679"/>
        <v>0</v>
      </c>
      <c r="NL9" s="29">
        <f t="shared" si="679"/>
        <v>0</v>
      </c>
      <c r="NM9" s="29">
        <f t="shared" si="679"/>
        <v>0</v>
      </c>
      <c r="NN9" s="29">
        <f t="shared" si="679"/>
        <v>0</v>
      </c>
      <c r="NO9" s="29">
        <f t="shared" si="679"/>
        <v>0</v>
      </c>
      <c r="NP9" s="29">
        <f t="shared" si="679"/>
        <v>0</v>
      </c>
      <c r="NQ9" s="29">
        <f t="shared" si="679"/>
        <v>0</v>
      </c>
      <c r="NR9" s="29">
        <f t="shared" si="679"/>
        <v>0</v>
      </c>
      <c r="NS9" s="29">
        <f t="shared" si="679"/>
        <v>0</v>
      </c>
      <c r="NT9" s="29">
        <f t="shared" si="679"/>
        <v>0</v>
      </c>
      <c r="NU9" s="29">
        <f t="shared" si="679"/>
        <v>0</v>
      </c>
      <c r="NV9" s="29">
        <f t="shared" si="679"/>
        <v>0</v>
      </c>
      <c r="NW9" s="29">
        <f t="shared" si="679"/>
        <v>0</v>
      </c>
      <c r="NX9" s="29">
        <f t="shared" si="679"/>
        <v>0</v>
      </c>
      <c r="NY9" s="29">
        <f t="shared" si="679"/>
        <v>0</v>
      </c>
      <c r="NZ9" s="29">
        <f t="shared" si="679"/>
        <v>0</v>
      </c>
      <c r="OA9" s="29">
        <f t="shared" si="679"/>
        <v>0</v>
      </c>
      <c r="OB9" s="29">
        <f t="shared" si="679"/>
        <v>0</v>
      </c>
      <c r="OC9" s="29">
        <f t="shared" si="679"/>
        <v>0</v>
      </c>
      <c r="OD9" s="29">
        <f t="shared" si="679"/>
        <v>0</v>
      </c>
      <c r="OE9" s="29">
        <f t="shared" si="679"/>
        <v>0</v>
      </c>
      <c r="OF9" s="29">
        <f t="shared" si="679"/>
        <v>0</v>
      </c>
      <c r="OG9" s="29">
        <f t="shared" si="679"/>
        <v>0</v>
      </c>
      <c r="OH9" s="29">
        <f t="shared" si="679"/>
        <v>0</v>
      </c>
      <c r="OI9" s="29">
        <f t="shared" si="679"/>
        <v>0</v>
      </c>
      <c r="OJ9" s="29">
        <f t="shared" si="679"/>
        <v>0</v>
      </c>
      <c r="OK9" s="29">
        <f t="shared" si="679"/>
        <v>0</v>
      </c>
      <c r="OL9" s="29">
        <f t="shared" si="679"/>
        <v>0</v>
      </c>
      <c r="OM9" s="29">
        <f t="shared" si="679"/>
        <v>0</v>
      </c>
      <c r="ON9" s="29">
        <f t="shared" si="679"/>
        <v>0</v>
      </c>
      <c r="OO9" s="29">
        <f t="shared" si="679"/>
        <v>0</v>
      </c>
      <c r="OP9" s="29">
        <f t="shared" si="679"/>
        <v>0</v>
      </c>
      <c r="OQ9" s="29">
        <f t="shared" si="679"/>
        <v>0</v>
      </c>
      <c r="OR9" s="29">
        <f t="shared" si="679"/>
        <v>0</v>
      </c>
      <c r="OS9" s="29">
        <f t="shared" si="679"/>
        <v>0</v>
      </c>
      <c r="OT9" s="29">
        <f t="shared" si="679"/>
        <v>0</v>
      </c>
      <c r="OU9" s="29">
        <f t="shared" si="679"/>
        <v>0</v>
      </c>
      <c r="OV9" s="29">
        <f t="shared" si="679"/>
        <v>0</v>
      </c>
      <c r="OW9" s="29">
        <f t="shared" si="679"/>
        <v>0</v>
      </c>
      <c r="OX9" s="29">
        <f t="shared" si="679"/>
        <v>0</v>
      </c>
      <c r="OY9" s="29">
        <f t="shared" si="679"/>
        <v>0</v>
      </c>
      <c r="OZ9" s="29">
        <f t="shared" si="679"/>
        <v>0</v>
      </c>
      <c r="PA9" s="29">
        <f t="shared" si="679"/>
        <v>0</v>
      </c>
      <c r="PB9" s="29">
        <f t="shared" si="679"/>
        <v>0</v>
      </c>
      <c r="PC9" s="29">
        <f t="shared" ref="PC9:QY9" si="680">IF(AND($J9&lt;=PC$3, $K9&gt;=PC$3),1,0)</f>
        <v>0</v>
      </c>
      <c r="PD9" s="29">
        <f t="shared" si="680"/>
        <v>0</v>
      </c>
      <c r="PE9" s="29">
        <f t="shared" si="680"/>
        <v>0</v>
      </c>
      <c r="PF9" s="29">
        <f t="shared" si="680"/>
        <v>0</v>
      </c>
      <c r="PG9" s="29">
        <f t="shared" si="680"/>
        <v>0</v>
      </c>
      <c r="PH9" s="29">
        <f t="shared" si="680"/>
        <v>0</v>
      </c>
      <c r="PI9" s="29">
        <f t="shared" si="680"/>
        <v>0</v>
      </c>
      <c r="PJ9" s="29">
        <f t="shared" si="680"/>
        <v>0</v>
      </c>
      <c r="PK9" s="29">
        <f t="shared" si="680"/>
        <v>0</v>
      </c>
      <c r="PL9" s="29">
        <f t="shared" si="680"/>
        <v>0</v>
      </c>
      <c r="PM9" s="29">
        <f t="shared" si="680"/>
        <v>0</v>
      </c>
      <c r="PN9" s="29">
        <f t="shared" si="680"/>
        <v>0</v>
      </c>
      <c r="PO9" s="29">
        <f t="shared" si="680"/>
        <v>0</v>
      </c>
      <c r="PP9" s="29">
        <f t="shared" si="680"/>
        <v>0</v>
      </c>
      <c r="PQ9" s="29">
        <f t="shared" si="680"/>
        <v>0</v>
      </c>
      <c r="PR9" s="29">
        <f t="shared" si="680"/>
        <v>0</v>
      </c>
      <c r="PS9" s="29">
        <f t="shared" si="680"/>
        <v>0</v>
      </c>
      <c r="PT9" s="29">
        <f t="shared" si="680"/>
        <v>0</v>
      </c>
      <c r="PU9" s="29">
        <f t="shared" si="680"/>
        <v>0</v>
      </c>
      <c r="PV9" s="29">
        <f t="shared" si="680"/>
        <v>0</v>
      </c>
      <c r="PW9" s="29">
        <f t="shared" si="680"/>
        <v>0</v>
      </c>
      <c r="PX9" s="29">
        <f t="shared" si="680"/>
        <v>0</v>
      </c>
      <c r="PY9" s="29">
        <f t="shared" si="680"/>
        <v>0</v>
      </c>
      <c r="PZ9" s="29">
        <f t="shared" si="680"/>
        <v>0</v>
      </c>
      <c r="QA9" s="29">
        <f t="shared" si="680"/>
        <v>0</v>
      </c>
      <c r="QB9" s="29">
        <f t="shared" si="680"/>
        <v>0</v>
      </c>
      <c r="QC9" s="29">
        <f t="shared" si="680"/>
        <v>0</v>
      </c>
      <c r="QD9" s="29">
        <f t="shared" si="680"/>
        <v>0</v>
      </c>
      <c r="QE9" s="29">
        <f t="shared" si="680"/>
        <v>0</v>
      </c>
      <c r="QF9" s="29">
        <f t="shared" si="680"/>
        <v>0</v>
      </c>
      <c r="QG9" s="29">
        <f t="shared" si="680"/>
        <v>0</v>
      </c>
      <c r="QH9" s="29">
        <f t="shared" si="680"/>
        <v>0</v>
      </c>
      <c r="QI9" s="29">
        <f t="shared" si="680"/>
        <v>0</v>
      </c>
      <c r="QJ9" s="29">
        <f t="shared" si="680"/>
        <v>0</v>
      </c>
      <c r="QK9" s="29">
        <f t="shared" si="680"/>
        <v>0</v>
      </c>
      <c r="QL9" s="29">
        <f t="shared" si="680"/>
        <v>0</v>
      </c>
      <c r="QM9" s="29">
        <f t="shared" si="680"/>
        <v>0</v>
      </c>
      <c r="QN9" s="29">
        <f t="shared" si="680"/>
        <v>0</v>
      </c>
      <c r="QO9" s="29">
        <f t="shared" si="680"/>
        <v>0</v>
      </c>
      <c r="QP9" s="29">
        <f t="shared" si="680"/>
        <v>0</v>
      </c>
      <c r="QQ9" s="29">
        <f t="shared" si="680"/>
        <v>0</v>
      </c>
      <c r="QR9" s="29">
        <f t="shared" si="680"/>
        <v>0</v>
      </c>
      <c r="QS9" s="29">
        <f t="shared" si="680"/>
        <v>0</v>
      </c>
      <c r="QT9" s="29">
        <f t="shared" si="680"/>
        <v>0</v>
      </c>
      <c r="QU9" s="29">
        <f t="shared" si="680"/>
        <v>0</v>
      </c>
      <c r="QV9" s="29">
        <f t="shared" si="680"/>
        <v>0</v>
      </c>
      <c r="QW9" s="29">
        <f t="shared" si="680"/>
        <v>0</v>
      </c>
      <c r="QX9" s="29">
        <f t="shared" si="680"/>
        <v>0</v>
      </c>
      <c r="QY9" s="29">
        <f t="shared" si="680"/>
        <v>0</v>
      </c>
      <c r="QZ9" s="29">
        <f t="shared" si="665"/>
        <v>0</v>
      </c>
      <c r="RA9" s="29">
        <f t="shared" si="665"/>
        <v>0</v>
      </c>
      <c r="RB9" s="29">
        <f t="shared" si="665"/>
        <v>0</v>
      </c>
      <c r="RC9" s="29">
        <f t="shared" si="665"/>
        <v>0</v>
      </c>
      <c r="RD9" s="29">
        <f t="shared" si="665"/>
        <v>0</v>
      </c>
      <c r="RE9" s="29">
        <f t="shared" si="665"/>
        <v>0</v>
      </c>
      <c r="RF9" s="29">
        <f t="shared" si="665"/>
        <v>0</v>
      </c>
      <c r="RG9" s="29">
        <f t="shared" si="665"/>
        <v>0</v>
      </c>
      <c r="RH9" s="29">
        <f t="shared" si="665"/>
        <v>0</v>
      </c>
      <c r="RI9" s="29">
        <f t="shared" si="665"/>
        <v>0</v>
      </c>
      <c r="RJ9" s="29">
        <f t="shared" si="665"/>
        <v>0</v>
      </c>
      <c r="RK9" s="29">
        <f t="shared" si="665"/>
        <v>0</v>
      </c>
      <c r="RL9" s="29">
        <f t="shared" si="665"/>
        <v>0</v>
      </c>
      <c r="RM9" s="29">
        <f t="shared" si="665"/>
        <v>0</v>
      </c>
      <c r="RN9" s="29">
        <f t="shared" ref="RN9:TW10" si="681">IF(AND($J9&lt;=RN$3, $K9&gt;=RN$3),1,0)</f>
        <v>0</v>
      </c>
      <c r="RO9" s="29">
        <f t="shared" si="681"/>
        <v>0</v>
      </c>
      <c r="RP9" s="29">
        <f t="shared" si="681"/>
        <v>0</v>
      </c>
      <c r="RQ9" s="29">
        <f t="shared" si="681"/>
        <v>0</v>
      </c>
      <c r="RR9" s="29">
        <f t="shared" si="681"/>
        <v>0</v>
      </c>
      <c r="RS9" s="29">
        <f t="shared" si="681"/>
        <v>0</v>
      </c>
      <c r="RT9" s="29">
        <f t="shared" si="666"/>
        <v>0</v>
      </c>
      <c r="RU9" s="29">
        <f t="shared" si="666"/>
        <v>0</v>
      </c>
      <c r="RV9" s="29">
        <f t="shared" si="666"/>
        <v>0</v>
      </c>
      <c r="RW9" s="29">
        <f t="shared" si="666"/>
        <v>0</v>
      </c>
      <c r="RX9" s="29">
        <f t="shared" si="666"/>
        <v>0</v>
      </c>
      <c r="RY9" s="29">
        <f t="shared" si="666"/>
        <v>0</v>
      </c>
      <c r="RZ9" s="29">
        <f t="shared" si="666"/>
        <v>0</v>
      </c>
      <c r="SA9" s="29">
        <f t="shared" si="666"/>
        <v>0</v>
      </c>
      <c r="SB9" s="29">
        <f t="shared" si="681"/>
        <v>0</v>
      </c>
      <c r="SC9" s="29">
        <f t="shared" si="681"/>
        <v>0</v>
      </c>
      <c r="SD9" s="29">
        <f t="shared" si="681"/>
        <v>0</v>
      </c>
      <c r="SE9" s="29">
        <f t="shared" si="681"/>
        <v>0</v>
      </c>
      <c r="SF9" s="29">
        <f t="shared" si="681"/>
        <v>0</v>
      </c>
      <c r="SG9" s="29">
        <f t="shared" si="681"/>
        <v>0</v>
      </c>
      <c r="SH9" s="29">
        <f t="shared" si="666"/>
        <v>0</v>
      </c>
      <c r="SI9" s="29">
        <f t="shared" si="666"/>
        <v>0</v>
      </c>
      <c r="SJ9" s="29">
        <f t="shared" si="666"/>
        <v>0</v>
      </c>
      <c r="SK9" s="29">
        <f t="shared" si="666"/>
        <v>0</v>
      </c>
      <c r="SL9" s="29">
        <f t="shared" si="666"/>
        <v>0</v>
      </c>
      <c r="SM9" s="29">
        <f t="shared" si="666"/>
        <v>0</v>
      </c>
      <c r="SN9" s="29">
        <f t="shared" si="666"/>
        <v>0</v>
      </c>
      <c r="SO9" s="29">
        <f t="shared" si="666"/>
        <v>0</v>
      </c>
      <c r="SP9" s="29">
        <f t="shared" si="681"/>
        <v>0</v>
      </c>
      <c r="SQ9" s="29">
        <f t="shared" si="681"/>
        <v>0</v>
      </c>
      <c r="SR9" s="29">
        <f t="shared" si="681"/>
        <v>0</v>
      </c>
      <c r="SS9" s="29">
        <f t="shared" si="681"/>
        <v>0</v>
      </c>
      <c r="ST9" s="29">
        <f t="shared" si="681"/>
        <v>0</v>
      </c>
      <c r="SU9" s="29">
        <f t="shared" si="681"/>
        <v>0</v>
      </c>
      <c r="SV9" s="29">
        <f t="shared" si="666"/>
        <v>0</v>
      </c>
      <c r="SW9" s="29">
        <f t="shared" si="666"/>
        <v>0</v>
      </c>
      <c r="SX9" s="29">
        <f t="shared" si="666"/>
        <v>0</v>
      </c>
      <c r="SY9" s="29">
        <f t="shared" si="666"/>
        <v>0</v>
      </c>
      <c r="SZ9" s="29">
        <f t="shared" si="666"/>
        <v>0</v>
      </c>
      <c r="TA9" s="29">
        <f t="shared" si="666"/>
        <v>0</v>
      </c>
      <c r="TB9" s="29">
        <f t="shared" si="666"/>
        <v>0</v>
      </c>
      <c r="TC9" s="29">
        <f t="shared" si="666"/>
        <v>0</v>
      </c>
      <c r="TD9" s="29">
        <f t="shared" si="681"/>
        <v>0</v>
      </c>
      <c r="TE9" s="29">
        <f t="shared" si="681"/>
        <v>0</v>
      </c>
      <c r="TF9" s="29">
        <f t="shared" si="681"/>
        <v>0</v>
      </c>
      <c r="TG9" s="29">
        <f t="shared" si="681"/>
        <v>0</v>
      </c>
      <c r="TH9" s="29">
        <f t="shared" si="681"/>
        <v>0</v>
      </c>
      <c r="TI9" s="29">
        <f t="shared" si="681"/>
        <v>0</v>
      </c>
      <c r="TJ9" s="29">
        <f t="shared" si="666"/>
        <v>0</v>
      </c>
      <c r="TK9" s="29">
        <f t="shared" si="666"/>
        <v>0</v>
      </c>
      <c r="TL9" s="29">
        <f t="shared" si="666"/>
        <v>0</v>
      </c>
      <c r="TM9" s="29">
        <f t="shared" si="666"/>
        <v>0</v>
      </c>
      <c r="TN9" s="29">
        <f t="shared" si="666"/>
        <v>0</v>
      </c>
      <c r="TO9" s="29">
        <f t="shared" si="666"/>
        <v>0</v>
      </c>
      <c r="TP9" s="29">
        <f t="shared" si="666"/>
        <v>0</v>
      </c>
      <c r="TQ9" s="29">
        <f t="shared" si="666"/>
        <v>0</v>
      </c>
      <c r="TR9" s="29">
        <f t="shared" si="681"/>
        <v>0</v>
      </c>
      <c r="TS9" s="29">
        <f t="shared" si="681"/>
        <v>0</v>
      </c>
      <c r="TT9" s="29">
        <f t="shared" si="681"/>
        <v>0</v>
      </c>
      <c r="TU9" s="29">
        <f t="shared" si="681"/>
        <v>0</v>
      </c>
      <c r="TV9" s="29">
        <f t="shared" si="681"/>
        <v>0</v>
      </c>
      <c r="TW9" s="29">
        <f t="shared" si="681"/>
        <v>0</v>
      </c>
      <c r="TX9" s="29">
        <f t="shared" si="666"/>
        <v>0</v>
      </c>
      <c r="TY9" s="29">
        <f t="shared" si="666"/>
        <v>0</v>
      </c>
      <c r="TZ9" s="29">
        <f t="shared" si="666"/>
        <v>0</v>
      </c>
      <c r="UA9" s="29">
        <f t="shared" si="666"/>
        <v>0</v>
      </c>
      <c r="UB9" s="29">
        <f t="shared" si="667"/>
        <v>0</v>
      </c>
      <c r="UC9" s="29">
        <f t="shared" si="667"/>
        <v>0</v>
      </c>
      <c r="UD9" s="29">
        <f t="shared" si="667"/>
        <v>0</v>
      </c>
      <c r="UE9" s="29">
        <f t="shared" si="667"/>
        <v>0</v>
      </c>
      <c r="UF9" s="29">
        <f t="shared" si="667"/>
        <v>0</v>
      </c>
      <c r="UG9" s="29">
        <f t="shared" si="667"/>
        <v>0</v>
      </c>
      <c r="UH9" s="29">
        <f t="shared" si="667"/>
        <v>0</v>
      </c>
      <c r="UI9" s="29">
        <f t="shared" si="667"/>
        <v>0</v>
      </c>
      <c r="UJ9" s="29">
        <f t="shared" si="667"/>
        <v>0</v>
      </c>
      <c r="UK9" s="29">
        <f t="shared" si="667"/>
        <v>0</v>
      </c>
      <c r="UL9" s="29">
        <f t="shared" si="667"/>
        <v>0</v>
      </c>
      <c r="UM9" s="29">
        <f t="shared" si="667"/>
        <v>0</v>
      </c>
      <c r="UN9" s="29">
        <f t="shared" si="667"/>
        <v>0</v>
      </c>
      <c r="UO9" s="29">
        <f t="shared" si="667"/>
        <v>0</v>
      </c>
      <c r="UP9" s="29">
        <f t="shared" si="667"/>
        <v>0</v>
      </c>
      <c r="UQ9" s="29">
        <f t="shared" si="667"/>
        <v>0</v>
      </c>
      <c r="UR9" s="29">
        <f t="shared" si="667"/>
        <v>0</v>
      </c>
      <c r="US9" s="29">
        <f t="shared" si="667"/>
        <v>0</v>
      </c>
      <c r="UT9" s="29">
        <f t="shared" si="667"/>
        <v>0</v>
      </c>
      <c r="UU9" s="29">
        <f t="shared" si="667"/>
        <v>0</v>
      </c>
      <c r="UV9" s="29">
        <f t="shared" si="667"/>
        <v>0</v>
      </c>
      <c r="UW9" s="29">
        <f t="shared" si="667"/>
        <v>0</v>
      </c>
      <c r="UX9" s="29">
        <f t="shared" si="667"/>
        <v>0</v>
      </c>
      <c r="UY9" s="29">
        <f t="shared" si="667"/>
        <v>0</v>
      </c>
      <c r="UZ9" s="29">
        <f t="shared" si="667"/>
        <v>0</v>
      </c>
      <c r="VA9" s="29">
        <f t="shared" si="667"/>
        <v>0</v>
      </c>
      <c r="VB9" s="29">
        <f t="shared" si="667"/>
        <v>0</v>
      </c>
      <c r="VC9" s="29">
        <f t="shared" si="667"/>
        <v>0</v>
      </c>
      <c r="VD9" s="29">
        <f t="shared" si="667"/>
        <v>0</v>
      </c>
      <c r="VE9" s="29">
        <f t="shared" si="667"/>
        <v>0</v>
      </c>
      <c r="VF9" s="29">
        <f t="shared" si="667"/>
        <v>0</v>
      </c>
      <c r="VG9" s="29">
        <f t="shared" si="667"/>
        <v>0</v>
      </c>
      <c r="VH9" s="29">
        <f t="shared" si="667"/>
        <v>0</v>
      </c>
      <c r="VI9" s="29">
        <f t="shared" si="667"/>
        <v>0</v>
      </c>
      <c r="VJ9" s="29">
        <f t="shared" si="667"/>
        <v>0</v>
      </c>
      <c r="VK9" s="29">
        <f t="shared" si="667"/>
        <v>0</v>
      </c>
      <c r="VL9" s="29">
        <f t="shared" si="667"/>
        <v>0</v>
      </c>
      <c r="VM9" s="29">
        <f t="shared" si="667"/>
        <v>0</v>
      </c>
      <c r="VN9" s="29">
        <f t="shared" si="667"/>
        <v>0</v>
      </c>
      <c r="VO9" s="29">
        <f t="shared" si="667"/>
        <v>0</v>
      </c>
      <c r="VP9" s="29">
        <f t="shared" si="667"/>
        <v>0</v>
      </c>
      <c r="VQ9" s="29">
        <f t="shared" si="667"/>
        <v>0</v>
      </c>
      <c r="VR9" s="29">
        <f t="shared" si="667"/>
        <v>0</v>
      </c>
      <c r="VS9" s="29">
        <f t="shared" si="667"/>
        <v>0</v>
      </c>
      <c r="VT9" s="29">
        <f t="shared" si="667"/>
        <v>0</v>
      </c>
      <c r="VU9" s="29">
        <f t="shared" si="667"/>
        <v>0</v>
      </c>
      <c r="VV9" s="29">
        <f t="shared" si="667"/>
        <v>0</v>
      </c>
      <c r="VW9" s="29">
        <f t="shared" si="667"/>
        <v>0</v>
      </c>
      <c r="VX9" s="29">
        <f t="shared" si="667"/>
        <v>0</v>
      </c>
      <c r="VY9" s="29">
        <f t="shared" si="667"/>
        <v>0</v>
      </c>
      <c r="VZ9" s="29">
        <f t="shared" si="667"/>
        <v>0</v>
      </c>
      <c r="WA9" s="29">
        <f t="shared" si="667"/>
        <v>0</v>
      </c>
      <c r="WB9" s="29">
        <f t="shared" si="667"/>
        <v>0</v>
      </c>
      <c r="WC9" s="29">
        <f t="shared" si="667"/>
        <v>0</v>
      </c>
      <c r="WD9" s="29">
        <f t="shared" si="667"/>
        <v>0</v>
      </c>
      <c r="WE9" s="29">
        <f t="shared" si="667"/>
        <v>0</v>
      </c>
      <c r="WF9" s="29">
        <f t="shared" si="667"/>
        <v>0</v>
      </c>
      <c r="WG9" s="29">
        <f t="shared" si="667"/>
        <v>0</v>
      </c>
      <c r="WH9" s="29">
        <f t="shared" si="667"/>
        <v>0</v>
      </c>
      <c r="WI9" s="29">
        <f t="shared" si="667"/>
        <v>0</v>
      </c>
      <c r="WJ9" s="29">
        <f t="shared" si="667"/>
        <v>0</v>
      </c>
      <c r="WK9" s="29">
        <f t="shared" si="667"/>
        <v>0</v>
      </c>
      <c r="WL9" s="29">
        <f t="shared" si="667"/>
        <v>0</v>
      </c>
      <c r="WM9" s="29">
        <f t="shared" si="667"/>
        <v>0</v>
      </c>
      <c r="WN9" s="29">
        <f t="shared" si="668"/>
        <v>0</v>
      </c>
      <c r="WO9" s="29">
        <f t="shared" si="668"/>
        <v>0</v>
      </c>
      <c r="WP9" s="29">
        <f t="shared" si="668"/>
        <v>0</v>
      </c>
      <c r="WQ9" s="29">
        <f t="shared" si="668"/>
        <v>0</v>
      </c>
      <c r="WR9" s="29">
        <f t="shared" si="668"/>
        <v>0</v>
      </c>
      <c r="WS9" s="29">
        <f t="shared" si="668"/>
        <v>0</v>
      </c>
      <c r="WT9" s="29">
        <f t="shared" si="668"/>
        <v>0</v>
      </c>
      <c r="WU9" s="29">
        <f t="shared" si="668"/>
        <v>0</v>
      </c>
      <c r="WV9" s="29">
        <f t="shared" si="668"/>
        <v>0</v>
      </c>
      <c r="WW9" s="29">
        <f t="shared" si="668"/>
        <v>0</v>
      </c>
      <c r="WX9" s="29">
        <f t="shared" si="668"/>
        <v>0</v>
      </c>
      <c r="WY9" s="29">
        <f t="shared" si="668"/>
        <v>0</v>
      </c>
      <c r="WZ9" s="29">
        <f t="shared" si="668"/>
        <v>0</v>
      </c>
      <c r="XA9" s="29">
        <f t="shared" si="668"/>
        <v>0</v>
      </c>
      <c r="XB9" s="29">
        <f t="shared" si="668"/>
        <v>0</v>
      </c>
      <c r="XC9" s="29">
        <f t="shared" si="668"/>
        <v>0</v>
      </c>
      <c r="XD9" s="29">
        <f t="shared" si="668"/>
        <v>0</v>
      </c>
      <c r="XE9" s="29">
        <f t="shared" si="668"/>
        <v>0</v>
      </c>
      <c r="XF9" s="29">
        <f t="shared" si="668"/>
        <v>0</v>
      </c>
      <c r="XG9" s="29">
        <f t="shared" si="668"/>
        <v>0</v>
      </c>
      <c r="XH9" s="29">
        <f t="shared" si="668"/>
        <v>0</v>
      </c>
      <c r="XI9" s="29">
        <f t="shared" si="668"/>
        <v>0</v>
      </c>
      <c r="XJ9" s="29">
        <f t="shared" si="668"/>
        <v>0</v>
      </c>
      <c r="XK9" s="29">
        <f t="shared" si="668"/>
        <v>0</v>
      </c>
      <c r="XL9" s="29">
        <f t="shared" si="668"/>
        <v>0</v>
      </c>
      <c r="XM9" s="29">
        <f t="shared" si="668"/>
        <v>0</v>
      </c>
      <c r="XN9" s="29">
        <f t="shared" si="668"/>
        <v>0</v>
      </c>
      <c r="XO9" s="29">
        <f t="shared" si="668"/>
        <v>0</v>
      </c>
      <c r="XP9" s="29">
        <f t="shared" si="668"/>
        <v>0</v>
      </c>
      <c r="XQ9" s="29">
        <f t="shared" si="668"/>
        <v>0</v>
      </c>
      <c r="XR9" s="29">
        <f t="shared" si="668"/>
        <v>0</v>
      </c>
      <c r="XS9" s="29">
        <f t="shared" si="668"/>
        <v>0</v>
      </c>
      <c r="XT9" s="29">
        <f t="shared" si="668"/>
        <v>0</v>
      </c>
      <c r="XU9" s="29">
        <f t="shared" si="668"/>
        <v>0</v>
      </c>
      <c r="XV9" s="29">
        <f t="shared" si="668"/>
        <v>0</v>
      </c>
      <c r="XW9" s="29">
        <f t="shared" si="668"/>
        <v>0</v>
      </c>
      <c r="XX9" s="29">
        <f t="shared" si="668"/>
        <v>0</v>
      </c>
      <c r="XY9" s="29">
        <f t="shared" si="668"/>
        <v>0</v>
      </c>
      <c r="XZ9" s="29">
        <f t="shared" si="668"/>
        <v>0</v>
      </c>
      <c r="YA9" s="29">
        <f t="shared" si="668"/>
        <v>0</v>
      </c>
      <c r="YB9" s="29">
        <f t="shared" si="668"/>
        <v>0</v>
      </c>
      <c r="YC9" s="29">
        <f t="shared" si="668"/>
        <v>0</v>
      </c>
      <c r="YD9" s="29">
        <f t="shared" si="668"/>
        <v>0</v>
      </c>
      <c r="YE9" s="29">
        <f t="shared" si="668"/>
        <v>0</v>
      </c>
      <c r="YF9" s="29">
        <f t="shared" si="668"/>
        <v>0</v>
      </c>
      <c r="YG9" s="29">
        <f t="shared" si="668"/>
        <v>0</v>
      </c>
      <c r="YH9" s="29">
        <f t="shared" si="668"/>
        <v>0</v>
      </c>
      <c r="YI9" s="29">
        <f t="shared" si="668"/>
        <v>0</v>
      </c>
      <c r="YJ9" s="29">
        <f t="shared" si="668"/>
        <v>0</v>
      </c>
      <c r="YK9" s="29">
        <f t="shared" si="668"/>
        <v>0</v>
      </c>
      <c r="YL9" s="29">
        <f t="shared" si="668"/>
        <v>0</v>
      </c>
      <c r="YM9" s="29">
        <f t="shared" si="668"/>
        <v>0</v>
      </c>
      <c r="YN9" s="29">
        <f t="shared" si="668"/>
        <v>0</v>
      </c>
      <c r="YO9" s="29">
        <f t="shared" si="668"/>
        <v>0</v>
      </c>
      <c r="YP9" s="29">
        <f t="shared" si="668"/>
        <v>0</v>
      </c>
      <c r="YQ9" s="29">
        <f t="shared" si="668"/>
        <v>0</v>
      </c>
      <c r="YR9" s="29">
        <f t="shared" si="668"/>
        <v>0</v>
      </c>
      <c r="YS9" s="29">
        <f t="shared" si="668"/>
        <v>0</v>
      </c>
      <c r="YT9" s="29">
        <f t="shared" si="668"/>
        <v>0</v>
      </c>
      <c r="YU9" s="29">
        <f t="shared" si="668"/>
        <v>0</v>
      </c>
      <c r="YV9" s="29">
        <f t="shared" si="668"/>
        <v>0</v>
      </c>
      <c r="YW9" s="29">
        <f t="shared" si="668"/>
        <v>0</v>
      </c>
      <c r="YX9" s="29">
        <f t="shared" si="668"/>
        <v>0</v>
      </c>
      <c r="YY9" s="29">
        <f t="shared" si="668"/>
        <v>0</v>
      </c>
      <c r="YZ9" s="29">
        <f t="shared" si="669"/>
        <v>0</v>
      </c>
      <c r="ZA9" s="29">
        <f t="shared" si="669"/>
        <v>0</v>
      </c>
      <c r="ZB9" s="29">
        <f t="shared" si="669"/>
        <v>0</v>
      </c>
      <c r="ZC9" s="29">
        <f t="shared" si="669"/>
        <v>0</v>
      </c>
      <c r="ZD9" s="29">
        <f t="shared" si="669"/>
        <v>0</v>
      </c>
      <c r="ZE9" s="29">
        <f t="shared" si="669"/>
        <v>0</v>
      </c>
      <c r="ZF9" s="29">
        <f t="shared" si="669"/>
        <v>0</v>
      </c>
      <c r="ZG9" s="29">
        <f t="shared" si="669"/>
        <v>0</v>
      </c>
      <c r="ZH9" s="29">
        <f t="shared" si="669"/>
        <v>0</v>
      </c>
      <c r="ZI9" s="29">
        <f t="shared" si="669"/>
        <v>0</v>
      </c>
      <c r="ZJ9" s="29">
        <f t="shared" si="669"/>
        <v>0</v>
      </c>
      <c r="ZK9" s="29">
        <f t="shared" si="669"/>
        <v>0</v>
      </c>
      <c r="ZL9" s="29">
        <f t="shared" si="669"/>
        <v>0</v>
      </c>
      <c r="ZM9" s="29">
        <f t="shared" si="669"/>
        <v>0</v>
      </c>
      <c r="ZN9" s="29">
        <f t="shared" si="669"/>
        <v>0</v>
      </c>
      <c r="ZO9" s="29">
        <f t="shared" si="669"/>
        <v>0</v>
      </c>
      <c r="ZP9" s="29">
        <f t="shared" si="669"/>
        <v>0</v>
      </c>
      <c r="ZQ9" s="29">
        <f t="shared" si="669"/>
        <v>0</v>
      </c>
      <c r="ZR9" s="29">
        <f t="shared" si="669"/>
        <v>0</v>
      </c>
      <c r="ZS9" s="29">
        <f t="shared" si="669"/>
        <v>0</v>
      </c>
      <c r="ZT9" s="29">
        <f t="shared" si="669"/>
        <v>0</v>
      </c>
      <c r="ZU9" s="29">
        <f t="shared" si="669"/>
        <v>0</v>
      </c>
      <c r="ZV9" s="29">
        <f t="shared" si="669"/>
        <v>0</v>
      </c>
      <c r="ZW9" s="29">
        <f t="shared" si="669"/>
        <v>0</v>
      </c>
      <c r="ZX9" s="29">
        <f t="shared" si="669"/>
        <v>0</v>
      </c>
      <c r="ZY9" s="29">
        <f t="shared" si="669"/>
        <v>0</v>
      </c>
      <c r="ZZ9" s="29">
        <f t="shared" si="669"/>
        <v>0</v>
      </c>
      <c r="AAA9" s="29">
        <f t="shared" si="669"/>
        <v>0</v>
      </c>
      <c r="AAB9" s="29">
        <f t="shared" si="669"/>
        <v>0</v>
      </c>
      <c r="AAC9" s="29">
        <f t="shared" si="669"/>
        <v>0</v>
      </c>
      <c r="AAD9" s="29">
        <f t="shared" si="669"/>
        <v>0</v>
      </c>
      <c r="AAE9" s="29">
        <f t="shared" si="669"/>
        <v>0</v>
      </c>
      <c r="AAF9" s="29">
        <f t="shared" si="669"/>
        <v>0</v>
      </c>
      <c r="AAG9" s="29">
        <f t="shared" si="669"/>
        <v>0</v>
      </c>
      <c r="AAH9" s="29">
        <f t="shared" si="669"/>
        <v>0</v>
      </c>
      <c r="AAI9" s="29">
        <f t="shared" si="669"/>
        <v>0</v>
      </c>
      <c r="AAJ9" s="29">
        <f t="shared" si="669"/>
        <v>0</v>
      </c>
      <c r="AAK9" s="29">
        <f t="shared" si="669"/>
        <v>0</v>
      </c>
      <c r="AAL9" s="29">
        <f t="shared" si="669"/>
        <v>0</v>
      </c>
      <c r="AAM9" s="29">
        <f t="shared" si="669"/>
        <v>0</v>
      </c>
      <c r="AAN9" s="29">
        <f t="shared" si="669"/>
        <v>0</v>
      </c>
      <c r="AAO9" s="29">
        <f t="shared" si="669"/>
        <v>0</v>
      </c>
      <c r="AAP9" s="29">
        <f t="shared" si="669"/>
        <v>0</v>
      </c>
      <c r="AAQ9" s="29">
        <f t="shared" si="669"/>
        <v>0</v>
      </c>
      <c r="AAR9" s="29">
        <f t="shared" si="669"/>
        <v>0</v>
      </c>
      <c r="AAS9" s="29">
        <f t="shared" si="669"/>
        <v>0</v>
      </c>
      <c r="AAT9" s="29">
        <f t="shared" si="669"/>
        <v>0</v>
      </c>
      <c r="AAU9" s="29">
        <f t="shared" si="669"/>
        <v>0</v>
      </c>
      <c r="AAV9" s="29">
        <f t="shared" si="669"/>
        <v>0</v>
      </c>
      <c r="AAW9" s="29">
        <f t="shared" si="669"/>
        <v>0</v>
      </c>
      <c r="AAX9" s="29">
        <f t="shared" si="669"/>
        <v>0</v>
      </c>
      <c r="AAY9" s="29">
        <f t="shared" si="669"/>
        <v>0</v>
      </c>
      <c r="AAZ9" s="29">
        <f t="shared" si="669"/>
        <v>0</v>
      </c>
      <c r="ABA9" s="29">
        <f t="shared" si="669"/>
        <v>0</v>
      </c>
      <c r="ABB9" s="29">
        <f t="shared" si="669"/>
        <v>0</v>
      </c>
      <c r="ABC9" s="29">
        <f t="shared" si="669"/>
        <v>0</v>
      </c>
      <c r="ABD9" s="29">
        <f t="shared" si="669"/>
        <v>0</v>
      </c>
      <c r="ABE9" s="29">
        <f t="shared" si="669"/>
        <v>0</v>
      </c>
      <c r="ABF9" s="29">
        <f t="shared" si="669"/>
        <v>0</v>
      </c>
      <c r="ABG9" s="29">
        <f t="shared" si="669"/>
        <v>0</v>
      </c>
      <c r="ABH9" s="29">
        <f t="shared" si="669"/>
        <v>0</v>
      </c>
      <c r="ABI9" s="29">
        <f t="shared" si="669"/>
        <v>0</v>
      </c>
      <c r="ABJ9" s="29">
        <f t="shared" si="669"/>
        <v>0</v>
      </c>
      <c r="ABK9" s="29">
        <f t="shared" si="669"/>
        <v>0</v>
      </c>
      <c r="ABL9" s="29">
        <f t="shared" si="670"/>
        <v>0</v>
      </c>
      <c r="ABM9" s="29">
        <f t="shared" si="670"/>
        <v>0</v>
      </c>
      <c r="ABN9" s="29">
        <f t="shared" si="670"/>
        <v>0</v>
      </c>
      <c r="ABO9" s="29">
        <f t="shared" si="670"/>
        <v>0</v>
      </c>
      <c r="ABP9" s="29">
        <f t="shared" si="670"/>
        <v>0</v>
      </c>
      <c r="ABQ9" s="29">
        <f t="shared" si="670"/>
        <v>0</v>
      </c>
      <c r="ABR9" s="29">
        <f t="shared" si="670"/>
        <v>0</v>
      </c>
      <c r="ABS9" s="29">
        <f t="shared" si="670"/>
        <v>0</v>
      </c>
      <c r="ABT9" s="29">
        <f t="shared" si="670"/>
        <v>0</v>
      </c>
      <c r="ABU9" s="29">
        <f t="shared" si="670"/>
        <v>0</v>
      </c>
      <c r="ABV9" s="29">
        <f t="shared" si="670"/>
        <v>0</v>
      </c>
      <c r="ABW9" s="29">
        <f t="shared" si="670"/>
        <v>0</v>
      </c>
      <c r="ABX9" s="29">
        <f t="shared" si="670"/>
        <v>0</v>
      </c>
      <c r="ABY9" s="29">
        <f t="shared" si="670"/>
        <v>0</v>
      </c>
      <c r="ABZ9" s="29">
        <f t="shared" si="670"/>
        <v>0</v>
      </c>
      <c r="ACA9" s="29">
        <f t="shared" si="670"/>
        <v>0</v>
      </c>
      <c r="ACB9" s="29">
        <f t="shared" si="670"/>
        <v>0</v>
      </c>
      <c r="ACC9" s="29">
        <f t="shared" si="670"/>
        <v>0</v>
      </c>
      <c r="ACD9" s="29">
        <f t="shared" si="670"/>
        <v>0</v>
      </c>
      <c r="ACE9" s="29">
        <f t="shared" si="670"/>
        <v>0</v>
      </c>
      <c r="ACF9" s="29">
        <f t="shared" si="670"/>
        <v>0</v>
      </c>
      <c r="ACG9" s="29">
        <f t="shared" si="670"/>
        <v>0</v>
      </c>
      <c r="ACH9" s="29">
        <f t="shared" si="670"/>
        <v>0</v>
      </c>
      <c r="ACI9" s="29">
        <f t="shared" si="670"/>
        <v>0</v>
      </c>
      <c r="ACJ9" s="29">
        <f t="shared" si="670"/>
        <v>0</v>
      </c>
      <c r="ACK9" s="29">
        <f t="shared" si="670"/>
        <v>0</v>
      </c>
      <c r="ACL9" s="29">
        <f t="shared" si="670"/>
        <v>0</v>
      </c>
      <c r="ACM9" s="29">
        <f t="shared" si="670"/>
        <v>0</v>
      </c>
      <c r="ACN9" s="29">
        <f t="shared" si="670"/>
        <v>0</v>
      </c>
      <c r="ACO9" s="29">
        <f t="shared" si="670"/>
        <v>0</v>
      </c>
      <c r="ACP9" s="29">
        <f t="shared" si="670"/>
        <v>0</v>
      </c>
      <c r="ACQ9" s="29">
        <f t="shared" si="670"/>
        <v>0</v>
      </c>
      <c r="ACR9" s="29">
        <f t="shared" si="670"/>
        <v>0</v>
      </c>
      <c r="ACS9" s="29">
        <f t="shared" si="670"/>
        <v>0</v>
      </c>
      <c r="ACT9" s="29">
        <f t="shared" si="670"/>
        <v>0</v>
      </c>
      <c r="ACU9" s="29">
        <f t="shared" si="670"/>
        <v>0</v>
      </c>
      <c r="ACV9" s="29">
        <f t="shared" si="670"/>
        <v>0</v>
      </c>
      <c r="ACW9" s="29">
        <f t="shared" si="670"/>
        <v>0</v>
      </c>
      <c r="ACX9" s="29">
        <f t="shared" si="670"/>
        <v>0</v>
      </c>
      <c r="ACY9" s="29">
        <f t="shared" si="670"/>
        <v>0</v>
      </c>
      <c r="ACZ9" s="29">
        <f t="shared" si="670"/>
        <v>0</v>
      </c>
      <c r="ADA9" s="29">
        <f t="shared" si="670"/>
        <v>0</v>
      </c>
      <c r="ADB9" s="29">
        <f t="shared" si="670"/>
        <v>0</v>
      </c>
      <c r="ADC9" s="29">
        <f t="shared" si="670"/>
        <v>0</v>
      </c>
      <c r="ADD9" s="29">
        <f t="shared" si="670"/>
        <v>0</v>
      </c>
      <c r="ADE9" s="29">
        <f t="shared" si="670"/>
        <v>0</v>
      </c>
      <c r="ADF9" s="29">
        <f t="shared" si="670"/>
        <v>0</v>
      </c>
      <c r="ADG9" s="29">
        <f t="shared" si="670"/>
        <v>0</v>
      </c>
      <c r="ADH9" s="29">
        <f t="shared" si="670"/>
        <v>0</v>
      </c>
      <c r="ADI9" s="29">
        <f t="shared" si="670"/>
        <v>0</v>
      </c>
      <c r="ADJ9" s="29">
        <f t="shared" si="670"/>
        <v>0</v>
      </c>
      <c r="ADK9" s="29">
        <f t="shared" si="670"/>
        <v>0</v>
      </c>
      <c r="ADL9" s="29">
        <f t="shared" si="670"/>
        <v>0</v>
      </c>
      <c r="ADM9" s="29">
        <f t="shared" si="670"/>
        <v>0</v>
      </c>
      <c r="ADN9" s="29">
        <f t="shared" si="670"/>
        <v>0</v>
      </c>
      <c r="ADO9" s="29">
        <f t="shared" si="670"/>
        <v>0</v>
      </c>
    </row>
    <row r="10" spans="1:795" s="30" customFormat="1" ht="12.75" x14ac:dyDescent="0.25">
      <c r="A10" s="20" t="str">
        <f t="shared" ca="1" si="652"/>
        <v>2015.3</v>
      </c>
      <c r="B10" s="74" t="s">
        <v>26</v>
      </c>
      <c r="C10" s="28" t="s">
        <v>63</v>
      </c>
      <c r="D10" s="28"/>
      <c r="E10" s="28" t="s">
        <v>20</v>
      </c>
      <c r="F10" s="28"/>
      <c r="G10" s="74" t="s">
        <v>54</v>
      </c>
      <c r="H10" s="106">
        <f>YEAR(J10)</f>
        <v>2015</v>
      </c>
      <c r="I10" s="68">
        <f>IsoWeekNumber(J10)</f>
        <v>10</v>
      </c>
      <c r="J10" s="54">
        <v>42066</v>
      </c>
      <c r="K10" s="21">
        <f t="shared" si="653"/>
        <v>42066</v>
      </c>
      <c r="L10" s="52">
        <v>1</v>
      </c>
      <c r="M10" s="76" t="s">
        <v>27</v>
      </c>
      <c r="N10" s="53">
        <v>1</v>
      </c>
      <c r="O10" s="22">
        <f t="shared" si="654"/>
        <v>1</v>
      </c>
      <c r="P10" s="23">
        <f t="shared" si="655"/>
        <v>1</v>
      </c>
      <c r="Q10" s="22">
        <f t="shared" si="656"/>
        <v>0</v>
      </c>
      <c r="R10" s="29"/>
      <c r="S10" s="29">
        <f t="shared" si="657"/>
        <v>0</v>
      </c>
      <c r="T10" s="29">
        <f t="shared" si="658"/>
        <v>0</v>
      </c>
      <c r="U10" s="29">
        <f t="shared" si="658"/>
        <v>0</v>
      </c>
      <c r="V10" s="29">
        <f t="shared" si="658"/>
        <v>0</v>
      </c>
      <c r="W10" s="29">
        <f t="shared" si="658"/>
        <v>0</v>
      </c>
      <c r="X10" s="29">
        <f t="shared" si="658"/>
        <v>0</v>
      </c>
      <c r="Y10" s="29">
        <f t="shared" si="658"/>
        <v>0</v>
      </c>
      <c r="Z10" s="29">
        <f t="shared" si="658"/>
        <v>0</v>
      </c>
      <c r="AA10" s="29">
        <f t="shared" si="658"/>
        <v>0</v>
      </c>
      <c r="AB10" s="29">
        <f t="shared" si="658"/>
        <v>0</v>
      </c>
      <c r="AC10" s="29">
        <f t="shared" si="658"/>
        <v>0</v>
      </c>
      <c r="AD10" s="29">
        <f t="shared" si="658"/>
        <v>0</v>
      </c>
      <c r="AE10" s="29">
        <f t="shared" si="658"/>
        <v>0</v>
      </c>
      <c r="AF10" s="29">
        <f t="shared" si="658"/>
        <v>0</v>
      </c>
      <c r="AG10" s="29">
        <f t="shared" si="658"/>
        <v>0</v>
      </c>
      <c r="AH10" s="29">
        <f t="shared" si="658"/>
        <v>0</v>
      </c>
      <c r="AI10" s="29">
        <f t="shared" si="658"/>
        <v>0</v>
      </c>
      <c r="AJ10" s="29">
        <f t="shared" si="658"/>
        <v>0</v>
      </c>
      <c r="AK10" s="29">
        <f t="shared" si="658"/>
        <v>0</v>
      </c>
      <c r="AL10" s="29">
        <f t="shared" si="658"/>
        <v>0</v>
      </c>
      <c r="AM10" s="29">
        <f t="shared" si="658"/>
        <v>0</v>
      </c>
      <c r="AN10" s="29">
        <f t="shared" si="658"/>
        <v>0</v>
      </c>
      <c r="AO10" s="29">
        <f t="shared" si="658"/>
        <v>0</v>
      </c>
      <c r="AP10" s="29">
        <f t="shared" si="658"/>
        <v>0</v>
      </c>
      <c r="AQ10" s="29">
        <f t="shared" si="658"/>
        <v>0</v>
      </c>
      <c r="AR10" s="29">
        <f t="shared" si="658"/>
        <v>0</v>
      </c>
      <c r="AS10" s="29">
        <f t="shared" si="658"/>
        <v>0</v>
      </c>
      <c r="AT10" s="29">
        <f t="shared" si="658"/>
        <v>0</v>
      </c>
      <c r="AU10" s="29">
        <f t="shared" si="658"/>
        <v>0</v>
      </c>
      <c r="AV10" s="29">
        <f t="shared" si="658"/>
        <v>0</v>
      </c>
      <c r="AW10" s="29">
        <f t="shared" si="658"/>
        <v>0</v>
      </c>
      <c r="AX10" s="29">
        <f t="shared" si="658"/>
        <v>0</v>
      </c>
      <c r="AY10" s="29">
        <f t="shared" si="658"/>
        <v>0</v>
      </c>
      <c r="AZ10" s="29">
        <f t="shared" si="658"/>
        <v>0</v>
      </c>
      <c r="BA10" s="29">
        <f t="shared" si="658"/>
        <v>0</v>
      </c>
      <c r="BB10" s="29">
        <f t="shared" si="658"/>
        <v>0</v>
      </c>
      <c r="BC10" s="29">
        <f t="shared" si="658"/>
        <v>0</v>
      </c>
      <c r="BD10" s="29">
        <f t="shared" si="658"/>
        <v>0</v>
      </c>
      <c r="BE10" s="29">
        <f t="shared" si="658"/>
        <v>0</v>
      </c>
      <c r="BF10" s="29">
        <f t="shared" si="658"/>
        <v>0</v>
      </c>
      <c r="BG10" s="29">
        <f t="shared" si="658"/>
        <v>0</v>
      </c>
      <c r="BH10" s="29">
        <f t="shared" si="658"/>
        <v>0</v>
      </c>
      <c r="BI10" s="29">
        <f t="shared" si="658"/>
        <v>0</v>
      </c>
      <c r="BJ10" s="29">
        <f t="shared" si="658"/>
        <v>0</v>
      </c>
      <c r="BK10" s="29">
        <f t="shared" si="658"/>
        <v>0</v>
      </c>
      <c r="BL10" s="29">
        <f t="shared" si="658"/>
        <v>0</v>
      </c>
      <c r="BM10" s="29">
        <f t="shared" si="658"/>
        <v>0</v>
      </c>
      <c r="BN10" s="29">
        <f t="shared" si="658"/>
        <v>0</v>
      </c>
      <c r="BO10" s="29">
        <f t="shared" si="658"/>
        <v>0</v>
      </c>
      <c r="BP10" s="29">
        <f t="shared" si="658"/>
        <v>0</v>
      </c>
      <c r="BQ10" s="29">
        <f t="shared" si="658"/>
        <v>0</v>
      </c>
      <c r="BR10" s="29">
        <f t="shared" si="658"/>
        <v>0</v>
      </c>
      <c r="BS10" s="29">
        <f t="shared" si="658"/>
        <v>0</v>
      </c>
      <c r="BT10" s="29">
        <f t="shared" si="658"/>
        <v>0</v>
      </c>
      <c r="BU10" s="29">
        <f t="shared" si="658"/>
        <v>0</v>
      </c>
      <c r="BV10" s="29">
        <f t="shared" si="658"/>
        <v>0</v>
      </c>
      <c r="BW10" s="29">
        <f t="shared" si="658"/>
        <v>0</v>
      </c>
      <c r="BX10" s="29">
        <f t="shared" si="658"/>
        <v>0</v>
      </c>
      <c r="BY10" s="29">
        <f t="shared" si="658"/>
        <v>0</v>
      </c>
      <c r="BZ10" s="29">
        <f t="shared" si="658"/>
        <v>0</v>
      </c>
      <c r="CA10" s="29">
        <f t="shared" si="658"/>
        <v>0</v>
      </c>
      <c r="CB10" s="29">
        <f t="shared" si="658"/>
        <v>0</v>
      </c>
      <c r="CC10" s="29">
        <f t="shared" si="658"/>
        <v>0</v>
      </c>
      <c r="CD10" s="29">
        <f t="shared" si="658"/>
        <v>0</v>
      </c>
      <c r="CE10" s="29">
        <f t="shared" si="658"/>
        <v>1</v>
      </c>
      <c r="CF10" s="29">
        <f t="shared" si="659"/>
        <v>0</v>
      </c>
      <c r="CG10" s="29">
        <f t="shared" si="659"/>
        <v>0</v>
      </c>
      <c r="CH10" s="29">
        <f t="shared" si="659"/>
        <v>0</v>
      </c>
      <c r="CI10" s="29">
        <f t="shared" si="659"/>
        <v>0</v>
      </c>
      <c r="CJ10" s="29">
        <f t="shared" si="659"/>
        <v>0</v>
      </c>
      <c r="CK10" s="29">
        <f t="shared" si="659"/>
        <v>0</v>
      </c>
      <c r="CL10" s="29">
        <f t="shared" si="659"/>
        <v>0</v>
      </c>
      <c r="CM10" s="29">
        <f t="shared" si="659"/>
        <v>0</v>
      </c>
      <c r="CN10" s="29">
        <f t="shared" si="659"/>
        <v>0</v>
      </c>
      <c r="CO10" s="29">
        <f t="shared" si="659"/>
        <v>0</v>
      </c>
      <c r="CP10" s="29">
        <f t="shared" si="659"/>
        <v>0</v>
      </c>
      <c r="CQ10" s="29">
        <f t="shared" si="659"/>
        <v>0</v>
      </c>
      <c r="CR10" s="29">
        <f t="shared" si="659"/>
        <v>0</v>
      </c>
      <c r="CS10" s="29">
        <f t="shared" si="659"/>
        <v>0</v>
      </c>
      <c r="CT10" s="29">
        <f t="shared" si="659"/>
        <v>0</v>
      </c>
      <c r="CU10" s="29">
        <f t="shared" si="659"/>
        <v>0</v>
      </c>
      <c r="CV10" s="29">
        <f t="shared" si="659"/>
        <v>0</v>
      </c>
      <c r="CW10" s="29">
        <f t="shared" si="659"/>
        <v>0</v>
      </c>
      <c r="CX10" s="29">
        <f t="shared" si="659"/>
        <v>0</v>
      </c>
      <c r="CY10" s="29">
        <f t="shared" si="659"/>
        <v>0</v>
      </c>
      <c r="CZ10" s="29">
        <f t="shared" si="659"/>
        <v>0</v>
      </c>
      <c r="DA10" s="29">
        <f t="shared" si="659"/>
        <v>0</v>
      </c>
      <c r="DB10" s="29">
        <f t="shared" si="659"/>
        <v>0</v>
      </c>
      <c r="DC10" s="29">
        <f t="shared" si="659"/>
        <v>0</v>
      </c>
      <c r="DD10" s="29">
        <f t="shared" si="659"/>
        <v>0</v>
      </c>
      <c r="DE10" s="29">
        <f t="shared" si="659"/>
        <v>0</v>
      </c>
      <c r="DF10" s="29">
        <f t="shared" si="659"/>
        <v>0</v>
      </c>
      <c r="DG10" s="29">
        <f t="shared" si="659"/>
        <v>0</v>
      </c>
      <c r="DH10" s="29">
        <f t="shared" si="659"/>
        <v>0</v>
      </c>
      <c r="DI10" s="29">
        <f t="shared" si="659"/>
        <v>0</v>
      </c>
      <c r="DJ10" s="29">
        <f t="shared" si="659"/>
        <v>0</v>
      </c>
      <c r="DK10" s="29">
        <f t="shared" si="659"/>
        <v>0</v>
      </c>
      <c r="DL10" s="29">
        <f t="shared" si="659"/>
        <v>0</v>
      </c>
      <c r="DM10" s="29">
        <f t="shared" si="659"/>
        <v>0</v>
      </c>
      <c r="DN10" s="29">
        <f t="shared" si="659"/>
        <v>0</v>
      </c>
      <c r="DO10" s="29">
        <f t="shared" si="659"/>
        <v>0</v>
      </c>
      <c r="DP10" s="29">
        <f t="shared" si="659"/>
        <v>0</v>
      </c>
      <c r="DQ10" s="29">
        <f t="shared" si="659"/>
        <v>0</v>
      </c>
      <c r="DR10" s="29">
        <f t="shared" si="659"/>
        <v>0</v>
      </c>
      <c r="DS10" s="29">
        <f t="shared" si="659"/>
        <v>0</v>
      </c>
      <c r="DT10" s="29">
        <f t="shared" si="659"/>
        <v>0</v>
      </c>
      <c r="DU10" s="29">
        <f t="shared" si="659"/>
        <v>0</v>
      </c>
      <c r="DV10" s="29">
        <f t="shared" si="659"/>
        <v>0</v>
      </c>
      <c r="DW10" s="29">
        <f t="shared" si="659"/>
        <v>0</v>
      </c>
      <c r="DX10" s="29">
        <f t="shared" si="659"/>
        <v>0</v>
      </c>
      <c r="DY10" s="29">
        <f t="shared" si="659"/>
        <v>0</v>
      </c>
      <c r="DZ10" s="29">
        <f t="shared" si="659"/>
        <v>0</v>
      </c>
      <c r="EA10" s="29">
        <f t="shared" si="659"/>
        <v>0</v>
      </c>
      <c r="EB10" s="29">
        <f t="shared" si="659"/>
        <v>0</v>
      </c>
      <c r="EC10" s="29">
        <f t="shared" si="659"/>
        <v>0</v>
      </c>
      <c r="ED10" s="29">
        <f t="shared" si="659"/>
        <v>0</v>
      </c>
      <c r="EE10" s="29">
        <f t="shared" si="659"/>
        <v>0</v>
      </c>
      <c r="EF10" s="29">
        <f t="shared" si="659"/>
        <v>0</v>
      </c>
      <c r="EG10" s="29">
        <f t="shared" si="659"/>
        <v>0</v>
      </c>
      <c r="EH10" s="29">
        <f t="shared" si="659"/>
        <v>0</v>
      </c>
      <c r="EI10" s="29">
        <f t="shared" si="659"/>
        <v>0</v>
      </c>
      <c r="EJ10" s="29">
        <f t="shared" si="659"/>
        <v>0</v>
      </c>
      <c r="EK10" s="29">
        <f t="shared" si="659"/>
        <v>0</v>
      </c>
      <c r="EL10" s="29">
        <f t="shared" si="659"/>
        <v>0</v>
      </c>
      <c r="EM10" s="29">
        <f t="shared" si="659"/>
        <v>0</v>
      </c>
      <c r="EN10" s="29">
        <f t="shared" si="659"/>
        <v>0</v>
      </c>
      <c r="EO10" s="29">
        <f t="shared" si="659"/>
        <v>0</v>
      </c>
      <c r="EP10" s="29">
        <f t="shared" si="659"/>
        <v>0</v>
      </c>
      <c r="EQ10" s="29">
        <f t="shared" ref="EQ10:HB10" si="682">IF(AND($J10&lt;=EQ$3, $K10&gt;=EQ$3),1,0)</f>
        <v>0</v>
      </c>
      <c r="ER10" s="29">
        <f t="shared" si="682"/>
        <v>0</v>
      </c>
      <c r="ES10" s="29">
        <f t="shared" si="682"/>
        <v>0</v>
      </c>
      <c r="ET10" s="29">
        <f t="shared" si="682"/>
        <v>0</v>
      </c>
      <c r="EU10" s="29">
        <f t="shared" si="682"/>
        <v>0</v>
      </c>
      <c r="EV10" s="29">
        <f t="shared" si="682"/>
        <v>0</v>
      </c>
      <c r="EW10" s="29">
        <f t="shared" si="682"/>
        <v>0</v>
      </c>
      <c r="EX10" s="29">
        <f t="shared" si="682"/>
        <v>0</v>
      </c>
      <c r="EY10" s="29">
        <f t="shared" si="682"/>
        <v>0</v>
      </c>
      <c r="EZ10" s="29">
        <f t="shared" si="682"/>
        <v>0</v>
      </c>
      <c r="FA10" s="29">
        <f t="shared" si="682"/>
        <v>0</v>
      </c>
      <c r="FB10" s="29">
        <f t="shared" si="682"/>
        <v>0</v>
      </c>
      <c r="FC10" s="29">
        <f t="shared" si="682"/>
        <v>0</v>
      </c>
      <c r="FD10" s="29">
        <f t="shared" si="682"/>
        <v>0</v>
      </c>
      <c r="FE10" s="29">
        <f t="shared" si="682"/>
        <v>0</v>
      </c>
      <c r="FF10" s="29">
        <f t="shared" si="682"/>
        <v>0</v>
      </c>
      <c r="FG10" s="29">
        <f t="shared" si="682"/>
        <v>0</v>
      </c>
      <c r="FH10" s="29">
        <f t="shared" si="682"/>
        <v>0</v>
      </c>
      <c r="FI10" s="29">
        <f t="shared" si="682"/>
        <v>0</v>
      </c>
      <c r="FJ10" s="29">
        <f t="shared" si="682"/>
        <v>0</v>
      </c>
      <c r="FK10" s="29">
        <f t="shared" si="682"/>
        <v>0</v>
      </c>
      <c r="FL10" s="29">
        <f t="shared" si="682"/>
        <v>0</v>
      </c>
      <c r="FM10" s="29">
        <f t="shared" si="682"/>
        <v>0</v>
      </c>
      <c r="FN10" s="29">
        <f t="shared" si="682"/>
        <v>0</v>
      </c>
      <c r="FO10" s="29">
        <f t="shared" si="682"/>
        <v>0</v>
      </c>
      <c r="FP10" s="29">
        <f t="shared" si="682"/>
        <v>0</v>
      </c>
      <c r="FQ10" s="29">
        <f t="shared" si="682"/>
        <v>0</v>
      </c>
      <c r="FR10" s="29">
        <f t="shared" si="682"/>
        <v>0</v>
      </c>
      <c r="FS10" s="29">
        <f t="shared" si="682"/>
        <v>0</v>
      </c>
      <c r="FT10" s="29">
        <f t="shared" si="682"/>
        <v>0</v>
      </c>
      <c r="FU10" s="29">
        <f t="shared" si="682"/>
        <v>0</v>
      </c>
      <c r="FV10" s="29">
        <f t="shared" si="682"/>
        <v>0</v>
      </c>
      <c r="FW10" s="29">
        <f t="shared" si="682"/>
        <v>0</v>
      </c>
      <c r="FX10" s="29">
        <f t="shared" si="682"/>
        <v>0</v>
      </c>
      <c r="FY10" s="29">
        <f t="shared" si="682"/>
        <v>0</v>
      </c>
      <c r="FZ10" s="29">
        <f t="shared" si="682"/>
        <v>0</v>
      </c>
      <c r="GA10" s="29">
        <f t="shared" si="682"/>
        <v>0</v>
      </c>
      <c r="GB10" s="29">
        <f t="shared" si="682"/>
        <v>0</v>
      </c>
      <c r="GC10" s="29">
        <f t="shared" si="682"/>
        <v>0</v>
      </c>
      <c r="GD10" s="29">
        <f t="shared" si="682"/>
        <v>0</v>
      </c>
      <c r="GE10" s="29">
        <f t="shared" si="682"/>
        <v>0</v>
      </c>
      <c r="GF10" s="29">
        <f t="shared" si="682"/>
        <v>0</v>
      </c>
      <c r="GG10" s="29">
        <f t="shared" si="682"/>
        <v>0</v>
      </c>
      <c r="GH10" s="29">
        <f t="shared" si="682"/>
        <v>0</v>
      </c>
      <c r="GI10" s="29">
        <f t="shared" si="682"/>
        <v>0</v>
      </c>
      <c r="GJ10" s="29">
        <f t="shared" si="682"/>
        <v>0</v>
      </c>
      <c r="GK10" s="29">
        <f t="shared" si="682"/>
        <v>0</v>
      </c>
      <c r="GL10" s="29">
        <f t="shared" si="682"/>
        <v>0</v>
      </c>
      <c r="GM10" s="29">
        <f t="shared" si="682"/>
        <v>0</v>
      </c>
      <c r="GN10" s="29">
        <f t="shared" si="682"/>
        <v>0</v>
      </c>
      <c r="GO10" s="29">
        <f t="shared" si="682"/>
        <v>0</v>
      </c>
      <c r="GP10" s="29">
        <f t="shared" si="682"/>
        <v>0</v>
      </c>
      <c r="GQ10" s="29">
        <f t="shared" si="682"/>
        <v>0</v>
      </c>
      <c r="GR10" s="29">
        <f t="shared" si="682"/>
        <v>0</v>
      </c>
      <c r="GS10" s="29">
        <f t="shared" si="682"/>
        <v>0</v>
      </c>
      <c r="GT10" s="29">
        <f t="shared" si="682"/>
        <v>0</v>
      </c>
      <c r="GU10" s="29">
        <f t="shared" si="682"/>
        <v>0</v>
      </c>
      <c r="GV10" s="29">
        <f t="shared" si="682"/>
        <v>0</v>
      </c>
      <c r="GW10" s="29">
        <f t="shared" si="682"/>
        <v>0</v>
      </c>
      <c r="GX10" s="29">
        <f t="shared" si="682"/>
        <v>0</v>
      </c>
      <c r="GY10" s="29">
        <f t="shared" si="682"/>
        <v>0</v>
      </c>
      <c r="GZ10" s="29">
        <f t="shared" si="682"/>
        <v>0</v>
      </c>
      <c r="HA10" s="29">
        <f t="shared" si="682"/>
        <v>0</v>
      </c>
      <c r="HB10" s="29">
        <f t="shared" si="682"/>
        <v>0</v>
      </c>
      <c r="HC10" s="29">
        <f t="shared" si="660"/>
        <v>0</v>
      </c>
      <c r="HD10" s="29">
        <f t="shared" si="661"/>
        <v>0</v>
      </c>
      <c r="HE10" s="29">
        <f t="shared" si="661"/>
        <v>0</v>
      </c>
      <c r="HF10" s="29">
        <f t="shared" si="661"/>
        <v>0</v>
      </c>
      <c r="HG10" s="29">
        <f t="shared" si="661"/>
        <v>0</v>
      </c>
      <c r="HH10" s="29">
        <f t="shared" si="661"/>
        <v>0</v>
      </c>
      <c r="HI10" s="29">
        <f t="shared" si="661"/>
        <v>0</v>
      </c>
      <c r="HJ10" s="29">
        <f t="shared" si="661"/>
        <v>0</v>
      </c>
      <c r="HK10" s="29">
        <f t="shared" si="661"/>
        <v>0</v>
      </c>
      <c r="HL10" s="29">
        <f t="shared" si="661"/>
        <v>0</v>
      </c>
      <c r="HM10" s="29">
        <f t="shared" si="661"/>
        <v>0</v>
      </c>
      <c r="HN10" s="29">
        <f t="shared" si="661"/>
        <v>0</v>
      </c>
      <c r="HO10" s="29">
        <f t="shared" si="661"/>
        <v>0</v>
      </c>
      <c r="HP10" s="29">
        <f t="shared" si="661"/>
        <v>0</v>
      </c>
      <c r="HQ10" s="29">
        <f t="shared" si="661"/>
        <v>0</v>
      </c>
      <c r="HR10" s="29">
        <f t="shared" si="661"/>
        <v>0</v>
      </c>
      <c r="HS10" s="29">
        <f t="shared" si="661"/>
        <v>0</v>
      </c>
      <c r="HT10" s="29">
        <f t="shared" si="661"/>
        <v>0</v>
      </c>
      <c r="HU10" s="29">
        <f t="shared" si="661"/>
        <v>0</v>
      </c>
      <c r="HV10" s="29">
        <f t="shared" si="661"/>
        <v>0</v>
      </c>
      <c r="HW10" s="29">
        <f t="shared" si="661"/>
        <v>0</v>
      </c>
      <c r="HX10" s="29">
        <f t="shared" si="661"/>
        <v>0</v>
      </c>
      <c r="HY10" s="29">
        <f t="shared" si="661"/>
        <v>0</v>
      </c>
      <c r="HZ10" s="29">
        <f t="shared" si="661"/>
        <v>0</v>
      </c>
      <c r="IA10" s="29">
        <f t="shared" si="661"/>
        <v>0</v>
      </c>
      <c r="IB10" s="29">
        <f t="shared" si="661"/>
        <v>0</v>
      </c>
      <c r="IC10" s="29">
        <f t="shared" si="661"/>
        <v>0</v>
      </c>
      <c r="ID10" s="29">
        <f t="shared" si="661"/>
        <v>0</v>
      </c>
      <c r="IE10" s="29">
        <f t="shared" si="661"/>
        <v>0</v>
      </c>
      <c r="IF10" s="29">
        <f t="shared" si="661"/>
        <v>0</v>
      </c>
      <c r="IG10" s="29">
        <f t="shared" si="661"/>
        <v>0</v>
      </c>
      <c r="IH10" s="29">
        <f t="shared" si="661"/>
        <v>0</v>
      </c>
      <c r="II10" s="29">
        <f t="shared" si="661"/>
        <v>0</v>
      </c>
      <c r="IJ10" s="29">
        <f t="shared" si="661"/>
        <v>0</v>
      </c>
      <c r="IK10" s="29">
        <f t="shared" si="661"/>
        <v>0</v>
      </c>
      <c r="IL10" s="29">
        <f t="shared" si="661"/>
        <v>0</v>
      </c>
      <c r="IM10" s="29">
        <f t="shared" si="661"/>
        <v>0</v>
      </c>
      <c r="IN10" s="29">
        <f t="shared" si="661"/>
        <v>0</v>
      </c>
      <c r="IO10" s="29">
        <f t="shared" si="661"/>
        <v>0</v>
      </c>
      <c r="IP10" s="29">
        <f t="shared" si="661"/>
        <v>0</v>
      </c>
      <c r="IQ10" s="29">
        <f t="shared" si="661"/>
        <v>0</v>
      </c>
      <c r="IR10" s="29">
        <f t="shared" si="661"/>
        <v>0</v>
      </c>
      <c r="IS10" s="29">
        <f t="shared" si="661"/>
        <v>0</v>
      </c>
      <c r="IT10" s="29">
        <f t="shared" si="661"/>
        <v>0</v>
      </c>
      <c r="IU10" s="29">
        <f t="shared" si="661"/>
        <v>0</v>
      </c>
      <c r="IV10" s="29">
        <f t="shared" si="661"/>
        <v>0</v>
      </c>
      <c r="IW10" s="29">
        <f t="shared" si="661"/>
        <v>0</v>
      </c>
      <c r="IX10" s="29">
        <f t="shared" si="661"/>
        <v>0</v>
      </c>
      <c r="IY10" s="29">
        <f t="shared" si="661"/>
        <v>0</v>
      </c>
      <c r="IZ10" s="29">
        <f t="shared" si="661"/>
        <v>0</v>
      </c>
      <c r="JA10" s="29">
        <f t="shared" si="661"/>
        <v>0</v>
      </c>
      <c r="JB10" s="29">
        <f t="shared" si="661"/>
        <v>0</v>
      </c>
      <c r="JC10" s="29">
        <f t="shared" si="661"/>
        <v>0</v>
      </c>
      <c r="JD10" s="29">
        <f t="shared" si="661"/>
        <v>0</v>
      </c>
      <c r="JE10" s="29">
        <f t="shared" si="661"/>
        <v>0</v>
      </c>
      <c r="JF10" s="29">
        <f t="shared" si="661"/>
        <v>0</v>
      </c>
      <c r="JG10" s="29">
        <f t="shared" si="661"/>
        <v>0</v>
      </c>
      <c r="JH10" s="29">
        <f t="shared" si="661"/>
        <v>0</v>
      </c>
      <c r="JI10" s="29">
        <f t="shared" si="661"/>
        <v>0</v>
      </c>
      <c r="JJ10" s="29">
        <f t="shared" si="661"/>
        <v>0</v>
      </c>
      <c r="JK10" s="29">
        <f t="shared" si="661"/>
        <v>0</v>
      </c>
      <c r="JL10" s="29">
        <f t="shared" si="661"/>
        <v>0</v>
      </c>
      <c r="JM10" s="29">
        <f t="shared" si="661"/>
        <v>0</v>
      </c>
      <c r="JN10" s="29">
        <f t="shared" si="661"/>
        <v>0</v>
      </c>
      <c r="JO10" s="29">
        <f t="shared" ref="JO10:LZ10" si="683">IF(AND($J10&lt;=JO$3, $K10&gt;=JO$3),1,0)</f>
        <v>0</v>
      </c>
      <c r="JP10" s="29">
        <f t="shared" si="683"/>
        <v>0</v>
      </c>
      <c r="JQ10" s="29">
        <f t="shared" si="683"/>
        <v>0</v>
      </c>
      <c r="JR10" s="29">
        <f t="shared" si="683"/>
        <v>0</v>
      </c>
      <c r="JS10" s="29">
        <f t="shared" si="683"/>
        <v>0</v>
      </c>
      <c r="JT10" s="29">
        <f t="shared" si="683"/>
        <v>0</v>
      </c>
      <c r="JU10" s="29">
        <f t="shared" si="683"/>
        <v>0</v>
      </c>
      <c r="JV10" s="29">
        <f t="shared" si="683"/>
        <v>0</v>
      </c>
      <c r="JW10" s="29">
        <f t="shared" si="683"/>
        <v>0</v>
      </c>
      <c r="JX10" s="29">
        <f t="shared" si="683"/>
        <v>0</v>
      </c>
      <c r="JY10" s="29">
        <f t="shared" si="683"/>
        <v>0</v>
      </c>
      <c r="JZ10" s="29">
        <f t="shared" si="683"/>
        <v>0</v>
      </c>
      <c r="KA10" s="29">
        <f t="shared" si="683"/>
        <v>0</v>
      </c>
      <c r="KB10" s="29">
        <f t="shared" si="683"/>
        <v>0</v>
      </c>
      <c r="KC10" s="29">
        <f t="shared" si="683"/>
        <v>0</v>
      </c>
      <c r="KD10" s="29">
        <f t="shared" si="683"/>
        <v>0</v>
      </c>
      <c r="KE10" s="29">
        <f t="shared" si="683"/>
        <v>0</v>
      </c>
      <c r="KF10" s="29">
        <f t="shared" si="683"/>
        <v>0</v>
      </c>
      <c r="KG10" s="29">
        <f t="shared" si="683"/>
        <v>0</v>
      </c>
      <c r="KH10" s="29">
        <f t="shared" si="683"/>
        <v>0</v>
      </c>
      <c r="KI10" s="29">
        <f t="shared" si="683"/>
        <v>0</v>
      </c>
      <c r="KJ10" s="29">
        <f t="shared" si="683"/>
        <v>0</v>
      </c>
      <c r="KK10" s="29">
        <f t="shared" si="683"/>
        <v>0</v>
      </c>
      <c r="KL10" s="29">
        <f t="shared" si="683"/>
        <v>0</v>
      </c>
      <c r="KM10" s="29">
        <f t="shared" si="683"/>
        <v>0</v>
      </c>
      <c r="KN10" s="29">
        <f t="shared" si="683"/>
        <v>0</v>
      </c>
      <c r="KO10" s="29">
        <f t="shared" si="683"/>
        <v>0</v>
      </c>
      <c r="KP10" s="29">
        <f t="shared" si="683"/>
        <v>0</v>
      </c>
      <c r="KQ10" s="29">
        <f t="shared" si="683"/>
        <v>0</v>
      </c>
      <c r="KR10" s="29">
        <f t="shared" si="683"/>
        <v>0</v>
      </c>
      <c r="KS10" s="29">
        <f t="shared" si="683"/>
        <v>0</v>
      </c>
      <c r="KT10" s="29">
        <f t="shared" si="683"/>
        <v>0</v>
      </c>
      <c r="KU10" s="29">
        <f t="shared" si="683"/>
        <v>0</v>
      </c>
      <c r="KV10" s="29">
        <f t="shared" si="683"/>
        <v>0</v>
      </c>
      <c r="KW10" s="29">
        <f t="shared" si="683"/>
        <v>0</v>
      </c>
      <c r="KX10" s="29">
        <f t="shared" si="683"/>
        <v>0</v>
      </c>
      <c r="KY10" s="29">
        <f t="shared" si="683"/>
        <v>0</v>
      </c>
      <c r="KZ10" s="29">
        <f t="shared" si="683"/>
        <v>0</v>
      </c>
      <c r="LA10" s="29">
        <f t="shared" si="683"/>
        <v>0</v>
      </c>
      <c r="LB10" s="29">
        <f t="shared" si="683"/>
        <v>0</v>
      </c>
      <c r="LC10" s="29">
        <f t="shared" si="683"/>
        <v>0</v>
      </c>
      <c r="LD10" s="29">
        <f t="shared" si="683"/>
        <v>0</v>
      </c>
      <c r="LE10" s="29">
        <f t="shared" si="683"/>
        <v>0</v>
      </c>
      <c r="LF10" s="29">
        <f t="shared" si="683"/>
        <v>0</v>
      </c>
      <c r="LG10" s="29">
        <f t="shared" si="683"/>
        <v>0</v>
      </c>
      <c r="LH10" s="29">
        <f t="shared" si="683"/>
        <v>0</v>
      </c>
      <c r="LI10" s="29">
        <f t="shared" si="683"/>
        <v>0</v>
      </c>
      <c r="LJ10" s="29">
        <f t="shared" si="683"/>
        <v>0</v>
      </c>
      <c r="LK10" s="29">
        <f t="shared" si="683"/>
        <v>0</v>
      </c>
      <c r="LL10" s="29">
        <f t="shared" si="683"/>
        <v>0</v>
      </c>
      <c r="LM10" s="29">
        <f t="shared" si="683"/>
        <v>0</v>
      </c>
      <c r="LN10" s="29">
        <f t="shared" si="683"/>
        <v>0</v>
      </c>
      <c r="LO10" s="29">
        <f t="shared" si="683"/>
        <v>0</v>
      </c>
      <c r="LP10" s="29">
        <f t="shared" si="683"/>
        <v>0</v>
      </c>
      <c r="LQ10" s="29">
        <f t="shared" si="683"/>
        <v>0</v>
      </c>
      <c r="LR10" s="29">
        <f t="shared" si="683"/>
        <v>0</v>
      </c>
      <c r="LS10" s="29">
        <f t="shared" si="683"/>
        <v>0</v>
      </c>
      <c r="LT10" s="29">
        <f t="shared" si="683"/>
        <v>0</v>
      </c>
      <c r="LU10" s="29">
        <f t="shared" si="683"/>
        <v>0</v>
      </c>
      <c r="LV10" s="29">
        <f t="shared" si="683"/>
        <v>0</v>
      </c>
      <c r="LW10" s="29">
        <f t="shared" si="683"/>
        <v>0</v>
      </c>
      <c r="LX10" s="29">
        <f t="shared" si="683"/>
        <v>0</v>
      </c>
      <c r="LY10" s="29">
        <f t="shared" si="683"/>
        <v>0</v>
      </c>
      <c r="LZ10" s="29">
        <f t="shared" si="683"/>
        <v>0</v>
      </c>
      <c r="MA10" s="29">
        <f t="shared" si="662"/>
        <v>0</v>
      </c>
      <c r="MB10" s="29">
        <f t="shared" si="663"/>
        <v>0</v>
      </c>
      <c r="MC10" s="29">
        <f t="shared" si="663"/>
        <v>0</v>
      </c>
      <c r="MD10" s="29">
        <f t="shared" si="663"/>
        <v>0</v>
      </c>
      <c r="ME10" s="29">
        <f t="shared" si="663"/>
        <v>0</v>
      </c>
      <c r="MF10" s="29">
        <f t="shared" si="663"/>
        <v>0</v>
      </c>
      <c r="MG10" s="29">
        <f t="shared" si="663"/>
        <v>0</v>
      </c>
      <c r="MH10" s="29">
        <f t="shared" si="663"/>
        <v>0</v>
      </c>
      <c r="MI10" s="29">
        <f t="shared" si="663"/>
        <v>0</v>
      </c>
      <c r="MJ10" s="29">
        <f t="shared" si="663"/>
        <v>0</v>
      </c>
      <c r="MK10" s="29">
        <f t="shared" si="663"/>
        <v>0</v>
      </c>
      <c r="ML10" s="29">
        <f t="shared" si="663"/>
        <v>0</v>
      </c>
      <c r="MM10" s="29">
        <f t="shared" si="663"/>
        <v>0</v>
      </c>
      <c r="MN10" s="29">
        <f t="shared" si="663"/>
        <v>0</v>
      </c>
      <c r="MO10" s="29">
        <f t="shared" si="663"/>
        <v>0</v>
      </c>
      <c r="MP10" s="29">
        <f t="shared" si="663"/>
        <v>0</v>
      </c>
      <c r="MQ10" s="29">
        <f t="shared" si="663"/>
        <v>0</v>
      </c>
      <c r="MR10" s="29">
        <f t="shared" si="663"/>
        <v>0</v>
      </c>
      <c r="MS10" s="29">
        <f t="shared" si="663"/>
        <v>0</v>
      </c>
      <c r="MT10" s="29">
        <f t="shared" si="663"/>
        <v>0</v>
      </c>
      <c r="MU10" s="29">
        <f t="shared" si="663"/>
        <v>0</v>
      </c>
      <c r="MV10" s="29">
        <f t="shared" si="663"/>
        <v>0</v>
      </c>
      <c r="MW10" s="29">
        <f t="shared" si="663"/>
        <v>0</v>
      </c>
      <c r="MX10" s="29">
        <f t="shared" si="663"/>
        <v>0</v>
      </c>
      <c r="MY10" s="29">
        <f t="shared" si="663"/>
        <v>0</v>
      </c>
      <c r="MZ10" s="29">
        <f t="shared" si="663"/>
        <v>0</v>
      </c>
      <c r="NA10" s="29">
        <f t="shared" si="663"/>
        <v>0</v>
      </c>
      <c r="NB10" s="29">
        <f t="shared" si="663"/>
        <v>0</v>
      </c>
      <c r="NC10" s="29">
        <f t="shared" si="663"/>
        <v>0</v>
      </c>
      <c r="ND10" s="29">
        <f t="shared" si="663"/>
        <v>0</v>
      </c>
      <c r="NE10" s="29">
        <f t="shared" si="663"/>
        <v>0</v>
      </c>
      <c r="NF10" s="29">
        <f t="shared" si="663"/>
        <v>0</v>
      </c>
      <c r="NG10" s="29">
        <f t="shared" si="663"/>
        <v>0</v>
      </c>
      <c r="NH10" s="29">
        <f t="shared" si="663"/>
        <v>0</v>
      </c>
      <c r="NI10" s="29">
        <f t="shared" si="663"/>
        <v>0</v>
      </c>
      <c r="NJ10" s="29">
        <f t="shared" si="663"/>
        <v>0</v>
      </c>
      <c r="NK10" s="29">
        <f t="shared" si="663"/>
        <v>0</v>
      </c>
      <c r="NL10" s="29">
        <f t="shared" si="663"/>
        <v>0</v>
      </c>
      <c r="NM10" s="29">
        <f t="shared" si="663"/>
        <v>0</v>
      </c>
      <c r="NN10" s="29">
        <f t="shared" si="663"/>
        <v>0</v>
      </c>
      <c r="NO10" s="29">
        <f t="shared" si="663"/>
        <v>0</v>
      </c>
      <c r="NP10" s="29">
        <f t="shared" si="663"/>
        <v>0</v>
      </c>
      <c r="NQ10" s="29">
        <f t="shared" si="663"/>
        <v>0</v>
      </c>
      <c r="NR10" s="29">
        <f t="shared" si="663"/>
        <v>0</v>
      </c>
      <c r="NS10" s="29">
        <f t="shared" si="663"/>
        <v>0</v>
      </c>
      <c r="NT10" s="29">
        <f t="shared" si="663"/>
        <v>0</v>
      </c>
      <c r="NU10" s="29">
        <f t="shared" si="663"/>
        <v>0</v>
      </c>
      <c r="NV10" s="29">
        <f t="shared" si="663"/>
        <v>0</v>
      </c>
      <c r="NW10" s="29">
        <f t="shared" si="663"/>
        <v>0</v>
      </c>
      <c r="NX10" s="29">
        <f t="shared" si="663"/>
        <v>0</v>
      </c>
      <c r="NY10" s="29">
        <f t="shared" si="663"/>
        <v>0</v>
      </c>
      <c r="NZ10" s="29">
        <f t="shared" si="663"/>
        <v>0</v>
      </c>
      <c r="OA10" s="29">
        <f t="shared" si="663"/>
        <v>0</v>
      </c>
      <c r="OB10" s="29">
        <f t="shared" si="663"/>
        <v>0</v>
      </c>
      <c r="OC10" s="29">
        <f t="shared" si="663"/>
        <v>0</v>
      </c>
      <c r="OD10" s="29">
        <f t="shared" si="663"/>
        <v>0</v>
      </c>
      <c r="OE10" s="29">
        <f t="shared" si="663"/>
        <v>0</v>
      </c>
      <c r="OF10" s="29">
        <f t="shared" si="663"/>
        <v>0</v>
      </c>
      <c r="OG10" s="29">
        <f t="shared" si="663"/>
        <v>0</v>
      </c>
      <c r="OH10" s="29">
        <f t="shared" si="663"/>
        <v>0</v>
      </c>
      <c r="OI10" s="29">
        <f t="shared" si="663"/>
        <v>0</v>
      </c>
      <c r="OJ10" s="29">
        <f t="shared" si="663"/>
        <v>0</v>
      </c>
      <c r="OK10" s="29">
        <f t="shared" si="663"/>
        <v>0</v>
      </c>
      <c r="OL10" s="29">
        <f t="shared" si="663"/>
        <v>0</v>
      </c>
      <c r="OM10" s="29">
        <f t="shared" ref="OM10:QX10" si="684">IF(AND($J10&lt;=OM$3, $K10&gt;=OM$3),1,0)</f>
        <v>0</v>
      </c>
      <c r="ON10" s="29">
        <f t="shared" si="684"/>
        <v>0</v>
      </c>
      <c r="OO10" s="29">
        <f t="shared" si="684"/>
        <v>0</v>
      </c>
      <c r="OP10" s="29">
        <f t="shared" si="684"/>
        <v>0</v>
      </c>
      <c r="OQ10" s="29">
        <f t="shared" si="684"/>
        <v>0</v>
      </c>
      <c r="OR10" s="29">
        <f t="shared" si="684"/>
        <v>0</v>
      </c>
      <c r="OS10" s="29">
        <f t="shared" si="684"/>
        <v>0</v>
      </c>
      <c r="OT10" s="29">
        <f t="shared" si="684"/>
        <v>0</v>
      </c>
      <c r="OU10" s="29">
        <f t="shared" si="684"/>
        <v>0</v>
      </c>
      <c r="OV10" s="29">
        <f t="shared" si="684"/>
        <v>0</v>
      </c>
      <c r="OW10" s="29">
        <f t="shared" si="684"/>
        <v>0</v>
      </c>
      <c r="OX10" s="29">
        <f t="shared" si="684"/>
        <v>0</v>
      </c>
      <c r="OY10" s="29">
        <f t="shared" si="684"/>
        <v>0</v>
      </c>
      <c r="OZ10" s="29">
        <f t="shared" si="684"/>
        <v>0</v>
      </c>
      <c r="PA10" s="29">
        <f t="shared" si="684"/>
        <v>0</v>
      </c>
      <c r="PB10" s="29">
        <f t="shared" si="684"/>
        <v>0</v>
      </c>
      <c r="PC10" s="29">
        <f t="shared" si="684"/>
        <v>0</v>
      </c>
      <c r="PD10" s="29">
        <f t="shared" si="684"/>
        <v>0</v>
      </c>
      <c r="PE10" s="29">
        <f t="shared" si="684"/>
        <v>0</v>
      </c>
      <c r="PF10" s="29">
        <f t="shared" si="684"/>
        <v>0</v>
      </c>
      <c r="PG10" s="29">
        <f t="shared" si="684"/>
        <v>0</v>
      </c>
      <c r="PH10" s="29">
        <f t="shared" si="684"/>
        <v>0</v>
      </c>
      <c r="PI10" s="29">
        <f t="shared" si="684"/>
        <v>0</v>
      </c>
      <c r="PJ10" s="29">
        <f t="shared" si="684"/>
        <v>0</v>
      </c>
      <c r="PK10" s="29">
        <f t="shared" si="684"/>
        <v>0</v>
      </c>
      <c r="PL10" s="29">
        <f t="shared" si="684"/>
        <v>0</v>
      </c>
      <c r="PM10" s="29">
        <f t="shared" si="684"/>
        <v>0</v>
      </c>
      <c r="PN10" s="29">
        <f t="shared" si="684"/>
        <v>0</v>
      </c>
      <c r="PO10" s="29">
        <f t="shared" si="684"/>
        <v>0</v>
      </c>
      <c r="PP10" s="29">
        <f t="shared" si="684"/>
        <v>0</v>
      </c>
      <c r="PQ10" s="29">
        <f t="shared" si="684"/>
        <v>0</v>
      </c>
      <c r="PR10" s="29">
        <f t="shared" si="684"/>
        <v>0</v>
      </c>
      <c r="PS10" s="29">
        <f t="shared" si="684"/>
        <v>0</v>
      </c>
      <c r="PT10" s="29">
        <f t="shared" si="684"/>
        <v>0</v>
      </c>
      <c r="PU10" s="29">
        <f t="shared" si="684"/>
        <v>0</v>
      </c>
      <c r="PV10" s="29">
        <f t="shared" si="684"/>
        <v>0</v>
      </c>
      <c r="PW10" s="29">
        <f t="shared" si="684"/>
        <v>0</v>
      </c>
      <c r="PX10" s="29">
        <f t="shared" si="684"/>
        <v>0</v>
      </c>
      <c r="PY10" s="29">
        <f t="shared" si="684"/>
        <v>0</v>
      </c>
      <c r="PZ10" s="29">
        <f t="shared" si="684"/>
        <v>0</v>
      </c>
      <c r="QA10" s="29">
        <f t="shared" si="684"/>
        <v>0</v>
      </c>
      <c r="QB10" s="29">
        <f t="shared" si="684"/>
        <v>0</v>
      </c>
      <c r="QC10" s="29">
        <f t="shared" si="684"/>
        <v>0</v>
      </c>
      <c r="QD10" s="29">
        <f t="shared" si="684"/>
        <v>0</v>
      </c>
      <c r="QE10" s="29">
        <f t="shared" si="684"/>
        <v>0</v>
      </c>
      <c r="QF10" s="29">
        <f t="shared" si="684"/>
        <v>0</v>
      </c>
      <c r="QG10" s="29">
        <f t="shared" si="684"/>
        <v>0</v>
      </c>
      <c r="QH10" s="29">
        <f t="shared" si="684"/>
        <v>0</v>
      </c>
      <c r="QI10" s="29">
        <f t="shared" si="684"/>
        <v>0</v>
      </c>
      <c r="QJ10" s="29">
        <f t="shared" si="684"/>
        <v>0</v>
      </c>
      <c r="QK10" s="29">
        <f t="shared" si="684"/>
        <v>0</v>
      </c>
      <c r="QL10" s="29">
        <f t="shared" si="684"/>
        <v>0</v>
      </c>
      <c r="QM10" s="29">
        <f t="shared" si="684"/>
        <v>0</v>
      </c>
      <c r="QN10" s="29">
        <f t="shared" si="684"/>
        <v>0</v>
      </c>
      <c r="QO10" s="29">
        <f t="shared" si="684"/>
        <v>0</v>
      </c>
      <c r="QP10" s="29">
        <f t="shared" si="684"/>
        <v>0</v>
      </c>
      <c r="QQ10" s="29">
        <f t="shared" si="684"/>
        <v>0</v>
      </c>
      <c r="QR10" s="29">
        <f t="shared" si="684"/>
        <v>0</v>
      </c>
      <c r="QS10" s="29">
        <f t="shared" si="684"/>
        <v>0</v>
      </c>
      <c r="QT10" s="29">
        <f t="shared" si="684"/>
        <v>0</v>
      </c>
      <c r="QU10" s="29">
        <f t="shared" si="684"/>
        <v>0</v>
      </c>
      <c r="QV10" s="29">
        <f t="shared" si="684"/>
        <v>0</v>
      </c>
      <c r="QW10" s="29">
        <f t="shared" si="684"/>
        <v>0</v>
      </c>
      <c r="QX10" s="29">
        <f t="shared" si="684"/>
        <v>0</v>
      </c>
      <c r="QY10" s="29">
        <f t="shared" si="664"/>
        <v>0</v>
      </c>
      <c r="QZ10" s="29">
        <f t="shared" si="665"/>
        <v>0</v>
      </c>
      <c r="RA10" s="29">
        <f t="shared" si="665"/>
        <v>0</v>
      </c>
      <c r="RB10" s="29">
        <f t="shared" si="665"/>
        <v>0</v>
      </c>
      <c r="RC10" s="29">
        <f t="shared" si="665"/>
        <v>0</v>
      </c>
      <c r="RD10" s="29">
        <f t="shared" si="665"/>
        <v>0</v>
      </c>
      <c r="RE10" s="29">
        <f t="shared" si="665"/>
        <v>0</v>
      </c>
      <c r="RF10" s="29">
        <f t="shared" si="665"/>
        <v>0</v>
      </c>
      <c r="RG10" s="29">
        <f t="shared" si="665"/>
        <v>0</v>
      </c>
      <c r="RH10" s="29">
        <f t="shared" si="665"/>
        <v>0</v>
      </c>
      <c r="RI10" s="29">
        <f t="shared" si="665"/>
        <v>0</v>
      </c>
      <c r="RJ10" s="29">
        <f t="shared" si="665"/>
        <v>0</v>
      </c>
      <c r="RK10" s="29">
        <f t="shared" si="665"/>
        <v>0</v>
      </c>
      <c r="RL10" s="29">
        <f t="shared" si="665"/>
        <v>0</v>
      </c>
      <c r="RM10" s="29">
        <f t="shared" si="665"/>
        <v>0</v>
      </c>
      <c r="RN10" s="29">
        <f t="shared" si="681"/>
        <v>0</v>
      </c>
      <c r="RO10" s="29">
        <f t="shared" si="681"/>
        <v>0</v>
      </c>
      <c r="RP10" s="29">
        <f t="shared" si="681"/>
        <v>0</v>
      </c>
      <c r="RQ10" s="29">
        <f t="shared" si="681"/>
        <v>0</v>
      </c>
      <c r="RR10" s="29">
        <f t="shared" si="681"/>
        <v>0</v>
      </c>
      <c r="RS10" s="29">
        <f t="shared" si="681"/>
        <v>0</v>
      </c>
      <c r="RT10" s="29">
        <f t="shared" si="666"/>
        <v>0</v>
      </c>
      <c r="RU10" s="29">
        <f t="shared" si="666"/>
        <v>0</v>
      </c>
      <c r="RV10" s="29">
        <f t="shared" si="666"/>
        <v>0</v>
      </c>
      <c r="RW10" s="29">
        <f t="shared" si="666"/>
        <v>0</v>
      </c>
      <c r="RX10" s="29">
        <f t="shared" si="666"/>
        <v>0</v>
      </c>
      <c r="RY10" s="29">
        <f t="shared" si="666"/>
        <v>0</v>
      </c>
      <c r="RZ10" s="29">
        <f t="shared" si="666"/>
        <v>0</v>
      </c>
      <c r="SA10" s="29">
        <f t="shared" si="666"/>
        <v>0</v>
      </c>
      <c r="SB10" s="29">
        <f t="shared" si="681"/>
        <v>0</v>
      </c>
      <c r="SC10" s="29">
        <f t="shared" si="681"/>
        <v>0</v>
      </c>
      <c r="SD10" s="29">
        <f t="shared" si="681"/>
        <v>0</v>
      </c>
      <c r="SE10" s="29">
        <f t="shared" si="681"/>
        <v>0</v>
      </c>
      <c r="SF10" s="29">
        <f t="shared" si="681"/>
        <v>0</v>
      </c>
      <c r="SG10" s="29">
        <f t="shared" si="681"/>
        <v>0</v>
      </c>
      <c r="SH10" s="29">
        <f t="shared" si="666"/>
        <v>0</v>
      </c>
      <c r="SI10" s="29">
        <f t="shared" si="666"/>
        <v>0</v>
      </c>
      <c r="SJ10" s="29">
        <f t="shared" si="666"/>
        <v>0</v>
      </c>
      <c r="SK10" s="29">
        <f t="shared" si="666"/>
        <v>0</v>
      </c>
      <c r="SL10" s="29">
        <f t="shared" si="666"/>
        <v>0</v>
      </c>
      <c r="SM10" s="29">
        <f t="shared" si="666"/>
        <v>0</v>
      </c>
      <c r="SN10" s="29">
        <f t="shared" si="666"/>
        <v>0</v>
      </c>
      <c r="SO10" s="29">
        <f t="shared" si="666"/>
        <v>0</v>
      </c>
      <c r="SP10" s="29">
        <f t="shared" si="681"/>
        <v>0</v>
      </c>
      <c r="SQ10" s="29">
        <f t="shared" si="681"/>
        <v>0</v>
      </c>
      <c r="SR10" s="29">
        <f t="shared" si="681"/>
        <v>0</v>
      </c>
      <c r="SS10" s="29">
        <f t="shared" si="681"/>
        <v>0</v>
      </c>
      <c r="ST10" s="29">
        <f t="shared" si="681"/>
        <v>0</v>
      </c>
      <c r="SU10" s="29">
        <f t="shared" si="681"/>
        <v>0</v>
      </c>
      <c r="SV10" s="29">
        <f t="shared" si="666"/>
        <v>0</v>
      </c>
      <c r="SW10" s="29">
        <f t="shared" si="666"/>
        <v>0</v>
      </c>
      <c r="SX10" s="29">
        <f t="shared" si="666"/>
        <v>0</v>
      </c>
      <c r="SY10" s="29">
        <f t="shared" si="666"/>
        <v>0</v>
      </c>
      <c r="SZ10" s="29">
        <f t="shared" si="666"/>
        <v>0</v>
      </c>
      <c r="TA10" s="29">
        <f t="shared" si="666"/>
        <v>0</v>
      </c>
      <c r="TB10" s="29">
        <f t="shared" si="666"/>
        <v>0</v>
      </c>
      <c r="TC10" s="29">
        <f t="shared" si="666"/>
        <v>0</v>
      </c>
      <c r="TD10" s="29">
        <f t="shared" si="681"/>
        <v>0</v>
      </c>
      <c r="TE10" s="29">
        <f t="shared" si="681"/>
        <v>0</v>
      </c>
      <c r="TF10" s="29">
        <f t="shared" si="681"/>
        <v>0</v>
      </c>
      <c r="TG10" s="29">
        <f t="shared" si="681"/>
        <v>0</v>
      </c>
      <c r="TH10" s="29">
        <f t="shared" si="681"/>
        <v>0</v>
      </c>
      <c r="TI10" s="29">
        <f t="shared" si="681"/>
        <v>0</v>
      </c>
      <c r="TJ10" s="29">
        <f t="shared" si="666"/>
        <v>0</v>
      </c>
      <c r="TK10" s="29">
        <f t="shared" si="666"/>
        <v>0</v>
      </c>
      <c r="TL10" s="29">
        <f t="shared" si="666"/>
        <v>0</v>
      </c>
      <c r="TM10" s="29">
        <f t="shared" si="666"/>
        <v>0</v>
      </c>
      <c r="TN10" s="29">
        <f t="shared" si="666"/>
        <v>0</v>
      </c>
      <c r="TO10" s="29">
        <f t="shared" si="666"/>
        <v>0</v>
      </c>
      <c r="TP10" s="29">
        <f t="shared" si="666"/>
        <v>0</v>
      </c>
      <c r="TQ10" s="29">
        <f t="shared" si="666"/>
        <v>0</v>
      </c>
      <c r="TR10" s="29">
        <f t="shared" si="681"/>
        <v>0</v>
      </c>
      <c r="TS10" s="29">
        <f t="shared" si="681"/>
        <v>0</v>
      </c>
      <c r="TT10" s="29">
        <f t="shared" si="681"/>
        <v>0</v>
      </c>
      <c r="TU10" s="29">
        <f t="shared" si="681"/>
        <v>0</v>
      </c>
      <c r="TV10" s="29">
        <f t="shared" si="681"/>
        <v>0</v>
      </c>
      <c r="TW10" s="29">
        <f t="shared" si="681"/>
        <v>0</v>
      </c>
      <c r="TX10" s="29">
        <f t="shared" si="666"/>
        <v>0</v>
      </c>
      <c r="TY10" s="29">
        <f t="shared" si="666"/>
        <v>0</v>
      </c>
      <c r="TZ10" s="29">
        <f t="shared" si="666"/>
        <v>0</v>
      </c>
      <c r="UA10" s="29">
        <f t="shared" si="666"/>
        <v>0</v>
      </c>
      <c r="UB10" s="29">
        <f t="shared" si="667"/>
        <v>0</v>
      </c>
      <c r="UC10" s="29">
        <f t="shared" si="667"/>
        <v>0</v>
      </c>
      <c r="UD10" s="29">
        <f t="shared" si="667"/>
        <v>0</v>
      </c>
      <c r="UE10" s="29">
        <f t="shared" si="667"/>
        <v>0</v>
      </c>
      <c r="UF10" s="29">
        <f t="shared" si="667"/>
        <v>0</v>
      </c>
      <c r="UG10" s="29">
        <f t="shared" si="667"/>
        <v>0</v>
      </c>
      <c r="UH10" s="29">
        <f t="shared" si="667"/>
        <v>0</v>
      </c>
      <c r="UI10" s="29">
        <f t="shared" si="667"/>
        <v>0</v>
      </c>
      <c r="UJ10" s="29">
        <f t="shared" si="667"/>
        <v>0</v>
      </c>
      <c r="UK10" s="29">
        <f t="shared" si="667"/>
        <v>0</v>
      </c>
      <c r="UL10" s="29">
        <f t="shared" si="667"/>
        <v>0</v>
      </c>
      <c r="UM10" s="29">
        <f t="shared" si="667"/>
        <v>0</v>
      </c>
      <c r="UN10" s="29">
        <f t="shared" si="667"/>
        <v>0</v>
      </c>
      <c r="UO10" s="29">
        <f t="shared" si="667"/>
        <v>0</v>
      </c>
      <c r="UP10" s="29">
        <f t="shared" si="667"/>
        <v>0</v>
      </c>
      <c r="UQ10" s="29">
        <f t="shared" si="667"/>
        <v>0</v>
      </c>
      <c r="UR10" s="29">
        <f t="shared" si="667"/>
        <v>0</v>
      </c>
      <c r="US10" s="29">
        <f t="shared" si="667"/>
        <v>0</v>
      </c>
      <c r="UT10" s="29">
        <f t="shared" si="667"/>
        <v>0</v>
      </c>
      <c r="UU10" s="29">
        <f t="shared" si="667"/>
        <v>0</v>
      </c>
      <c r="UV10" s="29">
        <f t="shared" si="667"/>
        <v>0</v>
      </c>
      <c r="UW10" s="29">
        <f t="shared" si="667"/>
        <v>0</v>
      </c>
      <c r="UX10" s="29">
        <f t="shared" si="667"/>
        <v>0</v>
      </c>
      <c r="UY10" s="29">
        <f t="shared" si="667"/>
        <v>0</v>
      </c>
      <c r="UZ10" s="29">
        <f t="shared" si="667"/>
        <v>0</v>
      </c>
      <c r="VA10" s="29">
        <f t="shared" si="667"/>
        <v>0</v>
      </c>
      <c r="VB10" s="29">
        <f t="shared" si="667"/>
        <v>0</v>
      </c>
      <c r="VC10" s="29">
        <f t="shared" si="667"/>
        <v>0</v>
      </c>
      <c r="VD10" s="29">
        <f t="shared" si="667"/>
        <v>0</v>
      </c>
      <c r="VE10" s="29">
        <f t="shared" si="667"/>
        <v>0</v>
      </c>
      <c r="VF10" s="29">
        <f t="shared" si="667"/>
        <v>0</v>
      </c>
      <c r="VG10" s="29">
        <f t="shared" si="667"/>
        <v>0</v>
      </c>
      <c r="VH10" s="29">
        <f t="shared" si="667"/>
        <v>0</v>
      </c>
      <c r="VI10" s="29">
        <f t="shared" si="667"/>
        <v>0</v>
      </c>
      <c r="VJ10" s="29">
        <f t="shared" si="667"/>
        <v>0</v>
      </c>
      <c r="VK10" s="29">
        <f t="shared" si="667"/>
        <v>0</v>
      </c>
      <c r="VL10" s="29">
        <f t="shared" si="667"/>
        <v>0</v>
      </c>
      <c r="VM10" s="29">
        <f t="shared" si="667"/>
        <v>0</v>
      </c>
      <c r="VN10" s="29">
        <f t="shared" si="667"/>
        <v>0</v>
      </c>
      <c r="VO10" s="29">
        <f t="shared" si="667"/>
        <v>0</v>
      </c>
      <c r="VP10" s="29">
        <f t="shared" si="667"/>
        <v>0</v>
      </c>
      <c r="VQ10" s="29">
        <f t="shared" si="667"/>
        <v>0</v>
      </c>
      <c r="VR10" s="29">
        <f t="shared" si="667"/>
        <v>0</v>
      </c>
      <c r="VS10" s="29">
        <f t="shared" si="667"/>
        <v>0</v>
      </c>
      <c r="VT10" s="29">
        <f t="shared" si="667"/>
        <v>0</v>
      </c>
      <c r="VU10" s="29">
        <f t="shared" si="667"/>
        <v>0</v>
      </c>
      <c r="VV10" s="29">
        <f t="shared" si="667"/>
        <v>0</v>
      </c>
      <c r="VW10" s="29">
        <f t="shared" si="667"/>
        <v>0</v>
      </c>
      <c r="VX10" s="29">
        <f t="shared" si="667"/>
        <v>0</v>
      </c>
      <c r="VY10" s="29">
        <f t="shared" si="667"/>
        <v>0</v>
      </c>
      <c r="VZ10" s="29">
        <f t="shared" si="667"/>
        <v>0</v>
      </c>
      <c r="WA10" s="29">
        <f t="shared" si="667"/>
        <v>0</v>
      </c>
      <c r="WB10" s="29">
        <f t="shared" si="667"/>
        <v>0</v>
      </c>
      <c r="WC10" s="29">
        <f t="shared" si="667"/>
        <v>0</v>
      </c>
      <c r="WD10" s="29">
        <f t="shared" si="667"/>
        <v>0</v>
      </c>
      <c r="WE10" s="29">
        <f t="shared" si="667"/>
        <v>0</v>
      </c>
      <c r="WF10" s="29">
        <f t="shared" si="667"/>
        <v>0</v>
      </c>
      <c r="WG10" s="29">
        <f t="shared" si="667"/>
        <v>0</v>
      </c>
      <c r="WH10" s="29">
        <f t="shared" si="667"/>
        <v>0</v>
      </c>
      <c r="WI10" s="29">
        <f t="shared" si="667"/>
        <v>0</v>
      </c>
      <c r="WJ10" s="29">
        <f t="shared" si="667"/>
        <v>0</v>
      </c>
      <c r="WK10" s="29">
        <f t="shared" si="667"/>
        <v>0</v>
      </c>
      <c r="WL10" s="29">
        <f t="shared" si="667"/>
        <v>0</v>
      </c>
      <c r="WM10" s="29">
        <f t="shared" ref="WM10:YS10" si="685">IF(AND($J10&lt;=WM$3, $K10&gt;=WM$3),1,0)</f>
        <v>0</v>
      </c>
      <c r="WN10" s="29">
        <f t="shared" si="685"/>
        <v>0</v>
      </c>
      <c r="WO10" s="29">
        <f t="shared" si="685"/>
        <v>0</v>
      </c>
      <c r="WP10" s="29">
        <f t="shared" si="668"/>
        <v>0</v>
      </c>
      <c r="WQ10" s="29">
        <f t="shared" si="668"/>
        <v>0</v>
      </c>
      <c r="WR10" s="29">
        <f t="shared" si="668"/>
        <v>0</v>
      </c>
      <c r="WS10" s="29">
        <f t="shared" si="668"/>
        <v>0</v>
      </c>
      <c r="WT10" s="29">
        <f t="shared" si="668"/>
        <v>0</v>
      </c>
      <c r="WU10" s="29">
        <f t="shared" si="668"/>
        <v>0</v>
      </c>
      <c r="WV10" s="29">
        <f t="shared" si="668"/>
        <v>0</v>
      </c>
      <c r="WW10" s="29">
        <f t="shared" si="668"/>
        <v>0</v>
      </c>
      <c r="WX10" s="29">
        <f t="shared" si="685"/>
        <v>0</v>
      </c>
      <c r="WY10" s="29">
        <f t="shared" si="685"/>
        <v>0</v>
      </c>
      <c r="WZ10" s="29">
        <f t="shared" si="685"/>
        <v>0</v>
      </c>
      <c r="XA10" s="29">
        <f t="shared" si="685"/>
        <v>0</v>
      </c>
      <c r="XB10" s="29">
        <f t="shared" si="685"/>
        <v>0</v>
      </c>
      <c r="XC10" s="29">
        <f t="shared" si="685"/>
        <v>0</v>
      </c>
      <c r="XD10" s="29">
        <f t="shared" si="668"/>
        <v>0</v>
      </c>
      <c r="XE10" s="29">
        <f t="shared" si="668"/>
        <v>0</v>
      </c>
      <c r="XF10" s="29">
        <f t="shared" si="668"/>
        <v>0</v>
      </c>
      <c r="XG10" s="29">
        <f t="shared" si="668"/>
        <v>0</v>
      </c>
      <c r="XH10" s="29">
        <f t="shared" si="668"/>
        <v>0</v>
      </c>
      <c r="XI10" s="29">
        <f t="shared" si="668"/>
        <v>0</v>
      </c>
      <c r="XJ10" s="29">
        <f t="shared" si="668"/>
        <v>0</v>
      </c>
      <c r="XK10" s="29">
        <f t="shared" si="668"/>
        <v>0</v>
      </c>
      <c r="XL10" s="29">
        <f t="shared" si="685"/>
        <v>0</v>
      </c>
      <c r="XM10" s="29">
        <f t="shared" si="685"/>
        <v>0</v>
      </c>
      <c r="XN10" s="29">
        <f t="shared" si="685"/>
        <v>0</v>
      </c>
      <c r="XO10" s="29">
        <f t="shared" si="685"/>
        <v>0</v>
      </c>
      <c r="XP10" s="29">
        <f t="shared" si="685"/>
        <v>0</v>
      </c>
      <c r="XQ10" s="29">
        <f t="shared" si="685"/>
        <v>0</v>
      </c>
      <c r="XR10" s="29">
        <f t="shared" si="668"/>
        <v>0</v>
      </c>
      <c r="XS10" s="29">
        <f t="shared" si="668"/>
        <v>0</v>
      </c>
      <c r="XT10" s="29">
        <f t="shared" si="668"/>
        <v>0</v>
      </c>
      <c r="XU10" s="29">
        <f t="shared" si="668"/>
        <v>0</v>
      </c>
      <c r="XV10" s="29">
        <f t="shared" si="668"/>
        <v>0</v>
      </c>
      <c r="XW10" s="29">
        <f t="shared" si="668"/>
        <v>0</v>
      </c>
      <c r="XX10" s="29">
        <f t="shared" si="668"/>
        <v>0</v>
      </c>
      <c r="XY10" s="29">
        <f t="shared" si="668"/>
        <v>0</v>
      </c>
      <c r="XZ10" s="29">
        <f t="shared" si="685"/>
        <v>0</v>
      </c>
      <c r="YA10" s="29">
        <f t="shared" si="685"/>
        <v>0</v>
      </c>
      <c r="YB10" s="29">
        <f t="shared" si="685"/>
        <v>0</v>
      </c>
      <c r="YC10" s="29">
        <f t="shared" si="685"/>
        <v>0</v>
      </c>
      <c r="YD10" s="29">
        <f t="shared" si="685"/>
        <v>0</v>
      </c>
      <c r="YE10" s="29">
        <f t="shared" si="685"/>
        <v>0</v>
      </c>
      <c r="YF10" s="29">
        <f t="shared" si="668"/>
        <v>0</v>
      </c>
      <c r="YG10" s="29">
        <f t="shared" si="668"/>
        <v>0</v>
      </c>
      <c r="YH10" s="29">
        <f t="shared" si="668"/>
        <v>0</v>
      </c>
      <c r="YI10" s="29">
        <f t="shared" si="668"/>
        <v>0</v>
      </c>
      <c r="YJ10" s="29">
        <f t="shared" si="668"/>
        <v>0</v>
      </c>
      <c r="YK10" s="29">
        <f t="shared" si="668"/>
        <v>0</v>
      </c>
      <c r="YL10" s="29">
        <f t="shared" si="668"/>
        <v>0</v>
      </c>
      <c r="YM10" s="29">
        <f t="shared" si="668"/>
        <v>0</v>
      </c>
      <c r="YN10" s="29">
        <f t="shared" si="685"/>
        <v>0</v>
      </c>
      <c r="YO10" s="29">
        <f t="shared" si="685"/>
        <v>0</v>
      </c>
      <c r="YP10" s="29">
        <f t="shared" si="685"/>
        <v>0</v>
      </c>
      <c r="YQ10" s="29">
        <f t="shared" si="685"/>
        <v>0</v>
      </c>
      <c r="YR10" s="29">
        <f t="shared" si="685"/>
        <v>0</v>
      </c>
      <c r="YS10" s="29">
        <f t="shared" si="685"/>
        <v>0</v>
      </c>
      <c r="YT10" s="29">
        <f t="shared" si="668"/>
        <v>0</v>
      </c>
      <c r="YU10" s="29">
        <f t="shared" si="668"/>
        <v>0</v>
      </c>
      <c r="YV10" s="29">
        <f t="shared" si="668"/>
        <v>0</v>
      </c>
      <c r="YW10" s="29">
        <f t="shared" si="668"/>
        <v>0</v>
      </c>
      <c r="YX10" s="29">
        <f t="shared" si="668"/>
        <v>0</v>
      </c>
      <c r="YY10" s="29">
        <f t="shared" si="668"/>
        <v>0</v>
      </c>
      <c r="YZ10" s="29">
        <f t="shared" si="669"/>
        <v>0</v>
      </c>
      <c r="ZA10" s="29">
        <f t="shared" si="669"/>
        <v>0</v>
      </c>
      <c r="ZB10" s="29">
        <f t="shared" si="669"/>
        <v>0</v>
      </c>
      <c r="ZC10" s="29">
        <f t="shared" si="669"/>
        <v>0</v>
      </c>
      <c r="ZD10" s="29">
        <f t="shared" si="669"/>
        <v>0</v>
      </c>
      <c r="ZE10" s="29">
        <f t="shared" si="669"/>
        <v>0</v>
      </c>
      <c r="ZF10" s="29">
        <f t="shared" si="669"/>
        <v>0</v>
      </c>
      <c r="ZG10" s="29">
        <f t="shared" si="669"/>
        <v>0</v>
      </c>
      <c r="ZH10" s="29">
        <f t="shared" si="669"/>
        <v>0</v>
      </c>
      <c r="ZI10" s="29">
        <f t="shared" si="669"/>
        <v>0</v>
      </c>
      <c r="ZJ10" s="29">
        <f t="shared" si="669"/>
        <v>0</v>
      </c>
      <c r="ZK10" s="29">
        <f t="shared" si="669"/>
        <v>0</v>
      </c>
      <c r="ZL10" s="29">
        <f t="shared" si="669"/>
        <v>0</v>
      </c>
      <c r="ZM10" s="29">
        <f t="shared" si="669"/>
        <v>0</v>
      </c>
      <c r="ZN10" s="29">
        <f t="shared" si="669"/>
        <v>0</v>
      </c>
      <c r="ZO10" s="29">
        <f t="shared" si="669"/>
        <v>0</v>
      </c>
      <c r="ZP10" s="29">
        <f t="shared" si="669"/>
        <v>0</v>
      </c>
      <c r="ZQ10" s="29">
        <f t="shared" si="669"/>
        <v>0</v>
      </c>
      <c r="ZR10" s="29">
        <f t="shared" si="669"/>
        <v>0</v>
      </c>
      <c r="ZS10" s="29">
        <f t="shared" si="669"/>
        <v>0</v>
      </c>
      <c r="ZT10" s="29">
        <f t="shared" si="669"/>
        <v>0</v>
      </c>
      <c r="ZU10" s="29">
        <f t="shared" si="669"/>
        <v>0</v>
      </c>
      <c r="ZV10" s="29">
        <f t="shared" si="669"/>
        <v>0</v>
      </c>
      <c r="ZW10" s="29">
        <f t="shared" si="669"/>
        <v>0</v>
      </c>
      <c r="ZX10" s="29">
        <f t="shared" si="669"/>
        <v>0</v>
      </c>
      <c r="ZY10" s="29">
        <f t="shared" si="669"/>
        <v>0</v>
      </c>
      <c r="ZZ10" s="29">
        <f t="shared" si="669"/>
        <v>0</v>
      </c>
      <c r="AAA10" s="29">
        <f t="shared" si="669"/>
        <v>0</v>
      </c>
      <c r="AAB10" s="29">
        <f t="shared" si="669"/>
        <v>0</v>
      </c>
      <c r="AAC10" s="29">
        <f t="shared" si="669"/>
        <v>0</v>
      </c>
      <c r="AAD10" s="29">
        <f t="shared" si="669"/>
        <v>0</v>
      </c>
      <c r="AAE10" s="29">
        <f t="shared" si="669"/>
        <v>0</v>
      </c>
      <c r="AAF10" s="29">
        <f t="shared" si="669"/>
        <v>0</v>
      </c>
      <c r="AAG10" s="29">
        <f t="shared" si="669"/>
        <v>0</v>
      </c>
      <c r="AAH10" s="29">
        <f t="shared" si="669"/>
        <v>0</v>
      </c>
      <c r="AAI10" s="29">
        <f t="shared" si="669"/>
        <v>0</v>
      </c>
      <c r="AAJ10" s="29">
        <f t="shared" si="669"/>
        <v>0</v>
      </c>
      <c r="AAK10" s="29">
        <f t="shared" si="669"/>
        <v>0</v>
      </c>
      <c r="AAL10" s="29">
        <f t="shared" si="669"/>
        <v>0</v>
      </c>
      <c r="AAM10" s="29">
        <f t="shared" si="669"/>
        <v>0</v>
      </c>
      <c r="AAN10" s="29">
        <f t="shared" si="669"/>
        <v>0</v>
      </c>
      <c r="AAO10" s="29">
        <f t="shared" si="669"/>
        <v>0</v>
      </c>
      <c r="AAP10" s="29">
        <f t="shared" si="669"/>
        <v>0</v>
      </c>
      <c r="AAQ10" s="29">
        <f t="shared" si="669"/>
        <v>0</v>
      </c>
      <c r="AAR10" s="29">
        <f t="shared" si="669"/>
        <v>0</v>
      </c>
      <c r="AAS10" s="29">
        <f t="shared" si="669"/>
        <v>0</v>
      </c>
      <c r="AAT10" s="29">
        <f t="shared" si="669"/>
        <v>0</v>
      </c>
      <c r="AAU10" s="29">
        <f t="shared" si="669"/>
        <v>0</v>
      </c>
      <c r="AAV10" s="29">
        <f t="shared" si="669"/>
        <v>0</v>
      </c>
      <c r="AAW10" s="29">
        <f t="shared" si="669"/>
        <v>0</v>
      </c>
      <c r="AAX10" s="29">
        <f t="shared" si="669"/>
        <v>0</v>
      </c>
      <c r="AAY10" s="29">
        <f t="shared" si="669"/>
        <v>0</v>
      </c>
      <c r="AAZ10" s="29">
        <f t="shared" si="669"/>
        <v>0</v>
      </c>
      <c r="ABA10" s="29">
        <f t="shared" si="669"/>
        <v>0</v>
      </c>
      <c r="ABB10" s="29">
        <f t="shared" si="669"/>
        <v>0</v>
      </c>
      <c r="ABC10" s="29">
        <f t="shared" si="669"/>
        <v>0</v>
      </c>
      <c r="ABD10" s="29">
        <f t="shared" si="669"/>
        <v>0</v>
      </c>
      <c r="ABE10" s="29">
        <f t="shared" si="669"/>
        <v>0</v>
      </c>
      <c r="ABF10" s="29">
        <f t="shared" si="669"/>
        <v>0</v>
      </c>
      <c r="ABG10" s="29">
        <f t="shared" si="669"/>
        <v>0</v>
      </c>
      <c r="ABH10" s="29">
        <f t="shared" si="669"/>
        <v>0</v>
      </c>
      <c r="ABI10" s="29">
        <f t="shared" si="669"/>
        <v>0</v>
      </c>
      <c r="ABJ10" s="29">
        <f t="shared" si="669"/>
        <v>0</v>
      </c>
      <c r="ABK10" s="29">
        <f t="shared" ref="ABK10:ADO10" si="686">IF(AND($J10&lt;=ABK$3, $K10&gt;=ABK$3),1,0)</f>
        <v>0</v>
      </c>
      <c r="ABL10" s="29">
        <f t="shared" si="670"/>
        <v>0</v>
      </c>
      <c r="ABM10" s="29">
        <f t="shared" si="670"/>
        <v>0</v>
      </c>
      <c r="ABN10" s="29">
        <f t="shared" si="670"/>
        <v>0</v>
      </c>
      <c r="ABO10" s="29">
        <f t="shared" si="670"/>
        <v>0</v>
      </c>
      <c r="ABP10" s="29">
        <f t="shared" si="670"/>
        <v>0</v>
      </c>
      <c r="ABQ10" s="29">
        <f t="shared" si="670"/>
        <v>0</v>
      </c>
      <c r="ABR10" s="29">
        <f t="shared" si="670"/>
        <v>0</v>
      </c>
      <c r="ABS10" s="29">
        <f t="shared" si="670"/>
        <v>0</v>
      </c>
      <c r="ABT10" s="29">
        <f t="shared" si="686"/>
        <v>0</v>
      </c>
      <c r="ABU10" s="29">
        <f t="shared" si="686"/>
        <v>0</v>
      </c>
      <c r="ABV10" s="29">
        <f t="shared" si="686"/>
        <v>0</v>
      </c>
      <c r="ABW10" s="29">
        <f t="shared" si="686"/>
        <v>0</v>
      </c>
      <c r="ABX10" s="29">
        <f t="shared" si="686"/>
        <v>0</v>
      </c>
      <c r="ABY10" s="29">
        <f t="shared" si="686"/>
        <v>0</v>
      </c>
      <c r="ABZ10" s="29">
        <f t="shared" si="670"/>
        <v>0</v>
      </c>
      <c r="ACA10" s="29">
        <f t="shared" si="670"/>
        <v>0</v>
      </c>
      <c r="ACB10" s="29">
        <f t="shared" si="670"/>
        <v>0</v>
      </c>
      <c r="ACC10" s="29">
        <f t="shared" si="670"/>
        <v>0</v>
      </c>
      <c r="ACD10" s="29">
        <f t="shared" si="670"/>
        <v>0</v>
      </c>
      <c r="ACE10" s="29">
        <f t="shared" si="670"/>
        <v>0</v>
      </c>
      <c r="ACF10" s="29">
        <f t="shared" si="670"/>
        <v>0</v>
      </c>
      <c r="ACG10" s="29">
        <f t="shared" si="670"/>
        <v>0</v>
      </c>
      <c r="ACH10" s="29">
        <f t="shared" si="686"/>
        <v>0</v>
      </c>
      <c r="ACI10" s="29">
        <f t="shared" si="686"/>
        <v>0</v>
      </c>
      <c r="ACJ10" s="29">
        <f t="shared" si="686"/>
        <v>0</v>
      </c>
      <c r="ACK10" s="29">
        <f t="shared" si="686"/>
        <v>0</v>
      </c>
      <c r="ACL10" s="29">
        <f t="shared" si="686"/>
        <v>0</v>
      </c>
      <c r="ACM10" s="29">
        <f t="shared" si="686"/>
        <v>0</v>
      </c>
      <c r="ACN10" s="29">
        <f t="shared" si="670"/>
        <v>0</v>
      </c>
      <c r="ACO10" s="29">
        <f t="shared" si="670"/>
        <v>0</v>
      </c>
      <c r="ACP10" s="29">
        <f t="shared" si="670"/>
        <v>0</v>
      </c>
      <c r="ACQ10" s="29">
        <f t="shared" si="670"/>
        <v>0</v>
      </c>
      <c r="ACR10" s="29">
        <f t="shared" si="670"/>
        <v>0</v>
      </c>
      <c r="ACS10" s="29">
        <f t="shared" si="670"/>
        <v>0</v>
      </c>
      <c r="ACT10" s="29">
        <f t="shared" si="670"/>
        <v>0</v>
      </c>
      <c r="ACU10" s="29">
        <f t="shared" si="670"/>
        <v>0</v>
      </c>
      <c r="ACV10" s="29">
        <f t="shared" si="686"/>
        <v>0</v>
      </c>
      <c r="ACW10" s="29">
        <f t="shared" si="686"/>
        <v>0</v>
      </c>
      <c r="ACX10" s="29">
        <f t="shared" si="686"/>
        <v>0</v>
      </c>
      <c r="ACY10" s="29">
        <f t="shared" si="686"/>
        <v>0</v>
      </c>
      <c r="ACZ10" s="29">
        <f t="shared" si="686"/>
        <v>0</v>
      </c>
      <c r="ADA10" s="29">
        <f t="shared" si="686"/>
        <v>0</v>
      </c>
      <c r="ADB10" s="29">
        <f t="shared" si="670"/>
        <v>0</v>
      </c>
      <c r="ADC10" s="29">
        <f t="shared" si="670"/>
        <v>0</v>
      </c>
      <c r="ADD10" s="29">
        <f t="shared" si="670"/>
        <v>0</v>
      </c>
      <c r="ADE10" s="29">
        <f t="shared" si="670"/>
        <v>0</v>
      </c>
      <c r="ADF10" s="29">
        <f t="shared" si="670"/>
        <v>0</v>
      </c>
      <c r="ADG10" s="29">
        <f t="shared" si="670"/>
        <v>0</v>
      </c>
      <c r="ADH10" s="29">
        <f t="shared" si="670"/>
        <v>0</v>
      </c>
      <c r="ADI10" s="29">
        <f t="shared" si="670"/>
        <v>0</v>
      </c>
      <c r="ADJ10" s="29">
        <f t="shared" si="686"/>
        <v>0</v>
      </c>
      <c r="ADK10" s="29">
        <f t="shared" si="686"/>
        <v>0</v>
      </c>
      <c r="ADL10" s="29">
        <f t="shared" si="686"/>
        <v>0</v>
      </c>
      <c r="ADM10" s="29">
        <f t="shared" si="686"/>
        <v>0</v>
      </c>
      <c r="ADN10" s="29">
        <f t="shared" si="686"/>
        <v>0</v>
      </c>
      <c r="ADO10" s="29">
        <f t="shared" si="686"/>
        <v>0</v>
      </c>
    </row>
    <row r="11" spans="1:795" s="41" customFormat="1" ht="12.75" x14ac:dyDescent="0.25">
      <c r="A11" s="110">
        <v>1001</v>
      </c>
      <c r="B11" s="111" t="s">
        <v>48</v>
      </c>
      <c r="C11" s="112" t="s">
        <v>64</v>
      </c>
      <c r="D11" s="112"/>
      <c r="E11" s="112" t="s">
        <v>31</v>
      </c>
      <c r="F11" s="112" t="s">
        <v>39</v>
      </c>
      <c r="G11" s="111" t="s">
        <v>45</v>
      </c>
      <c r="H11" s="113">
        <f>MIN(H12:H14)</f>
        <v>2014</v>
      </c>
      <c r="I11" s="114">
        <f>MIN(I12:I14)</f>
        <v>1</v>
      </c>
      <c r="J11" s="115">
        <f>MIN(J12:J14)</f>
        <v>41736</v>
      </c>
      <c r="K11" s="115">
        <f>MAX(K12:K14)</f>
        <v>42120</v>
      </c>
      <c r="L11" s="116">
        <f>K11-J11+1</f>
        <v>385</v>
      </c>
      <c r="M11" s="116"/>
      <c r="N11" s="117">
        <f>SUMPRODUCT(L12:L14,N12:N14)/SUM(L12:L14)</f>
        <v>0.97959183673469385</v>
      </c>
      <c r="O11" s="118">
        <f t="shared" ref="O11:O14" si="687">NETWORKDAYS(J11,K11)</f>
        <v>275</v>
      </c>
      <c r="P11" s="119">
        <f t="shared" ref="P11:P14" si="688">ROUNDDOWN(N11*L11,0)</f>
        <v>377</v>
      </c>
      <c r="Q11" s="118">
        <f t="shared" ref="Q11:Q14" si="689">L11-P11</f>
        <v>8</v>
      </c>
      <c r="R11" s="120"/>
    </row>
    <row r="12" spans="1:795" s="30" customFormat="1" ht="12.75" x14ac:dyDescent="0.25">
      <c r="A12" s="20" t="str">
        <f t="shared" ref="A12:A14" ca="1" si="690">IF(ISERROR(VALUE(SUBSTITUTE(OFFSET(A12,-1,0,1,1),".",""))),"0.1",IF(ISERROR(FIND("`",SUBSTITUTE(OFFSET(A12,-1,0,1,1),".","`",1))),OFFSET(A12,-1,0,1,1)&amp;".1",LEFT(OFFSET(A12,-1,0,1,1),FIND("`",SUBSTITUTE(OFFSET(A12,-1,0,1,1),".","`",1)))&amp;IF(ISERROR(FIND("`",SUBSTITUTE(OFFSET(A12,-1,0,1,1),".","`",2))),VALUE(RIGHT(OFFSET(A12,-1,0,1,1),LEN(OFFSET(A12,-1,0,1,1))-FIND("`",SUBSTITUTE(OFFSET(A12,-1,0,1,1),".","`",1))))+1,VALUE(MID(OFFSET(A12,-1,0,1,1),FIND("`",SUBSTITUTE(OFFSET(A12,-1,0,1,1),".","`",1))+1,(FIND("`",SUBSTITUTE(OFFSET(A12,-1,0,1,1),".","`",2))-FIND("`",SUBSTITUTE(OFFSET(A12,-1,0,1,1),".","`",1))-1)))+1)))</f>
        <v>1001.1</v>
      </c>
      <c r="B12" s="74" t="str">
        <f>B$11</f>
        <v>A</v>
      </c>
      <c r="C12" s="28" t="s">
        <v>17</v>
      </c>
      <c r="D12" s="28"/>
      <c r="E12" s="28" t="s">
        <v>31</v>
      </c>
      <c r="F12" s="151"/>
      <c r="G12" s="151"/>
      <c r="H12" s="105">
        <v>2014</v>
      </c>
      <c r="I12" s="63">
        <v>15</v>
      </c>
      <c r="J12" s="64">
        <f>IsoWeekToDateB2(H12,I12)</f>
        <v>41736</v>
      </c>
      <c r="K12" s="21">
        <f>J12+L12-1</f>
        <v>42036</v>
      </c>
      <c r="L12" s="22">
        <f>M12*7</f>
        <v>301</v>
      </c>
      <c r="M12" s="52">
        <v>43</v>
      </c>
      <c r="N12" s="53">
        <v>1</v>
      </c>
      <c r="O12" s="22">
        <f t="shared" si="687"/>
        <v>215</v>
      </c>
      <c r="P12" s="23">
        <f t="shared" si="688"/>
        <v>301</v>
      </c>
      <c r="Q12" s="22">
        <f t="shared" si="689"/>
        <v>0</v>
      </c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  <c r="SO12" s="29"/>
      <c r="SP12" s="29"/>
      <c r="SQ12" s="29"/>
      <c r="SR12" s="29"/>
      <c r="SS12" s="29"/>
      <c r="ST12" s="29"/>
      <c r="SU12" s="29"/>
      <c r="SV12" s="29"/>
      <c r="SW12" s="29"/>
      <c r="SX12" s="29"/>
      <c r="SY12" s="29"/>
      <c r="SZ12" s="29"/>
      <c r="TA12" s="29"/>
      <c r="TB12" s="29"/>
      <c r="TC12" s="29"/>
      <c r="TD12" s="29"/>
      <c r="TE12" s="29"/>
      <c r="TF12" s="29"/>
      <c r="TG12" s="29"/>
      <c r="TH12" s="29"/>
      <c r="TI12" s="29"/>
      <c r="TJ12" s="29"/>
      <c r="TK12" s="29"/>
      <c r="TL12" s="29"/>
      <c r="TM12" s="29"/>
      <c r="TN12" s="29"/>
      <c r="TO12" s="29"/>
      <c r="TP12" s="29"/>
      <c r="TQ12" s="29"/>
      <c r="TR12" s="29"/>
      <c r="TS12" s="29"/>
      <c r="TT12" s="29"/>
      <c r="TU12" s="29"/>
      <c r="TV12" s="29"/>
      <c r="TW12" s="29"/>
      <c r="TX12" s="29"/>
      <c r="TY12" s="29"/>
      <c r="TZ12" s="29"/>
      <c r="UA12" s="29"/>
      <c r="UB12" s="29"/>
      <c r="UC12" s="29"/>
      <c r="UD12" s="29"/>
      <c r="UE12" s="29"/>
      <c r="UF12" s="29"/>
      <c r="UG12" s="29"/>
      <c r="UH12" s="29"/>
      <c r="UI12" s="29"/>
      <c r="UJ12" s="29"/>
      <c r="UK12" s="29"/>
      <c r="UL12" s="29"/>
      <c r="UM12" s="29"/>
      <c r="UN12" s="29"/>
      <c r="UO12" s="29"/>
      <c r="UP12" s="29"/>
      <c r="UQ12" s="29"/>
      <c r="UR12" s="29"/>
      <c r="US12" s="29"/>
      <c r="UT12" s="29"/>
      <c r="UU12" s="29"/>
      <c r="UV12" s="29"/>
      <c r="UW12" s="29"/>
      <c r="UX12" s="29"/>
      <c r="UY12" s="29"/>
      <c r="UZ12" s="29"/>
      <c r="VA12" s="29"/>
      <c r="VB12" s="29"/>
      <c r="VC12" s="29"/>
      <c r="VD12" s="29"/>
      <c r="VE12" s="29"/>
      <c r="VF12" s="29"/>
      <c r="VG12" s="29"/>
      <c r="VH12" s="29"/>
      <c r="VI12" s="29"/>
      <c r="VJ12" s="29"/>
      <c r="VK12" s="29"/>
      <c r="VL12" s="29"/>
      <c r="VM12" s="29"/>
      <c r="VN12" s="29"/>
      <c r="VO12" s="29"/>
      <c r="VP12" s="29"/>
      <c r="VQ12" s="29"/>
      <c r="VR12" s="29"/>
      <c r="VS12" s="29"/>
      <c r="VT12" s="29"/>
      <c r="VU12" s="29"/>
      <c r="VV12" s="29"/>
      <c r="VW12" s="29"/>
      <c r="VX12" s="29"/>
      <c r="VY12" s="29"/>
      <c r="VZ12" s="29"/>
      <c r="WA12" s="29"/>
      <c r="WB12" s="29"/>
      <c r="WC12" s="29"/>
      <c r="WD12" s="29"/>
      <c r="WE12" s="29"/>
      <c r="WF12" s="29"/>
      <c r="WG12" s="29"/>
      <c r="WH12" s="29"/>
      <c r="WI12" s="29"/>
      <c r="WJ12" s="29"/>
      <c r="WK12" s="29"/>
      <c r="WL12" s="29"/>
      <c r="WM12" s="29"/>
      <c r="WN12" s="29"/>
      <c r="WO12" s="29"/>
      <c r="WP12" s="29"/>
      <c r="WQ12" s="29"/>
      <c r="WR12" s="29"/>
      <c r="WS12" s="29"/>
      <c r="WT12" s="29"/>
      <c r="WU12" s="29"/>
      <c r="WV12" s="29"/>
      <c r="WW12" s="29"/>
      <c r="WX12" s="29"/>
      <c r="WY12" s="29"/>
      <c r="WZ12" s="29"/>
      <c r="XA12" s="29"/>
      <c r="XB12" s="29"/>
      <c r="XC12" s="29"/>
      <c r="XD12" s="29"/>
      <c r="XE12" s="29"/>
      <c r="XF12" s="29"/>
      <c r="XG12" s="29"/>
      <c r="XH12" s="29"/>
      <c r="XI12" s="29"/>
      <c r="XJ12" s="29"/>
      <c r="XK12" s="29"/>
      <c r="XL12" s="29"/>
      <c r="XM12" s="29"/>
      <c r="XN12" s="29"/>
      <c r="XO12" s="29"/>
      <c r="XP12" s="29"/>
      <c r="XQ12" s="29"/>
      <c r="XR12" s="29"/>
      <c r="XS12" s="29"/>
      <c r="XT12" s="29"/>
      <c r="XU12" s="29"/>
      <c r="XV12" s="29"/>
      <c r="XW12" s="29"/>
      <c r="XX12" s="29"/>
      <c r="XY12" s="29"/>
      <c r="XZ12" s="29"/>
      <c r="YA12" s="29"/>
      <c r="YB12" s="29"/>
      <c r="YC12" s="29"/>
      <c r="YD12" s="29"/>
      <c r="YE12" s="29"/>
      <c r="YF12" s="29"/>
      <c r="YG12" s="29"/>
      <c r="YH12" s="29"/>
      <c r="YI12" s="29"/>
      <c r="YJ12" s="29"/>
      <c r="YK12" s="29"/>
      <c r="YL12" s="29"/>
      <c r="YM12" s="29"/>
      <c r="YN12" s="29"/>
      <c r="YO12" s="29"/>
      <c r="YP12" s="29"/>
      <c r="YQ12" s="29"/>
      <c r="YR12" s="29"/>
      <c r="YS12" s="29"/>
      <c r="YT12" s="29"/>
      <c r="YU12" s="29"/>
      <c r="YV12" s="29"/>
      <c r="YW12" s="29"/>
      <c r="YX12" s="29"/>
      <c r="YY12" s="29"/>
      <c r="YZ12" s="29"/>
      <c r="ZA12" s="29"/>
      <c r="ZB12" s="29"/>
      <c r="ZC12" s="29"/>
      <c r="ZD12" s="29"/>
      <c r="ZE12" s="29"/>
      <c r="ZF12" s="29"/>
      <c r="ZG12" s="29"/>
      <c r="ZH12" s="29"/>
      <c r="ZI12" s="29"/>
      <c r="ZJ12" s="29"/>
      <c r="ZK12" s="29"/>
      <c r="ZL12" s="29"/>
      <c r="ZM12" s="29"/>
      <c r="ZN12" s="29"/>
      <c r="ZO12" s="29"/>
      <c r="ZP12" s="29"/>
      <c r="ZQ12" s="29"/>
      <c r="ZR12" s="29"/>
      <c r="ZS12" s="29"/>
      <c r="ZT12" s="29"/>
      <c r="ZU12" s="29"/>
      <c r="ZV12" s="29"/>
      <c r="ZW12" s="29"/>
      <c r="ZX12" s="29"/>
      <c r="ZY12" s="29"/>
      <c r="ZZ12" s="29"/>
      <c r="AAA12" s="29"/>
      <c r="AAB12" s="29"/>
      <c r="AAC12" s="29"/>
      <c r="AAD12" s="29"/>
      <c r="AAE12" s="29"/>
      <c r="AAF12" s="29"/>
      <c r="AAG12" s="29"/>
      <c r="AAH12" s="29"/>
      <c r="AAI12" s="29"/>
      <c r="AAJ12" s="29"/>
      <c r="AAK12" s="29"/>
      <c r="AAL12" s="29"/>
      <c r="AAM12" s="29"/>
      <c r="AAN12" s="29"/>
      <c r="AAO12" s="29"/>
      <c r="AAP12" s="29"/>
      <c r="AAQ12" s="29"/>
      <c r="AAR12" s="29"/>
      <c r="AAS12" s="29"/>
      <c r="AAT12" s="29"/>
      <c r="AAU12" s="29"/>
      <c r="AAV12" s="29"/>
      <c r="AAW12" s="29"/>
      <c r="AAX12" s="29"/>
      <c r="AAY12" s="29"/>
      <c r="AAZ12" s="29"/>
      <c r="ABA12" s="29"/>
      <c r="ABB12" s="29"/>
      <c r="ABC12" s="29"/>
      <c r="ABD12" s="29"/>
      <c r="ABE12" s="29"/>
      <c r="ABF12" s="29"/>
      <c r="ABG12" s="29"/>
      <c r="ABH12" s="29"/>
      <c r="ABI12" s="29"/>
      <c r="ABJ12" s="29"/>
      <c r="ABK12" s="29"/>
      <c r="ABL12" s="29"/>
      <c r="ABM12" s="29"/>
      <c r="ABN12" s="29"/>
      <c r="ABO12" s="29"/>
      <c r="ABP12" s="29"/>
      <c r="ABQ12" s="29"/>
      <c r="ABR12" s="29"/>
      <c r="ABS12" s="29"/>
      <c r="ABT12" s="29"/>
      <c r="ABU12" s="29"/>
      <c r="ABV12" s="29"/>
      <c r="ABW12" s="29"/>
      <c r="ABX12" s="29"/>
      <c r="ABY12" s="29"/>
      <c r="ABZ12" s="29"/>
      <c r="ACA12" s="29"/>
      <c r="ACB12" s="29"/>
      <c r="ACC12" s="29"/>
      <c r="ACD12" s="29"/>
      <c r="ACE12" s="29"/>
      <c r="ACF12" s="29"/>
      <c r="ACG12" s="29"/>
      <c r="ACH12" s="29"/>
      <c r="ACI12" s="29"/>
      <c r="ACJ12" s="29"/>
      <c r="ACK12" s="29"/>
      <c r="ACL12" s="29"/>
      <c r="ACM12" s="29"/>
      <c r="ACN12" s="29"/>
      <c r="ACO12" s="29"/>
      <c r="ACP12" s="29"/>
      <c r="ACQ12" s="29"/>
      <c r="ACR12" s="29"/>
      <c r="ACS12" s="29"/>
      <c r="ACT12" s="29"/>
      <c r="ACU12" s="29"/>
      <c r="ACV12" s="29"/>
      <c r="ACW12" s="29"/>
      <c r="ACX12" s="29"/>
      <c r="ACY12" s="29"/>
      <c r="ACZ12" s="29"/>
      <c r="ADA12" s="29"/>
      <c r="ADB12" s="29"/>
      <c r="ADC12" s="29"/>
      <c r="ADD12" s="29"/>
      <c r="ADE12" s="29"/>
      <c r="ADF12" s="29"/>
      <c r="ADG12" s="29"/>
      <c r="ADH12" s="29"/>
      <c r="ADI12" s="29"/>
      <c r="ADJ12" s="29"/>
      <c r="ADK12" s="29"/>
      <c r="ADL12" s="29"/>
      <c r="ADM12" s="29"/>
      <c r="ADN12" s="29"/>
      <c r="ADO12" s="29"/>
    </row>
    <row r="13" spans="1:795" s="30" customFormat="1" ht="12.75" x14ac:dyDescent="0.25">
      <c r="A13" s="20" t="str">
        <f t="shared" ca="1" si="690"/>
        <v>1001.2</v>
      </c>
      <c r="B13" s="74" t="str">
        <f t="shared" ref="B13:B14" si="691">B$11</f>
        <v>A</v>
      </c>
      <c r="C13" s="28" t="s">
        <v>30</v>
      </c>
      <c r="D13" s="28"/>
      <c r="E13" s="28" t="s">
        <v>31</v>
      </c>
      <c r="F13" s="151"/>
      <c r="G13" s="151"/>
      <c r="H13" s="105">
        <v>2015</v>
      </c>
      <c r="I13" s="63">
        <v>1</v>
      </c>
      <c r="J13" s="64">
        <f t="shared" ref="J13:J21" si="692">IsoWeekToDateB2(H13,I13)</f>
        <v>42002</v>
      </c>
      <c r="K13" s="21">
        <f t="shared" ref="K13:K14" si="693">J13+L13-1</f>
        <v>42029</v>
      </c>
      <c r="L13" s="22">
        <f t="shared" ref="L13:L14" si="694">M13*7</f>
        <v>28</v>
      </c>
      <c r="M13" s="52">
        <v>4</v>
      </c>
      <c r="N13" s="53">
        <v>1</v>
      </c>
      <c r="O13" s="22">
        <f t="shared" si="687"/>
        <v>20</v>
      </c>
      <c r="P13" s="23">
        <f t="shared" si="688"/>
        <v>28</v>
      </c>
      <c r="Q13" s="22">
        <f t="shared" si="689"/>
        <v>0</v>
      </c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29"/>
      <c r="PT13" s="29"/>
      <c r="PU13" s="29"/>
      <c r="PV13" s="29"/>
      <c r="PW13" s="29"/>
      <c r="PX13" s="29"/>
      <c r="PY13" s="29"/>
      <c r="PZ13" s="29"/>
      <c r="QA13" s="29"/>
      <c r="QB13" s="29"/>
      <c r="QC13" s="29"/>
      <c r="QD13" s="29"/>
      <c r="QE13" s="29"/>
      <c r="QF13" s="29"/>
      <c r="QG13" s="29"/>
      <c r="QH13" s="29"/>
      <c r="QI13" s="29"/>
      <c r="QJ13" s="29"/>
      <c r="QK13" s="29"/>
      <c r="QL13" s="29"/>
      <c r="QM13" s="29"/>
      <c r="QN13" s="29"/>
      <c r="QO13" s="29"/>
      <c r="QP13" s="29"/>
      <c r="QQ13" s="29"/>
      <c r="QR13" s="29"/>
      <c r="QS13" s="29"/>
      <c r="QT13" s="29"/>
      <c r="QU13" s="29"/>
      <c r="QV13" s="29"/>
      <c r="QW13" s="29"/>
      <c r="QX13" s="29"/>
      <c r="QY13" s="29"/>
      <c r="QZ13" s="29"/>
      <c r="RA13" s="29"/>
      <c r="RB13" s="29"/>
      <c r="RC13" s="29"/>
      <c r="RD13" s="29"/>
      <c r="RE13" s="29"/>
      <c r="RF13" s="29"/>
      <c r="RG13" s="29"/>
      <c r="RH13" s="29"/>
      <c r="RI13" s="29"/>
      <c r="RJ13" s="29"/>
      <c r="RK13" s="29"/>
      <c r="RL13" s="29"/>
      <c r="RM13" s="29"/>
      <c r="RN13" s="29"/>
      <c r="RO13" s="29"/>
      <c r="RP13" s="29"/>
      <c r="RQ13" s="29"/>
      <c r="RR13" s="29"/>
      <c r="RS13" s="29"/>
      <c r="RT13" s="29"/>
      <c r="RU13" s="29"/>
      <c r="RV13" s="29"/>
      <c r="RW13" s="29"/>
      <c r="RX13" s="29"/>
      <c r="RY13" s="29"/>
      <c r="RZ13" s="29"/>
      <c r="SA13" s="29"/>
      <c r="SB13" s="29"/>
      <c r="SC13" s="29"/>
      <c r="SD13" s="29"/>
      <c r="SE13" s="29"/>
      <c r="SF13" s="29"/>
      <c r="SG13" s="29"/>
      <c r="SH13" s="29"/>
      <c r="SI13" s="29"/>
      <c r="SJ13" s="29"/>
      <c r="SK13" s="29"/>
      <c r="SL13" s="29"/>
      <c r="SM13" s="29"/>
      <c r="SN13" s="29"/>
      <c r="SO13" s="29"/>
      <c r="SP13" s="29"/>
      <c r="SQ13" s="29"/>
      <c r="SR13" s="29"/>
      <c r="SS13" s="29"/>
      <c r="ST13" s="29"/>
      <c r="SU13" s="29"/>
      <c r="SV13" s="29"/>
      <c r="SW13" s="29"/>
      <c r="SX13" s="29"/>
      <c r="SY13" s="29"/>
      <c r="SZ13" s="29"/>
      <c r="TA13" s="29"/>
      <c r="TB13" s="29"/>
      <c r="TC13" s="29"/>
      <c r="TD13" s="29"/>
      <c r="TE13" s="29"/>
      <c r="TF13" s="29"/>
      <c r="TG13" s="29"/>
      <c r="TH13" s="29"/>
      <c r="TI13" s="29"/>
      <c r="TJ13" s="29"/>
      <c r="TK13" s="29"/>
      <c r="TL13" s="29"/>
      <c r="TM13" s="29"/>
      <c r="TN13" s="29"/>
      <c r="TO13" s="29"/>
      <c r="TP13" s="29"/>
      <c r="TQ13" s="29"/>
      <c r="TR13" s="29"/>
      <c r="TS13" s="29"/>
      <c r="TT13" s="29"/>
      <c r="TU13" s="29"/>
      <c r="TV13" s="29"/>
      <c r="TW13" s="29"/>
      <c r="TX13" s="29"/>
      <c r="TY13" s="29"/>
      <c r="TZ13" s="29"/>
      <c r="UA13" s="29"/>
      <c r="UB13" s="29"/>
      <c r="UC13" s="29"/>
      <c r="UD13" s="29"/>
      <c r="UE13" s="29"/>
      <c r="UF13" s="29"/>
      <c r="UG13" s="29"/>
      <c r="UH13" s="29"/>
      <c r="UI13" s="29"/>
      <c r="UJ13" s="29"/>
      <c r="UK13" s="29"/>
      <c r="UL13" s="29"/>
      <c r="UM13" s="29"/>
      <c r="UN13" s="29"/>
      <c r="UO13" s="29"/>
      <c r="UP13" s="29"/>
      <c r="UQ13" s="29"/>
      <c r="UR13" s="29"/>
      <c r="US13" s="29"/>
      <c r="UT13" s="29"/>
      <c r="UU13" s="29"/>
      <c r="UV13" s="29"/>
      <c r="UW13" s="29"/>
      <c r="UX13" s="29"/>
      <c r="UY13" s="29"/>
      <c r="UZ13" s="29"/>
      <c r="VA13" s="29"/>
      <c r="VB13" s="29"/>
      <c r="VC13" s="29"/>
      <c r="VD13" s="29"/>
      <c r="VE13" s="29"/>
      <c r="VF13" s="29"/>
      <c r="VG13" s="29"/>
      <c r="VH13" s="29"/>
      <c r="VI13" s="29"/>
      <c r="VJ13" s="29"/>
      <c r="VK13" s="29"/>
      <c r="VL13" s="29"/>
      <c r="VM13" s="29"/>
      <c r="VN13" s="29"/>
      <c r="VO13" s="29"/>
      <c r="VP13" s="29"/>
      <c r="VQ13" s="29"/>
      <c r="VR13" s="29"/>
      <c r="VS13" s="29"/>
      <c r="VT13" s="29"/>
      <c r="VU13" s="29"/>
      <c r="VV13" s="29"/>
      <c r="VW13" s="29"/>
      <c r="VX13" s="29"/>
      <c r="VY13" s="29"/>
      <c r="VZ13" s="29"/>
      <c r="WA13" s="29"/>
      <c r="WB13" s="29"/>
      <c r="WC13" s="29"/>
      <c r="WD13" s="29"/>
      <c r="WE13" s="29"/>
      <c r="WF13" s="29"/>
      <c r="WG13" s="29"/>
      <c r="WH13" s="29"/>
      <c r="WI13" s="29"/>
      <c r="WJ13" s="29"/>
      <c r="WK13" s="29"/>
      <c r="WL13" s="29"/>
      <c r="WM13" s="29"/>
      <c r="WN13" s="29"/>
      <c r="WO13" s="29"/>
      <c r="WP13" s="29"/>
      <c r="WQ13" s="29"/>
      <c r="WR13" s="29"/>
      <c r="WS13" s="29"/>
      <c r="WT13" s="29"/>
      <c r="WU13" s="29"/>
      <c r="WV13" s="29"/>
      <c r="WW13" s="29"/>
      <c r="WX13" s="29"/>
      <c r="WY13" s="29"/>
      <c r="WZ13" s="29"/>
      <c r="XA13" s="29"/>
      <c r="XB13" s="29"/>
      <c r="XC13" s="29"/>
      <c r="XD13" s="29"/>
      <c r="XE13" s="29"/>
      <c r="XF13" s="29"/>
      <c r="XG13" s="29"/>
      <c r="XH13" s="29"/>
      <c r="XI13" s="29"/>
      <c r="XJ13" s="29"/>
      <c r="XK13" s="29"/>
      <c r="XL13" s="29"/>
      <c r="XM13" s="29"/>
      <c r="XN13" s="29"/>
      <c r="XO13" s="29"/>
      <c r="XP13" s="29"/>
      <c r="XQ13" s="29"/>
      <c r="XR13" s="29"/>
      <c r="XS13" s="29"/>
      <c r="XT13" s="29"/>
      <c r="XU13" s="29"/>
      <c r="XV13" s="29"/>
      <c r="XW13" s="29"/>
      <c r="XX13" s="29"/>
      <c r="XY13" s="29"/>
      <c r="XZ13" s="29"/>
      <c r="YA13" s="29"/>
      <c r="YB13" s="29"/>
      <c r="YC13" s="29"/>
      <c r="YD13" s="29"/>
      <c r="YE13" s="29"/>
      <c r="YF13" s="29"/>
      <c r="YG13" s="29"/>
      <c r="YH13" s="29"/>
      <c r="YI13" s="29"/>
      <c r="YJ13" s="29"/>
      <c r="YK13" s="29"/>
      <c r="YL13" s="29"/>
      <c r="YM13" s="29"/>
      <c r="YN13" s="29"/>
      <c r="YO13" s="29"/>
      <c r="YP13" s="29"/>
      <c r="YQ13" s="29"/>
      <c r="YR13" s="29"/>
      <c r="YS13" s="29"/>
      <c r="YT13" s="29"/>
      <c r="YU13" s="29"/>
      <c r="YV13" s="29"/>
      <c r="YW13" s="29"/>
      <c r="YX13" s="29"/>
      <c r="YY13" s="29"/>
      <c r="YZ13" s="29"/>
      <c r="ZA13" s="29"/>
      <c r="ZB13" s="29"/>
      <c r="ZC13" s="29"/>
      <c r="ZD13" s="29"/>
      <c r="ZE13" s="29"/>
      <c r="ZF13" s="29"/>
      <c r="ZG13" s="29"/>
      <c r="ZH13" s="29"/>
      <c r="ZI13" s="29"/>
      <c r="ZJ13" s="29"/>
      <c r="ZK13" s="29"/>
      <c r="ZL13" s="29"/>
      <c r="ZM13" s="29"/>
      <c r="ZN13" s="29"/>
      <c r="ZO13" s="29"/>
      <c r="ZP13" s="29"/>
      <c r="ZQ13" s="29"/>
      <c r="ZR13" s="29"/>
      <c r="ZS13" s="29"/>
      <c r="ZT13" s="29"/>
      <c r="ZU13" s="29"/>
      <c r="ZV13" s="29"/>
      <c r="ZW13" s="29"/>
      <c r="ZX13" s="29"/>
      <c r="ZY13" s="29"/>
      <c r="ZZ13" s="29"/>
      <c r="AAA13" s="29"/>
      <c r="AAB13" s="29"/>
      <c r="AAC13" s="29"/>
      <c r="AAD13" s="29"/>
      <c r="AAE13" s="29"/>
      <c r="AAF13" s="29"/>
      <c r="AAG13" s="29"/>
      <c r="AAH13" s="29"/>
      <c r="AAI13" s="29"/>
      <c r="AAJ13" s="29"/>
      <c r="AAK13" s="29"/>
      <c r="AAL13" s="29"/>
      <c r="AAM13" s="29"/>
      <c r="AAN13" s="29"/>
      <c r="AAO13" s="29"/>
      <c r="AAP13" s="29"/>
      <c r="AAQ13" s="29"/>
      <c r="AAR13" s="29"/>
      <c r="AAS13" s="29"/>
      <c r="AAT13" s="29"/>
      <c r="AAU13" s="29"/>
      <c r="AAV13" s="29"/>
      <c r="AAW13" s="29"/>
      <c r="AAX13" s="29"/>
      <c r="AAY13" s="29"/>
      <c r="AAZ13" s="29"/>
      <c r="ABA13" s="29"/>
      <c r="ABB13" s="29"/>
      <c r="ABC13" s="29"/>
      <c r="ABD13" s="29"/>
      <c r="ABE13" s="29"/>
      <c r="ABF13" s="29"/>
      <c r="ABG13" s="29"/>
      <c r="ABH13" s="29"/>
      <c r="ABI13" s="29"/>
      <c r="ABJ13" s="29"/>
      <c r="ABK13" s="29"/>
      <c r="ABL13" s="29"/>
      <c r="ABM13" s="29"/>
      <c r="ABN13" s="29"/>
      <c r="ABO13" s="29"/>
      <c r="ABP13" s="29"/>
      <c r="ABQ13" s="29"/>
      <c r="ABR13" s="29"/>
      <c r="ABS13" s="29"/>
      <c r="ABT13" s="29"/>
      <c r="ABU13" s="29"/>
      <c r="ABV13" s="29"/>
      <c r="ABW13" s="29"/>
      <c r="ABX13" s="29"/>
      <c r="ABY13" s="29"/>
      <c r="ABZ13" s="29"/>
      <c r="ACA13" s="29"/>
      <c r="ACB13" s="29"/>
      <c r="ACC13" s="29"/>
      <c r="ACD13" s="29"/>
      <c r="ACE13" s="29"/>
      <c r="ACF13" s="29"/>
      <c r="ACG13" s="29"/>
      <c r="ACH13" s="29"/>
      <c r="ACI13" s="29"/>
      <c r="ACJ13" s="29"/>
      <c r="ACK13" s="29"/>
      <c r="ACL13" s="29"/>
      <c r="ACM13" s="29"/>
      <c r="ACN13" s="29"/>
      <c r="ACO13" s="29"/>
      <c r="ACP13" s="29"/>
      <c r="ACQ13" s="29"/>
      <c r="ACR13" s="29"/>
      <c r="ACS13" s="29"/>
      <c r="ACT13" s="29"/>
      <c r="ACU13" s="29"/>
      <c r="ACV13" s="29"/>
      <c r="ACW13" s="29"/>
      <c r="ACX13" s="29"/>
      <c r="ACY13" s="29"/>
      <c r="ACZ13" s="29"/>
      <c r="ADA13" s="29"/>
      <c r="ADB13" s="29"/>
      <c r="ADC13" s="29"/>
      <c r="ADD13" s="29"/>
      <c r="ADE13" s="29"/>
      <c r="ADF13" s="29"/>
      <c r="ADG13" s="29"/>
      <c r="ADH13" s="29"/>
      <c r="ADI13" s="29"/>
      <c r="ADJ13" s="29"/>
      <c r="ADK13" s="29"/>
      <c r="ADL13" s="29"/>
      <c r="ADM13" s="29"/>
      <c r="ADN13" s="29"/>
      <c r="ADO13" s="29"/>
    </row>
    <row r="14" spans="1:795" s="30" customFormat="1" ht="12.75" x14ac:dyDescent="0.25">
      <c r="A14" s="20" t="str">
        <f t="shared" ca="1" si="690"/>
        <v>1001.3</v>
      </c>
      <c r="B14" s="74" t="str">
        <f t="shared" si="691"/>
        <v>A</v>
      </c>
      <c r="C14" s="28" t="s">
        <v>19</v>
      </c>
      <c r="D14" s="28"/>
      <c r="E14" s="28" t="s">
        <v>31</v>
      </c>
      <c r="F14" s="151"/>
      <c r="G14" s="151"/>
      <c r="H14" s="105">
        <v>2015</v>
      </c>
      <c r="I14" s="63">
        <v>16</v>
      </c>
      <c r="J14" s="64">
        <f t="shared" si="692"/>
        <v>42107</v>
      </c>
      <c r="K14" s="21">
        <f t="shared" si="693"/>
        <v>42120</v>
      </c>
      <c r="L14" s="22">
        <f t="shared" si="694"/>
        <v>14</v>
      </c>
      <c r="M14" s="52">
        <v>2</v>
      </c>
      <c r="N14" s="53">
        <v>0.5</v>
      </c>
      <c r="O14" s="22">
        <f t="shared" si="687"/>
        <v>10</v>
      </c>
      <c r="P14" s="23">
        <f t="shared" si="688"/>
        <v>7</v>
      </c>
      <c r="Q14" s="22">
        <f t="shared" si="689"/>
        <v>7</v>
      </c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  <c r="SO14" s="29"/>
      <c r="SP14" s="29"/>
      <c r="SQ14" s="29"/>
      <c r="SR14" s="29"/>
      <c r="SS14" s="29"/>
      <c r="ST14" s="29"/>
      <c r="SU14" s="29"/>
      <c r="SV14" s="29"/>
      <c r="SW14" s="29"/>
      <c r="SX14" s="29"/>
      <c r="SY14" s="29"/>
      <c r="SZ14" s="29"/>
      <c r="TA14" s="29"/>
      <c r="TB14" s="29"/>
      <c r="TC14" s="29"/>
      <c r="TD14" s="29"/>
      <c r="TE14" s="29"/>
      <c r="TF14" s="29"/>
      <c r="TG14" s="29"/>
      <c r="TH14" s="29"/>
      <c r="TI14" s="29"/>
      <c r="TJ14" s="29"/>
      <c r="TK14" s="29"/>
      <c r="TL14" s="29"/>
      <c r="TM14" s="29"/>
      <c r="TN14" s="29"/>
      <c r="TO14" s="29"/>
      <c r="TP14" s="29"/>
      <c r="TQ14" s="29"/>
      <c r="TR14" s="29"/>
      <c r="TS14" s="29"/>
      <c r="TT14" s="29"/>
      <c r="TU14" s="29"/>
      <c r="TV14" s="29"/>
      <c r="TW14" s="29"/>
      <c r="TX14" s="29"/>
      <c r="TY14" s="29"/>
      <c r="TZ14" s="29"/>
      <c r="UA14" s="29"/>
      <c r="UB14" s="29"/>
      <c r="UC14" s="29"/>
      <c r="UD14" s="29"/>
      <c r="UE14" s="29"/>
      <c r="UF14" s="29"/>
      <c r="UG14" s="29"/>
      <c r="UH14" s="29"/>
      <c r="UI14" s="29"/>
      <c r="UJ14" s="29"/>
      <c r="UK14" s="29"/>
      <c r="UL14" s="29"/>
      <c r="UM14" s="29"/>
      <c r="UN14" s="29"/>
      <c r="UO14" s="29"/>
      <c r="UP14" s="29"/>
      <c r="UQ14" s="29"/>
      <c r="UR14" s="29"/>
      <c r="US14" s="29"/>
      <c r="UT14" s="29"/>
      <c r="UU14" s="29"/>
      <c r="UV14" s="29"/>
      <c r="UW14" s="29"/>
      <c r="UX14" s="29"/>
      <c r="UY14" s="29"/>
      <c r="UZ14" s="29"/>
      <c r="VA14" s="29"/>
      <c r="VB14" s="29"/>
      <c r="VC14" s="29"/>
      <c r="VD14" s="29"/>
      <c r="VE14" s="29"/>
      <c r="VF14" s="29"/>
      <c r="VG14" s="29"/>
      <c r="VH14" s="29"/>
      <c r="VI14" s="29"/>
      <c r="VJ14" s="29"/>
      <c r="VK14" s="29"/>
      <c r="VL14" s="29"/>
      <c r="VM14" s="29"/>
      <c r="VN14" s="29"/>
      <c r="VO14" s="29"/>
      <c r="VP14" s="29"/>
      <c r="VQ14" s="29"/>
      <c r="VR14" s="29"/>
      <c r="VS14" s="29"/>
      <c r="VT14" s="29"/>
      <c r="VU14" s="29"/>
      <c r="VV14" s="29"/>
      <c r="VW14" s="29"/>
      <c r="VX14" s="29"/>
      <c r="VY14" s="29"/>
      <c r="VZ14" s="29"/>
      <c r="WA14" s="29"/>
      <c r="WB14" s="29"/>
      <c r="WC14" s="29"/>
      <c r="WD14" s="29"/>
      <c r="WE14" s="29"/>
      <c r="WF14" s="29"/>
      <c r="WG14" s="29"/>
      <c r="WH14" s="29"/>
      <c r="WI14" s="29"/>
      <c r="WJ14" s="29"/>
      <c r="WK14" s="29"/>
      <c r="WL14" s="29"/>
      <c r="WM14" s="29"/>
      <c r="WN14" s="29"/>
      <c r="WO14" s="29"/>
      <c r="WP14" s="29"/>
      <c r="WQ14" s="29"/>
      <c r="WR14" s="29"/>
      <c r="WS14" s="29"/>
      <c r="WT14" s="29"/>
      <c r="WU14" s="29"/>
      <c r="WV14" s="29"/>
      <c r="WW14" s="29"/>
      <c r="WX14" s="29"/>
      <c r="WY14" s="29"/>
      <c r="WZ14" s="29"/>
      <c r="XA14" s="29"/>
      <c r="XB14" s="29"/>
      <c r="XC14" s="29"/>
      <c r="XD14" s="29"/>
      <c r="XE14" s="29"/>
      <c r="XF14" s="29"/>
      <c r="XG14" s="29"/>
      <c r="XH14" s="29"/>
      <c r="XI14" s="29"/>
      <c r="XJ14" s="29"/>
      <c r="XK14" s="29"/>
      <c r="XL14" s="29"/>
      <c r="XM14" s="29"/>
      <c r="XN14" s="29"/>
      <c r="XO14" s="29"/>
      <c r="XP14" s="29"/>
      <c r="XQ14" s="29"/>
      <c r="XR14" s="29"/>
      <c r="XS14" s="29"/>
      <c r="XT14" s="29"/>
      <c r="XU14" s="29"/>
      <c r="XV14" s="29"/>
      <c r="XW14" s="29"/>
      <c r="XX14" s="29"/>
      <c r="XY14" s="29"/>
      <c r="XZ14" s="29"/>
      <c r="YA14" s="29"/>
      <c r="YB14" s="29"/>
      <c r="YC14" s="29"/>
      <c r="YD14" s="29"/>
      <c r="YE14" s="29"/>
      <c r="YF14" s="29"/>
      <c r="YG14" s="29"/>
      <c r="YH14" s="29"/>
      <c r="YI14" s="29"/>
      <c r="YJ14" s="29"/>
      <c r="YK14" s="29"/>
      <c r="YL14" s="29"/>
      <c r="YM14" s="29"/>
      <c r="YN14" s="29"/>
      <c r="YO14" s="29"/>
      <c r="YP14" s="29"/>
      <c r="YQ14" s="29"/>
      <c r="YR14" s="29"/>
      <c r="YS14" s="29"/>
      <c r="YT14" s="29"/>
      <c r="YU14" s="29"/>
      <c r="YV14" s="29"/>
      <c r="YW14" s="29"/>
      <c r="YX14" s="29"/>
      <c r="YY14" s="29"/>
      <c r="YZ14" s="29"/>
      <c r="ZA14" s="29"/>
      <c r="ZB14" s="29"/>
      <c r="ZC14" s="29"/>
      <c r="ZD14" s="29"/>
      <c r="ZE14" s="29"/>
      <c r="ZF14" s="29"/>
      <c r="ZG14" s="29"/>
      <c r="ZH14" s="29"/>
      <c r="ZI14" s="29"/>
      <c r="ZJ14" s="29"/>
      <c r="ZK14" s="29"/>
      <c r="ZL14" s="29"/>
      <c r="ZM14" s="29"/>
      <c r="ZN14" s="29"/>
      <c r="ZO14" s="29"/>
      <c r="ZP14" s="29"/>
      <c r="ZQ14" s="29"/>
      <c r="ZR14" s="29"/>
      <c r="ZS14" s="29"/>
      <c r="ZT14" s="29"/>
      <c r="ZU14" s="29"/>
      <c r="ZV14" s="29"/>
      <c r="ZW14" s="29"/>
      <c r="ZX14" s="29"/>
      <c r="ZY14" s="29"/>
      <c r="ZZ14" s="29"/>
      <c r="AAA14" s="29"/>
      <c r="AAB14" s="29"/>
      <c r="AAC14" s="29"/>
      <c r="AAD14" s="29"/>
      <c r="AAE14" s="29"/>
      <c r="AAF14" s="29"/>
      <c r="AAG14" s="29"/>
      <c r="AAH14" s="29"/>
      <c r="AAI14" s="29"/>
      <c r="AAJ14" s="29"/>
      <c r="AAK14" s="29"/>
      <c r="AAL14" s="29"/>
      <c r="AAM14" s="29"/>
      <c r="AAN14" s="29"/>
      <c r="AAO14" s="29"/>
      <c r="AAP14" s="29"/>
      <c r="AAQ14" s="29"/>
      <c r="AAR14" s="29"/>
      <c r="AAS14" s="29"/>
      <c r="AAT14" s="29"/>
      <c r="AAU14" s="29"/>
      <c r="AAV14" s="29"/>
      <c r="AAW14" s="29"/>
      <c r="AAX14" s="29"/>
      <c r="AAY14" s="29"/>
      <c r="AAZ14" s="29"/>
      <c r="ABA14" s="29"/>
      <c r="ABB14" s="29"/>
      <c r="ABC14" s="29"/>
      <c r="ABD14" s="29"/>
      <c r="ABE14" s="29"/>
      <c r="ABF14" s="29"/>
      <c r="ABG14" s="29"/>
      <c r="ABH14" s="29"/>
      <c r="ABI14" s="29"/>
      <c r="ABJ14" s="29"/>
      <c r="ABK14" s="29"/>
      <c r="ABL14" s="29"/>
      <c r="ABM14" s="29"/>
      <c r="ABN14" s="29"/>
      <c r="ABO14" s="29"/>
      <c r="ABP14" s="29"/>
      <c r="ABQ14" s="29"/>
      <c r="ABR14" s="29"/>
      <c r="ABS14" s="29"/>
      <c r="ABT14" s="29"/>
      <c r="ABU14" s="29"/>
      <c r="ABV14" s="29"/>
      <c r="ABW14" s="29"/>
      <c r="ABX14" s="29"/>
      <c r="ABY14" s="29"/>
      <c r="ABZ14" s="29"/>
      <c r="ACA14" s="29"/>
      <c r="ACB14" s="29"/>
      <c r="ACC14" s="29"/>
      <c r="ACD14" s="29"/>
      <c r="ACE14" s="29"/>
      <c r="ACF14" s="29"/>
      <c r="ACG14" s="29"/>
      <c r="ACH14" s="29"/>
      <c r="ACI14" s="29"/>
      <c r="ACJ14" s="29"/>
      <c r="ACK14" s="29"/>
      <c r="ACL14" s="29"/>
      <c r="ACM14" s="29"/>
      <c r="ACN14" s="29"/>
      <c r="ACO14" s="29"/>
      <c r="ACP14" s="29"/>
      <c r="ACQ14" s="29"/>
      <c r="ACR14" s="29"/>
      <c r="ACS14" s="29"/>
      <c r="ACT14" s="29"/>
      <c r="ACU14" s="29"/>
      <c r="ACV14" s="29"/>
      <c r="ACW14" s="29"/>
      <c r="ACX14" s="29"/>
      <c r="ACY14" s="29"/>
      <c r="ACZ14" s="29"/>
      <c r="ADA14" s="29"/>
      <c r="ADB14" s="29"/>
      <c r="ADC14" s="29"/>
      <c r="ADD14" s="29"/>
      <c r="ADE14" s="29"/>
      <c r="ADF14" s="29"/>
      <c r="ADG14" s="29"/>
      <c r="ADH14" s="29"/>
      <c r="ADI14" s="29"/>
      <c r="ADJ14" s="29"/>
      <c r="ADK14" s="29"/>
      <c r="ADL14" s="29"/>
      <c r="ADM14" s="29"/>
      <c r="ADN14" s="29"/>
      <c r="ADO14" s="29"/>
    </row>
    <row r="15" spans="1:795" s="41" customFormat="1" ht="12.75" hidden="1" customHeight="1" x14ac:dyDescent="0.25">
      <c r="A15" s="110">
        <v>9184</v>
      </c>
      <c r="B15" s="111" t="s">
        <v>49</v>
      </c>
      <c r="C15" s="112" t="s">
        <v>40</v>
      </c>
      <c r="D15" s="112"/>
      <c r="E15" s="112" t="s">
        <v>31</v>
      </c>
      <c r="F15" s="121" t="s">
        <v>59</v>
      </c>
      <c r="G15" s="111" t="s">
        <v>46</v>
      </c>
      <c r="H15" s="113">
        <f>MIN(H16:H21)</f>
        <v>2015</v>
      </c>
      <c r="I15" s="114">
        <f>MIN(I16:I21)</f>
        <v>5</v>
      </c>
      <c r="J15" s="115">
        <f>MIN(J16:J21)</f>
        <v>42030</v>
      </c>
      <c r="K15" s="115">
        <f>MAX(K16:K21)</f>
        <v>42288</v>
      </c>
      <c r="L15" s="116">
        <f>K15-J15+1</f>
        <v>259</v>
      </c>
      <c r="M15" s="116"/>
      <c r="N15" s="117">
        <f>SUMPRODUCT(L16:L21,N16:N21)/SUM(L16:L21)</f>
        <v>0.14814814814814814</v>
      </c>
      <c r="O15" s="118">
        <f t="shared" ref="O15:O21" si="695">NETWORKDAYS(J15,K15)</f>
        <v>185</v>
      </c>
      <c r="P15" s="119">
        <f t="shared" ref="P15:P21" si="696">ROUNDDOWN(N15*L15,0)</f>
        <v>38</v>
      </c>
      <c r="Q15" s="118">
        <f t="shared" ref="Q15:Q21" si="697">L15-P15</f>
        <v>221</v>
      </c>
      <c r="R15" s="120"/>
    </row>
    <row r="16" spans="1:795" s="30" customFormat="1" ht="12.75" hidden="1" x14ac:dyDescent="0.25">
      <c r="A16" s="20" t="str">
        <f t="shared" ref="A16:A21" ca="1" si="698">IF(ISERROR(VALUE(SUBSTITUTE(OFFSET(A16,-1,0,1,1),".",""))),"0.1",IF(ISERROR(FIND("`",SUBSTITUTE(OFFSET(A16,-1,0,1,1),".","`",1))),OFFSET(A16,-1,0,1,1)&amp;".1",LEFT(OFFSET(A16,-1,0,1,1),FIND("`",SUBSTITUTE(OFFSET(A16,-1,0,1,1),".","`",1)))&amp;IF(ISERROR(FIND("`",SUBSTITUTE(OFFSET(A16,-1,0,1,1),".","`",2))),VALUE(RIGHT(OFFSET(A16,-1,0,1,1),LEN(OFFSET(A16,-1,0,1,1))-FIND("`",SUBSTITUTE(OFFSET(A16,-1,0,1,1),".","`",1))))+1,VALUE(MID(OFFSET(A16,-1,0,1,1),FIND("`",SUBSTITUTE(OFFSET(A16,-1,0,1,1),".","`",1))+1,(FIND("`",SUBSTITUTE(OFFSET(A16,-1,0,1,1),".","`",2))-FIND("`",SUBSTITUTE(OFFSET(A16,-1,0,1,1),".","`",1))-1)))+1)))</f>
        <v>9184.1</v>
      </c>
      <c r="B16" s="74" t="str">
        <f>B$15</f>
        <v>B</v>
      </c>
      <c r="C16" s="28" t="s">
        <v>17</v>
      </c>
      <c r="D16" s="28"/>
      <c r="E16" s="28" t="s">
        <v>31</v>
      </c>
      <c r="F16" s="28" t="s">
        <v>59</v>
      </c>
      <c r="G16" s="74"/>
      <c r="H16" s="105">
        <v>2015</v>
      </c>
      <c r="I16" s="63">
        <v>5</v>
      </c>
      <c r="J16" s="64">
        <f t="shared" si="692"/>
        <v>42030</v>
      </c>
      <c r="K16" s="21">
        <f>J16+L16-1</f>
        <v>42050</v>
      </c>
      <c r="L16" s="22">
        <f>M16*7</f>
        <v>21</v>
      </c>
      <c r="M16" s="52">
        <v>3</v>
      </c>
      <c r="N16" s="53">
        <v>1</v>
      </c>
      <c r="O16" s="22">
        <f t="shared" si="695"/>
        <v>15</v>
      </c>
      <c r="P16" s="23">
        <f t="shared" si="696"/>
        <v>21</v>
      </c>
      <c r="Q16" s="22">
        <f t="shared" si="697"/>
        <v>0</v>
      </c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29"/>
      <c r="SC16" s="29"/>
      <c r="SD16" s="29"/>
      <c r="SE16" s="29"/>
      <c r="SF16" s="29"/>
      <c r="SG16" s="29"/>
      <c r="SH16" s="29"/>
      <c r="SI16" s="29"/>
      <c r="SJ16" s="29"/>
      <c r="SK16" s="29"/>
      <c r="SL16" s="29"/>
      <c r="SM16" s="29"/>
      <c r="SN16" s="29"/>
      <c r="SO16" s="29"/>
      <c r="SP16" s="29"/>
      <c r="SQ16" s="29"/>
      <c r="SR16" s="29"/>
      <c r="SS16" s="29"/>
      <c r="ST16" s="29"/>
      <c r="SU16" s="29"/>
      <c r="SV16" s="29"/>
      <c r="SW16" s="29"/>
      <c r="SX16" s="29"/>
      <c r="SY16" s="29"/>
      <c r="SZ16" s="29"/>
      <c r="TA16" s="29"/>
      <c r="TB16" s="29"/>
      <c r="TC16" s="29"/>
      <c r="TD16" s="29"/>
      <c r="TE16" s="29"/>
      <c r="TF16" s="29"/>
      <c r="TG16" s="29"/>
      <c r="TH16" s="29"/>
      <c r="TI16" s="29"/>
      <c r="TJ16" s="29"/>
      <c r="TK16" s="29"/>
      <c r="TL16" s="29"/>
      <c r="TM16" s="29"/>
      <c r="TN16" s="29"/>
      <c r="TO16" s="29"/>
      <c r="TP16" s="29"/>
      <c r="TQ16" s="29"/>
      <c r="TR16" s="29"/>
      <c r="TS16" s="29"/>
      <c r="TT16" s="29"/>
      <c r="TU16" s="29"/>
      <c r="TV16" s="29"/>
      <c r="TW16" s="29"/>
      <c r="TX16" s="29"/>
      <c r="TY16" s="29"/>
      <c r="TZ16" s="29"/>
      <c r="UA16" s="29"/>
      <c r="UB16" s="29"/>
      <c r="UC16" s="29"/>
      <c r="UD16" s="29"/>
      <c r="UE16" s="29"/>
      <c r="UF16" s="29"/>
      <c r="UG16" s="29"/>
      <c r="UH16" s="29"/>
      <c r="UI16" s="29"/>
      <c r="UJ16" s="29"/>
      <c r="UK16" s="29"/>
      <c r="UL16" s="29"/>
      <c r="UM16" s="29"/>
      <c r="UN16" s="29"/>
      <c r="UO16" s="29"/>
      <c r="UP16" s="29"/>
      <c r="UQ16" s="29"/>
      <c r="UR16" s="29"/>
      <c r="US16" s="29"/>
      <c r="UT16" s="29"/>
      <c r="UU16" s="29"/>
      <c r="UV16" s="29"/>
      <c r="UW16" s="29"/>
      <c r="UX16" s="29"/>
      <c r="UY16" s="29"/>
      <c r="UZ16" s="29"/>
      <c r="VA16" s="29"/>
      <c r="VB16" s="29"/>
      <c r="VC16" s="29"/>
      <c r="VD16" s="29"/>
      <c r="VE16" s="29"/>
      <c r="VF16" s="29"/>
      <c r="VG16" s="29"/>
      <c r="VH16" s="29"/>
      <c r="VI16" s="29"/>
      <c r="VJ16" s="29"/>
      <c r="VK16" s="29"/>
      <c r="VL16" s="29"/>
      <c r="VM16" s="29"/>
      <c r="VN16" s="29"/>
      <c r="VO16" s="29"/>
      <c r="VP16" s="29"/>
      <c r="VQ16" s="29"/>
      <c r="VR16" s="29"/>
      <c r="VS16" s="29"/>
      <c r="VT16" s="29"/>
      <c r="VU16" s="29"/>
      <c r="VV16" s="29"/>
      <c r="VW16" s="29"/>
      <c r="VX16" s="29"/>
      <c r="VY16" s="29"/>
      <c r="VZ16" s="29"/>
      <c r="WA16" s="29"/>
      <c r="WB16" s="29"/>
      <c r="WC16" s="29"/>
      <c r="WD16" s="29"/>
      <c r="WE16" s="29"/>
      <c r="WF16" s="29"/>
      <c r="WG16" s="29"/>
      <c r="WH16" s="29"/>
      <c r="WI16" s="29"/>
      <c r="WJ16" s="29"/>
      <c r="WK16" s="29"/>
      <c r="WL16" s="29"/>
      <c r="WM16" s="29"/>
      <c r="WN16" s="29"/>
      <c r="WO16" s="29"/>
      <c r="WP16" s="29"/>
      <c r="WQ16" s="29"/>
      <c r="WR16" s="29"/>
      <c r="WS16" s="29"/>
      <c r="WT16" s="29"/>
      <c r="WU16" s="29"/>
      <c r="WV16" s="29"/>
      <c r="WW16" s="29"/>
      <c r="WX16" s="29"/>
      <c r="WY16" s="29"/>
      <c r="WZ16" s="29"/>
      <c r="XA16" s="29"/>
      <c r="XB16" s="29"/>
      <c r="XC16" s="29"/>
      <c r="XD16" s="29"/>
      <c r="XE16" s="29"/>
      <c r="XF16" s="29"/>
      <c r="XG16" s="29"/>
      <c r="XH16" s="29"/>
      <c r="XI16" s="29"/>
      <c r="XJ16" s="29"/>
      <c r="XK16" s="29"/>
      <c r="XL16" s="29"/>
      <c r="XM16" s="29"/>
      <c r="XN16" s="29"/>
      <c r="XO16" s="29"/>
      <c r="XP16" s="29"/>
      <c r="XQ16" s="29"/>
      <c r="XR16" s="29"/>
      <c r="XS16" s="29"/>
      <c r="XT16" s="29"/>
      <c r="XU16" s="29"/>
      <c r="XV16" s="29"/>
      <c r="XW16" s="29"/>
      <c r="XX16" s="29"/>
      <c r="XY16" s="29"/>
      <c r="XZ16" s="29"/>
      <c r="YA16" s="29"/>
      <c r="YB16" s="29"/>
      <c r="YC16" s="29"/>
      <c r="YD16" s="29"/>
      <c r="YE16" s="29"/>
      <c r="YF16" s="29"/>
      <c r="YG16" s="29"/>
      <c r="YH16" s="29"/>
      <c r="YI16" s="29"/>
      <c r="YJ16" s="29"/>
      <c r="YK16" s="29"/>
      <c r="YL16" s="29"/>
      <c r="YM16" s="29"/>
      <c r="YN16" s="29"/>
      <c r="YO16" s="29"/>
      <c r="YP16" s="29"/>
      <c r="YQ16" s="29"/>
      <c r="YR16" s="29"/>
      <c r="YS16" s="29"/>
      <c r="YT16" s="29"/>
      <c r="YU16" s="29"/>
      <c r="YV16" s="29"/>
      <c r="YW16" s="29"/>
      <c r="YX16" s="29"/>
      <c r="YY16" s="29"/>
      <c r="YZ16" s="29"/>
      <c r="ZA16" s="29"/>
      <c r="ZB16" s="29"/>
      <c r="ZC16" s="29"/>
      <c r="ZD16" s="29"/>
      <c r="ZE16" s="29"/>
      <c r="ZF16" s="29"/>
      <c r="ZG16" s="29"/>
      <c r="ZH16" s="29"/>
      <c r="ZI16" s="29"/>
      <c r="ZJ16" s="29"/>
      <c r="ZK16" s="29"/>
      <c r="ZL16" s="29"/>
      <c r="ZM16" s="29"/>
      <c r="ZN16" s="29"/>
      <c r="ZO16" s="29"/>
      <c r="ZP16" s="29"/>
      <c r="ZQ16" s="29"/>
      <c r="ZR16" s="29"/>
      <c r="ZS16" s="29"/>
      <c r="ZT16" s="29"/>
      <c r="ZU16" s="29"/>
      <c r="ZV16" s="29"/>
      <c r="ZW16" s="29"/>
      <c r="ZX16" s="29"/>
      <c r="ZY16" s="29"/>
      <c r="ZZ16" s="29"/>
      <c r="AAA16" s="29"/>
      <c r="AAB16" s="29"/>
      <c r="AAC16" s="29"/>
      <c r="AAD16" s="29"/>
      <c r="AAE16" s="29"/>
      <c r="AAF16" s="29"/>
      <c r="AAG16" s="29"/>
      <c r="AAH16" s="29"/>
      <c r="AAI16" s="29"/>
      <c r="AAJ16" s="29"/>
      <c r="AAK16" s="29"/>
      <c r="AAL16" s="29"/>
      <c r="AAM16" s="29"/>
      <c r="AAN16" s="29"/>
      <c r="AAO16" s="29"/>
      <c r="AAP16" s="29"/>
      <c r="AAQ16" s="29"/>
      <c r="AAR16" s="29"/>
      <c r="AAS16" s="29"/>
      <c r="AAT16" s="29"/>
      <c r="AAU16" s="29"/>
      <c r="AAV16" s="29"/>
      <c r="AAW16" s="29"/>
      <c r="AAX16" s="29"/>
      <c r="AAY16" s="29"/>
      <c r="AAZ16" s="29"/>
      <c r="ABA16" s="29"/>
      <c r="ABB16" s="29"/>
      <c r="ABC16" s="29"/>
      <c r="ABD16" s="29"/>
      <c r="ABE16" s="29"/>
      <c r="ABF16" s="29"/>
      <c r="ABG16" s="29"/>
      <c r="ABH16" s="29"/>
      <c r="ABI16" s="29"/>
      <c r="ABJ16" s="29"/>
      <c r="ABK16" s="29"/>
      <c r="ABL16" s="29"/>
      <c r="ABM16" s="29"/>
      <c r="ABN16" s="29"/>
      <c r="ABO16" s="29"/>
      <c r="ABP16" s="29"/>
      <c r="ABQ16" s="29"/>
      <c r="ABR16" s="29"/>
      <c r="ABS16" s="29"/>
      <c r="ABT16" s="29"/>
      <c r="ABU16" s="29"/>
      <c r="ABV16" s="29"/>
      <c r="ABW16" s="29"/>
      <c r="ABX16" s="29"/>
      <c r="ABY16" s="29"/>
      <c r="ABZ16" s="29"/>
      <c r="ACA16" s="29"/>
      <c r="ACB16" s="29"/>
      <c r="ACC16" s="29"/>
      <c r="ACD16" s="29"/>
      <c r="ACE16" s="29"/>
      <c r="ACF16" s="29"/>
      <c r="ACG16" s="29"/>
      <c r="ACH16" s="29"/>
      <c r="ACI16" s="29"/>
      <c r="ACJ16" s="29"/>
      <c r="ACK16" s="29"/>
      <c r="ACL16" s="29"/>
      <c r="ACM16" s="29"/>
      <c r="ACN16" s="29"/>
      <c r="ACO16" s="29"/>
      <c r="ACP16" s="29"/>
      <c r="ACQ16" s="29"/>
      <c r="ACR16" s="29"/>
      <c r="ACS16" s="29"/>
      <c r="ACT16" s="29"/>
      <c r="ACU16" s="29"/>
      <c r="ACV16" s="29"/>
      <c r="ACW16" s="29"/>
      <c r="ACX16" s="29"/>
      <c r="ACY16" s="29"/>
      <c r="ACZ16" s="29"/>
      <c r="ADA16" s="29"/>
      <c r="ADB16" s="29"/>
      <c r="ADC16" s="29"/>
      <c r="ADD16" s="29"/>
      <c r="ADE16" s="29"/>
      <c r="ADF16" s="29"/>
      <c r="ADG16" s="29"/>
      <c r="ADH16" s="29"/>
      <c r="ADI16" s="29"/>
      <c r="ADJ16" s="29"/>
      <c r="ADK16" s="29"/>
      <c r="ADL16" s="29"/>
      <c r="ADM16" s="29"/>
      <c r="ADN16" s="29"/>
      <c r="ADO16" s="29"/>
    </row>
    <row r="17" spans="1:16384" s="30" customFormat="1" ht="12.75" hidden="1" x14ac:dyDescent="0.25">
      <c r="A17" s="20" t="str">
        <f t="shared" ca="1" si="698"/>
        <v>9184.2</v>
      </c>
      <c r="B17" s="74" t="str">
        <f>B$15</f>
        <v>B</v>
      </c>
      <c r="C17" s="28" t="s">
        <v>52</v>
      </c>
      <c r="D17" s="28"/>
      <c r="E17" s="28" t="s">
        <v>31</v>
      </c>
      <c r="F17" s="28" t="s">
        <v>39</v>
      </c>
      <c r="G17" s="74"/>
      <c r="H17" s="105">
        <v>2015</v>
      </c>
      <c r="I17" s="63">
        <v>18</v>
      </c>
      <c r="J17" s="64">
        <f t="shared" ref="J17:J19" si="699">IsoWeekToDateB2(H17,I17)</f>
        <v>42121</v>
      </c>
      <c r="K17" s="21">
        <f t="shared" ref="K17:K18" si="700">J17+L17-1</f>
        <v>42176</v>
      </c>
      <c r="L17" s="22">
        <f t="shared" ref="L17:L21" si="701">M17*7</f>
        <v>56</v>
      </c>
      <c r="M17" s="52">
        <v>8</v>
      </c>
      <c r="N17" s="53">
        <v>0</v>
      </c>
      <c r="O17" s="22">
        <f t="shared" ref="O17" si="702">NETWORKDAYS(J17,K17)</f>
        <v>40</v>
      </c>
      <c r="P17" s="23">
        <f t="shared" ref="P17" si="703">ROUNDDOWN(N17*L17,0)</f>
        <v>0</v>
      </c>
      <c r="Q17" s="22">
        <f t="shared" ref="Q17" si="704">L17-P17</f>
        <v>56</v>
      </c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29"/>
      <c r="PT17" s="29"/>
      <c r="PU17" s="29"/>
      <c r="PV17" s="29"/>
      <c r="PW17" s="29"/>
      <c r="PX17" s="29"/>
      <c r="PY17" s="29"/>
      <c r="PZ17" s="29"/>
      <c r="QA17" s="29"/>
      <c r="QB17" s="29"/>
      <c r="QC17" s="29"/>
      <c r="QD17" s="29"/>
      <c r="QE17" s="29"/>
      <c r="QF17" s="29"/>
      <c r="QG17" s="29"/>
      <c r="QH17" s="29"/>
      <c r="QI17" s="29"/>
      <c r="QJ17" s="29"/>
      <c r="QK17" s="29"/>
      <c r="QL17" s="29"/>
      <c r="QM17" s="29"/>
      <c r="QN17" s="29"/>
      <c r="QO17" s="29"/>
      <c r="QP17" s="29"/>
      <c r="QQ17" s="29"/>
      <c r="QR17" s="29"/>
      <c r="QS17" s="29"/>
      <c r="QT17" s="29"/>
      <c r="QU17" s="29"/>
      <c r="QV17" s="29"/>
      <c r="QW17" s="29"/>
      <c r="QX17" s="29"/>
      <c r="QY17" s="29"/>
      <c r="QZ17" s="29"/>
      <c r="RA17" s="29"/>
      <c r="RB17" s="29"/>
      <c r="RC17" s="29"/>
      <c r="RD17" s="29"/>
      <c r="RE17" s="29"/>
      <c r="RF17" s="29"/>
      <c r="RG17" s="29"/>
      <c r="RH17" s="29"/>
      <c r="RI17" s="29"/>
      <c r="RJ17" s="29"/>
      <c r="RK17" s="29"/>
      <c r="RL17" s="29"/>
      <c r="RM17" s="29"/>
      <c r="RN17" s="29"/>
      <c r="RO17" s="29"/>
      <c r="RP17" s="29"/>
      <c r="RQ17" s="29"/>
      <c r="RR17" s="29"/>
      <c r="RS17" s="29"/>
      <c r="RT17" s="29"/>
      <c r="RU17" s="29"/>
      <c r="RV17" s="29"/>
      <c r="RW17" s="29"/>
      <c r="RX17" s="29"/>
      <c r="RY17" s="29"/>
      <c r="RZ17" s="29"/>
      <c r="SA17" s="29"/>
      <c r="SB17" s="29"/>
      <c r="SC17" s="29"/>
      <c r="SD17" s="29"/>
      <c r="SE17" s="29"/>
      <c r="SF17" s="29"/>
      <c r="SG17" s="29"/>
      <c r="SH17" s="29"/>
      <c r="SI17" s="29"/>
      <c r="SJ17" s="29"/>
      <c r="SK17" s="29"/>
      <c r="SL17" s="29"/>
      <c r="SM17" s="29"/>
      <c r="SN17" s="29"/>
      <c r="SO17" s="29"/>
      <c r="SP17" s="29"/>
      <c r="SQ17" s="29"/>
      <c r="SR17" s="29"/>
      <c r="SS17" s="29"/>
      <c r="ST17" s="29"/>
      <c r="SU17" s="29"/>
      <c r="SV17" s="29"/>
      <c r="SW17" s="29"/>
      <c r="SX17" s="29"/>
      <c r="SY17" s="29"/>
      <c r="SZ17" s="29"/>
      <c r="TA17" s="29"/>
      <c r="TB17" s="29"/>
      <c r="TC17" s="29"/>
      <c r="TD17" s="29"/>
      <c r="TE17" s="29"/>
      <c r="TF17" s="29"/>
      <c r="TG17" s="29"/>
      <c r="TH17" s="29"/>
      <c r="TI17" s="29"/>
      <c r="TJ17" s="29"/>
      <c r="TK17" s="29"/>
      <c r="TL17" s="29"/>
      <c r="TM17" s="29"/>
      <c r="TN17" s="29"/>
      <c r="TO17" s="29"/>
      <c r="TP17" s="29"/>
      <c r="TQ17" s="29"/>
      <c r="TR17" s="29"/>
      <c r="TS17" s="29"/>
      <c r="TT17" s="29"/>
      <c r="TU17" s="29"/>
      <c r="TV17" s="29"/>
      <c r="TW17" s="29"/>
      <c r="TX17" s="29"/>
      <c r="TY17" s="29"/>
      <c r="TZ17" s="29"/>
      <c r="UA17" s="29"/>
      <c r="UB17" s="29"/>
      <c r="UC17" s="29"/>
      <c r="UD17" s="29"/>
      <c r="UE17" s="29"/>
      <c r="UF17" s="29"/>
      <c r="UG17" s="29"/>
      <c r="UH17" s="29"/>
      <c r="UI17" s="29"/>
      <c r="UJ17" s="29"/>
      <c r="UK17" s="29"/>
      <c r="UL17" s="29"/>
      <c r="UM17" s="29"/>
      <c r="UN17" s="29"/>
      <c r="UO17" s="29"/>
      <c r="UP17" s="29"/>
      <c r="UQ17" s="29"/>
      <c r="UR17" s="29"/>
      <c r="US17" s="29"/>
      <c r="UT17" s="29"/>
      <c r="UU17" s="29"/>
      <c r="UV17" s="29"/>
      <c r="UW17" s="29"/>
      <c r="UX17" s="29"/>
      <c r="UY17" s="29"/>
      <c r="UZ17" s="29"/>
      <c r="VA17" s="29"/>
      <c r="VB17" s="29"/>
      <c r="VC17" s="29"/>
      <c r="VD17" s="29"/>
      <c r="VE17" s="29"/>
      <c r="VF17" s="29"/>
      <c r="VG17" s="29"/>
      <c r="VH17" s="29"/>
      <c r="VI17" s="29"/>
      <c r="VJ17" s="29"/>
      <c r="VK17" s="29"/>
      <c r="VL17" s="29"/>
      <c r="VM17" s="29"/>
      <c r="VN17" s="29"/>
      <c r="VO17" s="29"/>
      <c r="VP17" s="29"/>
      <c r="VQ17" s="29"/>
      <c r="VR17" s="29"/>
      <c r="VS17" s="29"/>
      <c r="VT17" s="29"/>
      <c r="VU17" s="29"/>
      <c r="VV17" s="29"/>
      <c r="VW17" s="29"/>
      <c r="VX17" s="29"/>
      <c r="VY17" s="29"/>
      <c r="VZ17" s="29"/>
      <c r="WA17" s="29"/>
      <c r="WB17" s="29"/>
      <c r="WC17" s="29"/>
      <c r="WD17" s="29"/>
      <c r="WE17" s="29"/>
      <c r="WF17" s="29"/>
      <c r="WG17" s="29"/>
      <c r="WH17" s="29"/>
      <c r="WI17" s="29"/>
      <c r="WJ17" s="29"/>
      <c r="WK17" s="29"/>
      <c r="WL17" s="29"/>
      <c r="WM17" s="29"/>
      <c r="WN17" s="29"/>
      <c r="WO17" s="29"/>
      <c r="WP17" s="29"/>
      <c r="WQ17" s="29"/>
      <c r="WR17" s="29"/>
      <c r="WS17" s="29"/>
      <c r="WT17" s="29"/>
      <c r="WU17" s="29"/>
      <c r="WV17" s="29"/>
      <c r="WW17" s="29"/>
      <c r="WX17" s="29"/>
      <c r="WY17" s="29"/>
      <c r="WZ17" s="29"/>
      <c r="XA17" s="29"/>
      <c r="XB17" s="29"/>
      <c r="XC17" s="29"/>
      <c r="XD17" s="29"/>
      <c r="XE17" s="29"/>
      <c r="XF17" s="29"/>
      <c r="XG17" s="29"/>
      <c r="XH17" s="29"/>
      <c r="XI17" s="29"/>
      <c r="XJ17" s="29"/>
      <c r="XK17" s="29"/>
      <c r="XL17" s="29"/>
      <c r="XM17" s="29"/>
      <c r="XN17" s="29"/>
      <c r="XO17" s="29"/>
      <c r="XP17" s="29"/>
      <c r="XQ17" s="29"/>
      <c r="XR17" s="29"/>
      <c r="XS17" s="29"/>
      <c r="XT17" s="29"/>
      <c r="XU17" s="29"/>
      <c r="XV17" s="29"/>
      <c r="XW17" s="29"/>
      <c r="XX17" s="29"/>
      <c r="XY17" s="29"/>
      <c r="XZ17" s="29"/>
      <c r="YA17" s="29"/>
      <c r="YB17" s="29"/>
      <c r="YC17" s="29"/>
      <c r="YD17" s="29"/>
      <c r="YE17" s="29"/>
      <c r="YF17" s="29"/>
      <c r="YG17" s="29"/>
      <c r="YH17" s="29"/>
      <c r="YI17" s="29"/>
      <c r="YJ17" s="29"/>
      <c r="YK17" s="29"/>
      <c r="YL17" s="29"/>
      <c r="YM17" s="29"/>
      <c r="YN17" s="29"/>
      <c r="YO17" s="29"/>
      <c r="YP17" s="29"/>
      <c r="YQ17" s="29"/>
      <c r="YR17" s="29"/>
      <c r="YS17" s="29"/>
      <c r="YT17" s="29"/>
      <c r="YU17" s="29"/>
      <c r="YV17" s="29"/>
      <c r="YW17" s="29"/>
      <c r="YX17" s="29"/>
      <c r="YY17" s="29"/>
      <c r="YZ17" s="29"/>
      <c r="ZA17" s="29"/>
      <c r="ZB17" s="29"/>
      <c r="ZC17" s="29"/>
      <c r="ZD17" s="29"/>
      <c r="ZE17" s="29"/>
      <c r="ZF17" s="29"/>
      <c r="ZG17" s="29"/>
      <c r="ZH17" s="29"/>
      <c r="ZI17" s="29"/>
      <c r="ZJ17" s="29"/>
      <c r="ZK17" s="29"/>
      <c r="ZL17" s="29"/>
      <c r="ZM17" s="29"/>
      <c r="ZN17" s="29"/>
      <c r="ZO17" s="29"/>
      <c r="ZP17" s="29"/>
      <c r="ZQ17" s="29"/>
      <c r="ZR17" s="29"/>
      <c r="ZS17" s="29"/>
      <c r="ZT17" s="29"/>
      <c r="ZU17" s="29"/>
      <c r="ZV17" s="29"/>
      <c r="ZW17" s="29"/>
      <c r="ZX17" s="29"/>
      <c r="ZY17" s="29"/>
      <c r="ZZ17" s="29"/>
      <c r="AAA17" s="29"/>
      <c r="AAB17" s="29"/>
      <c r="AAC17" s="29"/>
      <c r="AAD17" s="29"/>
      <c r="AAE17" s="29"/>
      <c r="AAF17" s="29"/>
      <c r="AAG17" s="29"/>
      <c r="AAH17" s="29"/>
      <c r="AAI17" s="29"/>
      <c r="AAJ17" s="29"/>
      <c r="AAK17" s="29"/>
      <c r="AAL17" s="29"/>
      <c r="AAM17" s="29"/>
      <c r="AAN17" s="29"/>
      <c r="AAO17" s="29"/>
      <c r="AAP17" s="29"/>
      <c r="AAQ17" s="29"/>
      <c r="AAR17" s="29"/>
      <c r="AAS17" s="29"/>
      <c r="AAT17" s="29"/>
      <c r="AAU17" s="29"/>
      <c r="AAV17" s="29"/>
      <c r="AAW17" s="29"/>
      <c r="AAX17" s="29"/>
      <c r="AAY17" s="29"/>
      <c r="AAZ17" s="29"/>
      <c r="ABA17" s="29"/>
      <c r="ABB17" s="29"/>
      <c r="ABC17" s="29"/>
      <c r="ABD17" s="29"/>
      <c r="ABE17" s="29"/>
      <c r="ABF17" s="29"/>
      <c r="ABG17" s="29"/>
      <c r="ABH17" s="29"/>
      <c r="ABI17" s="29"/>
      <c r="ABJ17" s="29"/>
      <c r="ABK17" s="29"/>
      <c r="ABL17" s="29"/>
      <c r="ABM17" s="29"/>
      <c r="ABN17" s="29"/>
      <c r="ABO17" s="29"/>
      <c r="ABP17" s="29"/>
      <c r="ABQ17" s="29"/>
      <c r="ABR17" s="29"/>
      <c r="ABS17" s="29"/>
      <c r="ABT17" s="29"/>
      <c r="ABU17" s="29"/>
      <c r="ABV17" s="29"/>
      <c r="ABW17" s="29"/>
      <c r="ABX17" s="29"/>
      <c r="ABY17" s="29"/>
      <c r="ABZ17" s="29"/>
      <c r="ACA17" s="29"/>
      <c r="ACB17" s="29"/>
      <c r="ACC17" s="29"/>
      <c r="ACD17" s="29"/>
      <c r="ACE17" s="29"/>
      <c r="ACF17" s="29"/>
      <c r="ACG17" s="29"/>
      <c r="ACH17" s="29"/>
      <c r="ACI17" s="29"/>
      <c r="ACJ17" s="29"/>
      <c r="ACK17" s="29"/>
      <c r="ACL17" s="29"/>
      <c r="ACM17" s="29"/>
      <c r="ACN17" s="29"/>
      <c r="ACO17" s="29"/>
      <c r="ACP17" s="29"/>
      <c r="ACQ17" s="29"/>
      <c r="ACR17" s="29"/>
      <c r="ACS17" s="29"/>
      <c r="ACT17" s="29"/>
      <c r="ACU17" s="29"/>
      <c r="ACV17" s="29"/>
      <c r="ACW17" s="29"/>
      <c r="ACX17" s="29"/>
      <c r="ACY17" s="29"/>
      <c r="ACZ17" s="29"/>
      <c r="ADA17" s="29"/>
      <c r="ADB17" s="29"/>
      <c r="ADC17" s="29"/>
      <c r="ADD17" s="29"/>
      <c r="ADE17" s="29"/>
      <c r="ADF17" s="29"/>
      <c r="ADG17" s="29"/>
      <c r="ADH17" s="29"/>
      <c r="ADI17" s="29"/>
      <c r="ADJ17" s="29"/>
      <c r="ADK17" s="29"/>
      <c r="ADL17" s="29"/>
      <c r="ADM17" s="29"/>
      <c r="ADN17" s="29"/>
      <c r="ADO17" s="29"/>
    </row>
    <row r="18" spans="1:16384" s="30" customFormat="1" ht="12.75" hidden="1" x14ac:dyDescent="0.25">
      <c r="A18" s="20" t="str">
        <f t="shared" ca="1" si="698"/>
        <v>9184.3</v>
      </c>
      <c r="B18" s="74" t="str">
        <f t="shared" ref="B18:B21" si="705">B$15</f>
        <v>B</v>
      </c>
      <c r="C18" s="28" t="s">
        <v>18</v>
      </c>
      <c r="D18" s="28"/>
      <c r="E18" s="28" t="s">
        <v>31</v>
      </c>
      <c r="F18" s="28" t="s">
        <v>59</v>
      </c>
      <c r="G18" s="74"/>
      <c r="H18" s="105">
        <v>2015</v>
      </c>
      <c r="I18" s="63">
        <v>26</v>
      </c>
      <c r="J18" s="64">
        <f t="shared" si="699"/>
        <v>42177</v>
      </c>
      <c r="K18" s="21">
        <f t="shared" si="700"/>
        <v>42190</v>
      </c>
      <c r="L18" s="22">
        <f t="shared" si="701"/>
        <v>14</v>
      </c>
      <c r="M18" s="52">
        <v>2</v>
      </c>
      <c r="N18" s="53">
        <v>0.5</v>
      </c>
      <c r="O18" s="22">
        <f t="shared" si="695"/>
        <v>10</v>
      </c>
      <c r="P18" s="23">
        <f t="shared" si="696"/>
        <v>7</v>
      </c>
      <c r="Q18" s="22">
        <f t="shared" si="697"/>
        <v>7</v>
      </c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  <c r="SO18" s="29"/>
      <c r="SP18" s="29"/>
      <c r="SQ18" s="29"/>
      <c r="SR18" s="29"/>
      <c r="SS18" s="29"/>
      <c r="ST18" s="29"/>
      <c r="SU18" s="29"/>
      <c r="SV18" s="29"/>
      <c r="SW18" s="29"/>
      <c r="SX18" s="29"/>
      <c r="SY18" s="29"/>
      <c r="SZ18" s="29"/>
      <c r="TA18" s="29"/>
      <c r="TB18" s="29"/>
      <c r="TC18" s="29"/>
      <c r="TD18" s="29"/>
      <c r="TE18" s="29"/>
      <c r="TF18" s="29"/>
      <c r="TG18" s="29"/>
      <c r="TH18" s="29"/>
      <c r="TI18" s="29"/>
      <c r="TJ18" s="29"/>
      <c r="TK18" s="29"/>
      <c r="TL18" s="29"/>
      <c r="TM18" s="29"/>
      <c r="TN18" s="29"/>
      <c r="TO18" s="29"/>
      <c r="TP18" s="29"/>
      <c r="TQ18" s="29"/>
      <c r="TR18" s="29"/>
      <c r="TS18" s="29"/>
      <c r="TT18" s="29"/>
      <c r="TU18" s="29"/>
      <c r="TV18" s="29"/>
      <c r="TW18" s="29"/>
      <c r="TX18" s="29"/>
      <c r="TY18" s="29"/>
      <c r="TZ18" s="29"/>
      <c r="UA18" s="29"/>
      <c r="UB18" s="29"/>
      <c r="UC18" s="29"/>
      <c r="UD18" s="29"/>
      <c r="UE18" s="29"/>
      <c r="UF18" s="29"/>
      <c r="UG18" s="29"/>
      <c r="UH18" s="29"/>
      <c r="UI18" s="29"/>
      <c r="UJ18" s="29"/>
      <c r="UK18" s="29"/>
      <c r="UL18" s="29"/>
      <c r="UM18" s="29"/>
      <c r="UN18" s="29"/>
      <c r="UO18" s="29"/>
      <c r="UP18" s="29"/>
      <c r="UQ18" s="29"/>
      <c r="UR18" s="29"/>
      <c r="US18" s="29"/>
      <c r="UT18" s="29"/>
      <c r="UU18" s="29"/>
      <c r="UV18" s="29"/>
      <c r="UW18" s="29"/>
      <c r="UX18" s="29"/>
      <c r="UY18" s="29"/>
      <c r="UZ18" s="29"/>
      <c r="VA18" s="29"/>
      <c r="VB18" s="29"/>
      <c r="VC18" s="29"/>
      <c r="VD18" s="29"/>
      <c r="VE18" s="29"/>
      <c r="VF18" s="29"/>
      <c r="VG18" s="29"/>
      <c r="VH18" s="29"/>
      <c r="VI18" s="29"/>
      <c r="VJ18" s="29"/>
      <c r="VK18" s="29"/>
      <c r="VL18" s="29"/>
      <c r="VM18" s="29"/>
      <c r="VN18" s="29"/>
      <c r="VO18" s="29"/>
      <c r="VP18" s="29"/>
      <c r="VQ18" s="29"/>
      <c r="VR18" s="29"/>
      <c r="VS18" s="29"/>
      <c r="VT18" s="29"/>
      <c r="VU18" s="29"/>
      <c r="VV18" s="29"/>
      <c r="VW18" s="29"/>
      <c r="VX18" s="29"/>
      <c r="VY18" s="29"/>
      <c r="VZ18" s="29"/>
      <c r="WA18" s="29"/>
      <c r="WB18" s="29"/>
      <c r="WC18" s="29"/>
      <c r="WD18" s="29"/>
      <c r="WE18" s="29"/>
      <c r="WF18" s="29"/>
      <c r="WG18" s="29"/>
      <c r="WH18" s="29"/>
      <c r="WI18" s="29"/>
      <c r="WJ18" s="29"/>
      <c r="WK18" s="29"/>
      <c r="WL18" s="29"/>
      <c r="WM18" s="29"/>
      <c r="WN18" s="29"/>
      <c r="WO18" s="29"/>
      <c r="WP18" s="29"/>
      <c r="WQ18" s="29"/>
      <c r="WR18" s="29"/>
      <c r="WS18" s="29"/>
      <c r="WT18" s="29"/>
      <c r="WU18" s="29"/>
      <c r="WV18" s="29"/>
      <c r="WW18" s="29"/>
      <c r="WX18" s="29"/>
      <c r="WY18" s="29"/>
      <c r="WZ18" s="29"/>
      <c r="XA18" s="29"/>
      <c r="XB18" s="29"/>
      <c r="XC18" s="29"/>
      <c r="XD18" s="29"/>
      <c r="XE18" s="29"/>
      <c r="XF18" s="29"/>
      <c r="XG18" s="29"/>
      <c r="XH18" s="29"/>
      <c r="XI18" s="29"/>
      <c r="XJ18" s="29"/>
      <c r="XK18" s="29"/>
      <c r="XL18" s="29"/>
      <c r="XM18" s="29"/>
      <c r="XN18" s="29"/>
      <c r="XO18" s="29"/>
      <c r="XP18" s="29"/>
      <c r="XQ18" s="29"/>
      <c r="XR18" s="29"/>
      <c r="XS18" s="29"/>
      <c r="XT18" s="29"/>
      <c r="XU18" s="29"/>
      <c r="XV18" s="29"/>
      <c r="XW18" s="29"/>
      <c r="XX18" s="29"/>
      <c r="XY18" s="29"/>
      <c r="XZ18" s="29"/>
      <c r="YA18" s="29"/>
      <c r="YB18" s="29"/>
      <c r="YC18" s="29"/>
      <c r="YD18" s="29"/>
      <c r="YE18" s="29"/>
      <c r="YF18" s="29"/>
      <c r="YG18" s="29"/>
      <c r="YH18" s="29"/>
      <c r="YI18" s="29"/>
      <c r="YJ18" s="29"/>
      <c r="YK18" s="29"/>
      <c r="YL18" s="29"/>
      <c r="YM18" s="29"/>
      <c r="YN18" s="29"/>
      <c r="YO18" s="29"/>
      <c r="YP18" s="29"/>
      <c r="YQ18" s="29"/>
      <c r="YR18" s="29"/>
      <c r="YS18" s="29"/>
      <c r="YT18" s="29"/>
      <c r="YU18" s="29"/>
      <c r="YV18" s="29"/>
      <c r="YW18" s="29"/>
      <c r="YX18" s="29"/>
      <c r="YY18" s="29"/>
      <c r="YZ18" s="29"/>
      <c r="ZA18" s="29"/>
      <c r="ZB18" s="29"/>
      <c r="ZC18" s="29"/>
      <c r="ZD18" s="29"/>
      <c r="ZE18" s="29"/>
      <c r="ZF18" s="29"/>
      <c r="ZG18" s="29"/>
      <c r="ZH18" s="29"/>
      <c r="ZI18" s="29"/>
      <c r="ZJ18" s="29"/>
      <c r="ZK18" s="29"/>
      <c r="ZL18" s="29"/>
      <c r="ZM18" s="29"/>
      <c r="ZN18" s="29"/>
      <c r="ZO18" s="29"/>
      <c r="ZP18" s="29"/>
      <c r="ZQ18" s="29"/>
      <c r="ZR18" s="29"/>
      <c r="ZS18" s="29"/>
      <c r="ZT18" s="29"/>
      <c r="ZU18" s="29"/>
      <c r="ZV18" s="29"/>
      <c r="ZW18" s="29"/>
      <c r="ZX18" s="29"/>
      <c r="ZY18" s="29"/>
      <c r="ZZ18" s="29"/>
      <c r="AAA18" s="29"/>
      <c r="AAB18" s="29"/>
      <c r="AAC18" s="29"/>
      <c r="AAD18" s="29"/>
      <c r="AAE18" s="29"/>
      <c r="AAF18" s="29"/>
      <c r="AAG18" s="29"/>
      <c r="AAH18" s="29"/>
      <c r="AAI18" s="29"/>
      <c r="AAJ18" s="29"/>
      <c r="AAK18" s="29"/>
      <c r="AAL18" s="29"/>
      <c r="AAM18" s="29"/>
      <c r="AAN18" s="29"/>
      <c r="AAO18" s="29"/>
      <c r="AAP18" s="29"/>
      <c r="AAQ18" s="29"/>
      <c r="AAR18" s="29"/>
      <c r="AAS18" s="29"/>
      <c r="AAT18" s="29"/>
      <c r="AAU18" s="29"/>
      <c r="AAV18" s="29"/>
      <c r="AAW18" s="29"/>
      <c r="AAX18" s="29"/>
      <c r="AAY18" s="29"/>
      <c r="AAZ18" s="29"/>
      <c r="ABA18" s="29"/>
      <c r="ABB18" s="29"/>
      <c r="ABC18" s="29"/>
      <c r="ABD18" s="29"/>
      <c r="ABE18" s="29"/>
      <c r="ABF18" s="29"/>
      <c r="ABG18" s="29"/>
      <c r="ABH18" s="29"/>
      <c r="ABI18" s="29"/>
      <c r="ABJ18" s="29"/>
      <c r="ABK18" s="29"/>
      <c r="ABL18" s="29"/>
      <c r="ABM18" s="29"/>
      <c r="ABN18" s="29"/>
      <c r="ABO18" s="29"/>
      <c r="ABP18" s="29"/>
      <c r="ABQ18" s="29"/>
      <c r="ABR18" s="29"/>
      <c r="ABS18" s="29"/>
      <c r="ABT18" s="29"/>
      <c r="ABU18" s="29"/>
      <c r="ABV18" s="29"/>
      <c r="ABW18" s="29"/>
      <c r="ABX18" s="29"/>
      <c r="ABY18" s="29"/>
      <c r="ABZ18" s="29"/>
      <c r="ACA18" s="29"/>
      <c r="ACB18" s="29"/>
      <c r="ACC18" s="29"/>
      <c r="ACD18" s="29"/>
      <c r="ACE18" s="29"/>
      <c r="ACF18" s="29"/>
      <c r="ACG18" s="29"/>
      <c r="ACH18" s="29"/>
      <c r="ACI18" s="29"/>
      <c r="ACJ18" s="29"/>
      <c r="ACK18" s="29"/>
      <c r="ACL18" s="29"/>
      <c r="ACM18" s="29"/>
      <c r="ACN18" s="29"/>
      <c r="ACO18" s="29"/>
      <c r="ACP18" s="29"/>
      <c r="ACQ18" s="29"/>
      <c r="ACR18" s="29"/>
      <c r="ACS18" s="29"/>
      <c r="ACT18" s="29"/>
      <c r="ACU18" s="29"/>
      <c r="ACV18" s="29"/>
      <c r="ACW18" s="29"/>
      <c r="ACX18" s="29"/>
      <c r="ACY18" s="29"/>
      <c r="ACZ18" s="29"/>
      <c r="ADA18" s="29"/>
      <c r="ADB18" s="29"/>
      <c r="ADC18" s="29"/>
      <c r="ADD18" s="29"/>
      <c r="ADE18" s="29"/>
      <c r="ADF18" s="29"/>
      <c r="ADG18" s="29"/>
      <c r="ADH18" s="29"/>
      <c r="ADI18" s="29"/>
      <c r="ADJ18" s="29"/>
      <c r="ADK18" s="29"/>
      <c r="ADL18" s="29"/>
      <c r="ADM18" s="29"/>
      <c r="ADN18" s="29"/>
      <c r="ADO18" s="29"/>
    </row>
    <row r="19" spans="1:16384" s="30" customFormat="1" ht="12.75" hidden="1" x14ac:dyDescent="0.25">
      <c r="A19" s="20" t="str">
        <f t="shared" ca="1" si="698"/>
        <v>9184.4</v>
      </c>
      <c r="B19" s="74" t="str">
        <f t="shared" si="705"/>
        <v>B</v>
      </c>
      <c r="C19" s="28" t="s">
        <v>29</v>
      </c>
      <c r="D19" s="28"/>
      <c r="E19" s="28" t="s">
        <v>31</v>
      </c>
      <c r="F19" s="28" t="s">
        <v>59</v>
      </c>
      <c r="G19" s="74"/>
      <c r="H19" s="105">
        <v>2015</v>
      </c>
      <c r="I19" s="63">
        <f>I18+M18</f>
        <v>28</v>
      </c>
      <c r="J19" s="64">
        <f t="shared" si="699"/>
        <v>42191</v>
      </c>
      <c r="K19" s="21">
        <f>J19+L19-1</f>
        <v>42204</v>
      </c>
      <c r="L19" s="22">
        <f t="shared" si="701"/>
        <v>14</v>
      </c>
      <c r="M19" s="52">
        <v>2</v>
      </c>
      <c r="N19" s="53">
        <v>0</v>
      </c>
      <c r="O19" s="22">
        <f t="shared" si="695"/>
        <v>10</v>
      </c>
      <c r="P19" s="23">
        <f t="shared" si="696"/>
        <v>0</v>
      </c>
      <c r="Q19" s="22">
        <f t="shared" si="697"/>
        <v>14</v>
      </c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29"/>
      <c r="QT19" s="29"/>
      <c r="QU19" s="29"/>
      <c r="QV19" s="29"/>
      <c r="QW19" s="29"/>
      <c r="QX19" s="29"/>
      <c r="QY19" s="29"/>
      <c r="QZ19" s="29"/>
      <c r="RA19" s="29"/>
      <c r="RB19" s="29"/>
      <c r="RC19" s="29"/>
      <c r="RD19" s="29"/>
      <c r="RE19" s="29"/>
      <c r="RF19" s="29"/>
      <c r="RG19" s="29"/>
      <c r="RH19" s="29"/>
      <c r="RI19" s="29"/>
      <c r="RJ19" s="29"/>
      <c r="RK19" s="29"/>
      <c r="RL19" s="29"/>
      <c r="RM19" s="29"/>
      <c r="RN19" s="29"/>
      <c r="RO19" s="29"/>
      <c r="RP19" s="29"/>
      <c r="RQ19" s="29"/>
      <c r="RR19" s="29"/>
      <c r="RS19" s="29"/>
      <c r="RT19" s="29"/>
      <c r="RU19" s="29"/>
      <c r="RV19" s="29"/>
      <c r="RW19" s="29"/>
      <c r="RX19" s="29"/>
      <c r="RY19" s="29"/>
      <c r="RZ19" s="29"/>
      <c r="SA19" s="29"/>
      <c r="SB19" s="29"/>
      <c r="SC19" s="29"/>
      <c r="SD19" s="29"/>
      <c r="SE19" s="29"/>
      <c r="SF19" s="29"/>
      <c r="SG19" s="29"/>
      <c r="SH19" s="29"/>
      <c r="SI19" s="29"/>
      <c r="SJ19" s="29"/>
      <c r="SK19" s="29"/>
      <c r="SL19" s="29"/>
      <c r="SM19" s="29"/>
      <c r="SN19" s="29"/>
      <c r="SO19" s="29"/>
      <c r="SP19" s="29"/>
      <c r="SQ19" s="29"/>
      <c r="SR19" s="29"/>
      <c r="SS19" s="29"/>
      <c r="ST19" s="29"/>
      <c r="SU19" s="29"/>
      <c r="SV19" s="29"/>
      <c r="SW19" s="29"/>
      <c r="SX19" s="29"/>
      <c r="SY19" s="29"/>
      <c r="SZ19" s="29"/>
      <c r="TA19" s="29"/>
      <c r="TB19" s="29"/>
      <c r="TC19" s="29"/>
      <c r="TD19" s="29"/>
      <c r="TE19" s="29"/>
      <c r="TF19" s="29"/>
      <c r="TG19" s="29"/>
      <c r="TH19" s="29"/>
      <c r="TI19" s="29"/>
      <c r="TJ19" s="29"/>
      <c r="TK19" s="29"/>
      <c r="TL19" s="29"/>
      <c r="TM19" s="29"/>
      <c r="TN19" s="29"/>
      <c r="TO19" s="29"/>
      <c r="TP19" s="29"/>
      <c r="TQ19" s="29"/>
      <c r="TR19" s="29"/>
      <c r="TS19" s="29"/>
      <c r="TT19" s="29"/>
      <c r="TU19" s="29"/>
      <c r="TV19" s="29"/>
      <c r="TW19" s="29"/>
      <c r="TX19" s="29"/>
      <c r="TY19" s="29"/>
      <c r="TZ19" s="29"/>
      <c r="UA19" s="29"/>
      <c r="UB19" s="29"/>
      <c r="UC19" s="29"/>
      <c r="UD19" s="29"/>
      <c r="UE19" s="29"/>
      <c r="UF19" s="29"/>
      <c r="UG19" s="29"/>
      <c r="UH19" s="29"/>
      <c r="UI19" s="29"/>
      <c r="UJ19" s="29"/>
      <c r="UK19" s="29"/>
      <c r="UL19" s="29"/>
      <c r="UM19" s="29"/>
      <c r="UN19" s="29"/>
      <c r="UO19" s="29"/>
      <c r="UP19" s="29"/>
      <c r="UQ19" s="29"/>
      <c r="UR19" s="29"/>
      <c r="US19" s="29"/>
      <c r="UT19" s="29"/>
      <c r="UU19" s="29"/>
      <c r="UV19" s="29"/>
      <c r="UW19" s="29"/>
      <c r="UX19" s="29"/>
      <c r="UY19" s="29"/>
      <c r="UZ19" s="29"/>
      <c r="VA19" s="29"/>
      <c r="VB19" s="29"/>
      <c r="VC19" s="29"/>
      <c r="VD19" s="29"/>
      <c r="VE19" s="29"/>
      <c r="VF19" s="29"/>
      <c r="VG19" s="29"/>
      <c r="VH19" s="29"/>
      <c r="VI19" s="29"/>
      <c r="VJ19" s="29"/>
      <c r="VK19" s="29"/>
      <c r="VL19" s="29"/>
      <c r="VM19" s="29"/>
      <c r="VN19" s="29"/>
      <c r="VO19" s="29"/>
      <c r="VP19" s="29"/>
      <c r="VQ19" s="29"/>
      <c r="VR19" s="29"/>
      <c r="VS19" s="29"/>
      <c r="VT19" s="29"/>
      <c r="VU19" s="29"/>
      <c r="VV19" s="29"/>
      <c r="VW19" s="29"/>
      <c r="VX19" s="29"/>
      <c r="VY19" s="29"/>
      <c r="VZ19" s="29"/>
      <c r="WA19" s="29"/>
      <c r="WB19" s="29"/>
      <c r="WC19" s="29"/>
      <c r="WD19" s="29"/>
      <c r="WE19" s="29"/>
      <c r="WF19" s="29"/>
      <c r="WG19" s="29"/>
      <c r="WH19" s="29"/>
      <c r="WI19" s="29"/>
      <c r="WJ19" s="29"/>
      <c r="WK19" s="29"/>
      <c r="WL19" s="29"/>
      <c r="WM19" s="29"/>
      <c r="WN19" s="29"/>
      <c r="WO19" s="29"/>
      <c r="WP19" s="29"/>
      <c r="WQ19" s="29"/>
      <c r="WR19" s="29"/>
      <c r="WS19" s="29"/>
      <c r="WT19" s="29"/>
      <c r="WU19" s="29"/>
      <c r="WV19" s="29"/>
      <c r="WW19" s="29"/>
      <c r="WX19" s="29"/>
      <c r="WY19" s="29"/>
      <c r="WZ19" s="29"/>
      <c r="XA19" s="29"/>
      <c r="XB19" s="29"/>
      <c r="XC19" s="29"/>
      <c r="XD19" s="29"/>
      <c r="XE19" s="29"/>
      <c r="XF19" s="29"/>
      <c r="XG19" s="29"/>
      <c r="XH19" s="29"/>
      <c r="XI19" s="29"/>
      <c r="XJ19" s="29"/>
      <c r="XK19" s="29"/>
      <c r="XL19" s="29"/>
      <c r="XM19" s="29"/>
      <c r="XN19" s="29"/>
      <c r="XO19" s="29"/>
      <c r="XP19" s="29"/>
      <c r="XQ19" s="29"/>
      <c r="XR19" s="29"/>
      <c r="XS19" s="29"/>
      <c r="XT19" s="29"/>
      <c r="XU19" s="29"/>
      <c r="XV19" s="29"/>
      <c r="XW19" s="29"/>
      <c r="XX19" s="29"/>
      <c r="XY19" s="29"/>
      <c r="XZ19" s="29"/>
      <c r="YA19" s="29"/>
      <c r="YB19" s="29"/>
      <c r="YC19" s="29"/>
      <c r="YD19" s="29"/>
      <c r="YE19" s="29"/>
      <c r="YF19" s="29"/>
      <c r="YG19" s="29"/>
      <c r="YH19" s="29"/>
      <c r="YI19" s="29"/>
      <c r="YJ19" s="29"/>
      <c r="YK19" s="29"/>
      <c r="YL19" s="29"/>
      <c r="YM19" s="29"/>
      <c r="YN19" s="29"/>
      <c r="YO19" s="29"/>
      <c r="YP19" s="29"/>
      <c r="YQ19" s="29"/>
      <c r="YR19" s="29"/>
      <c r="YS19" s="29"/>
      <c r="YT19" s="29"/>
      <c r="YU19" s="29"/>
      <c r="YV19" s="29"/>
      <c r="YW19" s="29"/>
      <c r="YX19" s="29"/>
      <c r="YY19" s="29"/>
      <c r="YZ19" s="29"/>
      <c r="ZA19" s="29"/>
      <c r="ZB19" s="29"/>
      <c r="ZC19" s="29"/>
      <c r="ZD19" s="29"/>
      <c r="ZE19" s="29"/>
      <c r="ZF19" s="29"/>
      <c r="ZG19" s="29"/>
      <c r="ZH19" s="29"/>
      <c r="ZI19" s="29"/>
      <c r="ZJ19" s="29"/>
      <c r="ZK19" s="29"/>
      <c r="ZL19" s="29"/>
      <c r="ZM19" s="29"/>
      <c r="ZN19" s="29"/>
      <c r="ZO19" s="29"/>
      <c r="ZP19" s="29"/>
      <c r="ZQ19" s="29"/>
      <c r="ZR19" s="29"/>
      <c r="ZS19" s="29"/>
      <c r="ZT19" s="29"/>
      <c r="ZU19" s="29"/>
      <c r="ZV19" s="29"/>
      <c r="ZW19" s="29"/>
      <c r="ZX19" s="29"/>
      <c r="ZY19" s="29"/>
      <c r="ZZ19" s="29"/>
      <c r="AAA19" s="29"/>
      <c r="AAB19" s="29"/>
      <c r="AAC19" s="29"/>
      <c r="AAD19" s="29"/>
      <c r="AAE19" s="29"/>
      <c r="AAF19" s="29"/>
      <c r="AAG19" s="29"/>
      <c r="AAH19" s="29"/>
      <c r="AAI19" s="29"/>
      <c r="AAJ19" s="29"/>
      <c r="AAK19" s="29"/>
      <c r="AAL19" s="29"/>
      <c r="AAM19" s="29"/>
      <c r="AAN19" s="29"/>
      <c r="AAO19" s="29"/>
      <c r="AAP19" s="29"/>
      <c r="AAQ19" s="29"/>
      <c r="AAR19" s="29"/>
      <c r="AAS19" s="29"/>
      <c r="AAT19" s="29"/>
      <c r="AAU19" s="29"/>
      <c r="AAV19" s="29"/>
      <c r="AAW19" s="29"/>
      <c r="AAX19" s="29"/>
      <c r="AAY19" s="29"/>
      <c r="AAZ19" s="29"/>
      <c r="ABA19" s="29"/>
      <c r="ABB19" s="29"/>
      <c r="ABC19" s="29"/>
      <c r="ABD19" s="29"/>
      <c r="ABE19" s="29"/>
      <c r="ABF19" s="29"/>
      <c r="ABG19" s="29"/>
      <c r="ABH19" s="29"/>
      <c r="ABI19" s="29"/>
      <c r="ABJ19" s="29"/>
      <c r="ABK19" s="29"/>
      <c r="ABL19" s="29"/>
      <c r="ABM19" s="29"/>
      <c r="ABN19" s="29"/>
      <c r="ABO19" s="29"/>
      <c r="ABP19" s="29"/>
      <c r="ABQ19" s="29"/>
      <c r="ABR19" s="29"/>
      <c r="ABS19" s="29"/>
      <c r="ABT19" s="29"/>
      <c r="ABU19" s="29"/>
      <c r="ABV19" s="29"/>
      <c r="ABW19" s="29"/>
      <c r="ABX19" s="29"/>
      <c r="ABY19" s="29"/>
      <c r="ABZ19" s="29"/>
      <c r="ACA19" s="29"/>
      <c r="ACB19" s="29"/>
      <c r="ACC19" s="29"/>
      <c r="ACD19" s="29"/>
      <c r="ACE19" s="29"/>
      <c r="ACF19" s="29"/>
      <c r="ACG19" s="29"/>
      <c r="ACH19" s="29"/>
      <c r="ACI19" s="29"/>
      <c r="ACJ19" s="29"/>
      <c r="ACK19" s="29"/>
      <c r="ACL19" s="29"/>
      <c r="ACM19" s="29"/>
      <c r="ACN19" s="29"/>
      <c r="ACO19" s="29"/>
      <c r="ACP19" s="29"/>
      <c r="ACQ19" s="29"/>
      <c r="ACR19" s="29"/>
      <c r="ACS19" s="29"/>
      <c r="ACT19" s="29"/>
      <c r="ACU19" s="29"/>
      <c r="ACV19" s="29"/>
      <c r="ACW19" s="29"/>
      <c r="ACX19" s="29"/>
      <c r="ACY19" s="29"/>
      <c r="ACZ19" s="29"/>
      <c r="ADA19" s="29"/>
      <c r="ADB19" s="29"/>
      <c r="ADC19" s="29"/>
      <c r="ADD19" s="29"/>
      <c r="ADE19" s="29"/>
      <c r="ADF19" s="29"/>
      <c r="ADG19" s="29"/>
      <c r="ADH19" s="29"/>
      <c r="ADI19" s="29"/>
      <c r="ADJ19" s="29"/>
      <c r="ADK19" s="29"/>
      <c r="ADL19" s="29"/>
      <c r="ADM19" s="29"/>
      <c r="ADN19" s="29"/>
      <c r="ADO19" s="29"/>
    </row>
    <row r="20" spans="1:16384" s="30" customFormat="1" ht="12.75" hidden="1" x14ac:dyDescent="0.25">
      <c r="A20" s="20" t="str">
        <f t="shared" ca="1" si="698"/>
        <v>9184.5</v>
      </c>
      <c r="B20" s="74" t="str">
        <f t="shared" si="705"/>
        <v>B</v>
      </c>
      <c r="C20" s="28" t="s">
        <v>19</v>
      </c>
      <c r="D20" s="28"/>
      <c r="E20" s="28" t="s">
        <v>31</v>
      </c>
      <c r="F20" s="28" t="s">
        <v>59</v>
      </c>
      <c r="G20" s="74"/>
      <c r="H20" s="105">
        <v>2015</v>
      </c>
      <c r="I20" s="63">
        <f>I19+M19</f>
        <v>30</v>
      </c>
      <c r="J20" s="64">
        <f t="shared" si="692"/>
        <v>42205</v>
      </c>
      <c r="K20" s="21">
        <f>J20+L20-1</f>
        <v>42274</v>
      </c>
      <c r="L20" s="22">
        <f t="shared" si="701"/>
        <v>70</v>
      </c>
      <c r="M20" s="52">
        <v>10</v>
      </c>
      <c r="N20" s="53">
        <v>0</v>
      </c>
      <c r="O20" s="22">
        <f t="shared" si="695"/>
        <v>50</v>
      </c>
      <c r="P20" s="23">
        <f t="shared" si="696"/>
        <v>0</v>
      </c>
      <c r="Q20" s="22">
        <f t="shared" si="697"/>
        <v>70</v>
      </c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  <c r="SO20" s="29"/>
      <c r="SP20" s="29"/>
      <c r="SQ20" s="29"/>
      <c r="SR20" s="29"/>
      <c r="SS20" s="29"/>
      <c r="ST20" s="29"/>
      <c r="SU20" s="29"/>
      <c r="SV20" s="29"/>
      <c r="SW20" s="29"/>
      <c r="SX20" s="29"/>
      <c r="SY20" s="29"/>
      <c r="SZ20" s="29"/>
      <c r="TA20" s="29"/>
      <c r="TB20" s="29"/>
      <c r="TC20" s="29"/>
      <c r="TD20" s="29"/>
      <c r="TE20" s="29"/>
      <c r="TF20" s="29"/>
      <c r="TG20" s="29"/>
      <c r="TH20" s="29"/>
      <c r="TI20" s="29"/>
      <c r="TJ20" s="29"/>
      <c r="TK20" s="29"/>
      <c r="TL20" s="29"/>
      <c r="TM20" s="29"/>
      <c r="TN20" s="29"/>
      <c r="TO20" s="29"/>
      <c r="TP20" s="29"/>
      <c r="TQ20" s="29"/>
      <c r="TR20" s="29"/>
      <c r="TS20" s="29"/>
      <c r="TT20" s="29"/>
      <c r="TU20" s="29"/>
      <c r="TV20" s="29"/>
      <c r="TW20" s="29"/>
      <c r="TX20" s="29"/>
      <c r="TY20" s="29"/>
      <c r="TZ20" s="29"/>
      <c r="UA20" s="29"/>
      <c r="UB20" s="29"/>
      <c r="UC20" s="29"/>
      <c r="UD20" s="29"/>
      <c r="UE20" s="29"/>
      <c r="UF20" s="29"/>
      <c r="UG20" s="29"/>
      <c r="UH20" s="29"/>
      <c r="UI20" s="29"/>
      <c r="UJ20" s="29"/>
      <c r="UK20" s="29"/>
      <c r="UL20" s="29"/>
      <c r="UM20" s="29"/>
      <c r="UN20" s="29"/>
      <c r="UO20" s="29"/>
      <c r="UP20" s="29"/>
      <c r="UQ20" s="29"/>
      <c r="UR20" s="29"/>
      <c r="US20" s="29"/>
      <c r="UT20" s="29"/>
      <c r="UU20" s="29"/>
      <c r="UV20" s="29"/>
      <c r="UW20" s="29"/>
      <c r="UX20" s="29"/>
      <c r="UY20" s="29"/>
      <c r="UZ20" s="29"/>
      <c r="VA20" s="29"/>
      <c r="VB20" s="29"/>
      <c r="VC20" s="29"/>
      <c r="VD20" s="29"/>
      <c r="VE20" s="29"/>
      <c r="VF20" s="29"/>
      <c r="VG20" s="29"/>
      <c r="VH20" s="29"/>
      <c r="VI20" s="29"/>
      <c r="VJ20" s="29"/>
      <c r="VK20" s="29"/>
      <c r="VL20" s="29"/>
      <c r="VM20" s="29"/>
      <c r="VN20" s="29"/>
      <c r="VO20" s="29"/>
      <c r="VP20" s="29"/>
      <c r="VQ20" s="29"/>
      <c r="VR20" s="29"/>
      <c r="VS20" s="29"/>
      <c r="VT20" s="29"/>
      <c r="VU20" s="29"/>
      <c r="VV20" s="29"/>
      <c r="VW20" s="29"/>
      <c r="VX20" s="29"/>
      <c r="VY20" s="29"/>
      <c r="VZ20" s="29"/>
      <c r="WA20" s="29"/>
      <c r="WB20" s="29"/>
      <c r="WC20" s="29"/>
      <c r="WD20" s="29"/>
      <c r="WE20" s="29"/>
      <c r="WF20" s="29"/>
      <c r="WG20" s="29"/>
      <c r="WH20" s="29"/>
      <c r="WI20" s="29"/>
      <c r="WJ20" s="29"/>
      <c r="WK20" s="29"/>
      <c r="WL20" s="29"/>
      <c r="WM20" s="29"/>
      <c r="WN20" s="29"/>
      <c r="WO20" s="29"/>
      <c r="WP20" s="29"/>
      <c r="WQ20" s="29"/>
      <c r="WR20" s="29"/>
      <c r="WS20" s="29"/>
      <c r="WT20" s="29"/>
      <c r="WU20" s="29"/>
      <c r="WV20" s="29"/>
      <c r="WW20" s="29"/>
      <c r="WX20" s="29"/>
      <c r="WY20" s="29"/>
      <c r="WZ20" s="29"/>
      <c r="XA20" s="29"/>
      <c r="XB20" s="29"/>
      <c r="XC20" s="29"/>
      <c r="XD20" s="29"/>
      <c r="XE20" s="29"/>
      <c r="XF20" s="29"/>
      <c r="XG20" s="29"/>
      <c r="XH20" s="29"/>
      <c r="XI20" s="29"/>
      <c r="XJ20" s="29"/>
      <c r="XK20" s="29"/>
      <c r="XL20" s="29"/>
      <c r="XM20" s="29"/>
      <c r="XN20" s="29"/>
      <c r="XO20" s="29"/>
      <c r="XP20" s="29"/>
      <c r="XQ20" s="29"/>
      <c r="XR20" s="29"/>
      <c r="XS20" s="29"/>
      <c r="XT20" s="29"/>
      <c r="XU20" s="29"/>
      <c r="XV20" s="29"/>
      <c r="XW20" s="29"/>
      <c r="XX20" s="29"/>
      <c r="XY20" s="29"/>
      <c r="XZ20" s="29"/>
      <c r="YA20" s="29"/>
      <c r="YB20" s="29"/>
      <c r="YC20" s="29"/>
      <c r="YD20" s="29"/>
      <c r="YE20" s="29"/>
      <c r="YF20" s="29"/>
      <c r="YG20" s="29"/>
      <c r="YH20" s="29"/>
      <c r="YI20" s="29"/>
      <c r="YJ20" s="29"/>
      <c r="YK20" s="29"/>
      <c r="YL20" s="29"/>
      <c r="YM20" s="29"/>
      <c r="YN20" s="29"/>
      <c r="YO20" s="29"/>
      <c r="YP20" s="29"/>
      <c r="YQ20" s="29"/>
      <c r="YR20" s="29"/>
      <c r="YS20" s="29"/>
      <c r="YT20" s="29"/>
      <c r="YU20" s="29"/>
      <c r="YV20" s="29"/>
      <c r="YW20" s="29"/>
      <c r="YX20" s="29"/>
      <c r="YY20" s="29"/>
      <c r="YZ20" s="29"/>
      <c r="ZA20" s="29"/>
      <c r="ZB20" s="29"/>
      <c r="ZC20" s="29"/>
      <c r="ZD20" s="29"/>
      <c r="ZE20" s="29"/>
      <c r="ZF20" s="29"/>
      <c r="ZG20" s="29"/>
      <c r="ZH20" s="29"/>
      <c r="ZI20" s="29"/>
      <c r="ZJ20" s="29"/>
      <c r="ZK20" s="29"/>
      <c r="ZL20" s="29"/>
      <c r="ZM20" s="29"/>
      <c r="ZN20" s="29"/>
      <c r="ZO20" s="29"/>
      <c r="ZP20" s="29"/>
      <c r="ZQ20" s="29"/>
      <c r="ZR20" s="29"/>
      <c r="ZS20" s="29"/>
      <c r="ZT20" s="29"/>
      <c r="ZU20" s="29"/>
      <c r="ZV20" s="29"/>
      <c r="ZW20" s="29"/>
      <c r="ZX20" s="29"/>
      <c r="ZY20" s="29"/>
      <c r="ZZ20" s="29"/>
      <c r="AAA20" s="29"/>
      <c r="AAB20" s="29"/>
      <c r="AAC20" s="29"/>
      <c r="AAD20" s="29"/>
      <c r="AAE20" s="29"/>
      <c r="AAF20" s="29"/>
      <c r="AAG20" s="29"/>
      <c r="AAH20" s="29"/>
      <c r="AAI20" s="29"/>
      <c r="AAJ20" s="29"/>
      <c r="AAK20" s="29"/>
      <c r="AAL20" s="29"/>
      <c r="AAM20" s="29"/>
      <c r="AAN20" s="29"/>
      <c r="AAO20" s="29"/>
      <c r="AAP20" s="29"/>
      <c r="AAQ20" s="29"/>
      <c r="AAR20" s="29"/>
      <c r="AAS20" s="29"/>
      <c r="AAT20" s="29"/>
      <c r="AAU20" s="29"/>
      <c r="AAV20" s="29"/>
      <c r="AAW20" s="29"/>
      <c r="AAX20" s="29"/>
      <c r="AAY20" s="29"/>
      <c r="AAZ20" s="29"/>
      <c r="ABA20" s="29"/>
      <c r="ABB20" s="29"/>
      <c r="ABC20" s="29"/>
      <c r="ABD20" s="29"/>
      <c r="ABE20" s="29"/>
      <c r="ABF20" s="29"/>
      <c r="ABG20" s="29"/>
      <c r="ABH20" s="29"/>
      <c r="ABI20" s="29"/>
      <c r="ABJ20" s="29"/>
      <c r="ABK20" s="29"/>
      <c r="ABL20" s="29"/>
      <c r="ABM20" s="29"/>
      <c r="ABN20" s="29"/>
      <c r="ABO20" s="29"/>
      <c r="ABP20" s="29"/>
      <c r="ABQ20" s="29"/>
      <c r="ABR20" s="29"/>
      <c r="ABS20" s="29"/>
      <c r="ABT20" s="29"/>
      <c r="ABU20" s="29"/>
      <c r="ABV20" s="29"/>
      <c r="ABW20" s="29"/>
      <c r="ABX20" s="29"/>
      <c r="ABY20" s="29"/>
      <c r="ABZ20" s="29"/>
      <c r="ACA20" s="29"/>
      <c r="ACB20" s="29"/>
      <c r="ACC20" s="29"/>
      <c r="ACD20" s="29"/>
      <c r="ACE20" s="29"/>
      <c r="ACF20" s="29"/>
      <c r="ACG20" s="29"/>
      <c r="ACH20" s="29"/>
      <c r="ACI20" s="29"/>
      <c r="ACJ20" s="29"/>
      <c r="ACK20" s="29"/>
      <c r="ACL20" s="29"/>
      <c r="ACM20" s="29"/>
      <c r="ACN20" s="29"/>
      <c r="ACO20" s="29"/>
      <c r="ACP20" s="29"/>
      <c r="ACQ20" s="29"/>
      <c r="ACR20" s="29"/>
      <c r="ACS20" s="29"/>
      <c r="ACT20" s="29"/>
      <c r="ACU20" s="29"/>
      <c r="ACV20" s="29"/>
      <c r="ACW20" s="29"/>
      <c r="ACX20" s="29"/>
      <c r="ACY20" s="29"/>
      <c r="ACZ20" s="29"/>
      <c r="ADA20" s="29"/>
      <c r="ADB20" s="29"/>
      <c r="ADC20" s="29"/>
      <c r="ADD20" s="29"/>
      <c r="ADE20" s="29"/>
      <c r="ADF20" s="29"/>
      <c r="ADG20" s="29"/>
      <c r="ADH20" s="29"/>
      <c r="ADI20" s="29"/>
      <c r="ADJ20" s="29"/>
      <c r="ADK20" s="29"/>
      <c r="ADL20" s="29"/>
      <c r="ADM20" s="29"/>
      <c r="ADN20" s="29"/>
      <c r="ADO20" s="29"/>
    </row>
    <row r="21" spans="1:16384" s="30" customFormat="1" ht="12.75" hidden="1" x14ac:dyDescent="0.25">
      <c r="A21" s="20" t="str">
        <f t="shared" ca="1" si="698"/>
        <v>9184.6</v>
      </c>
      <c r="B21" s="74" t="str">
        <f t="shared" si="705"/>
        <v>B</v>
      </c>
      <c r="C21" s="28" t="s">
        <v>23</v>
      </c>
      <c r="D21" s="28"/>
      <c r="E21" s="28" t="s">
        <v>31</v>
      </c>
      <c r="F21" s="28" t="s">
        <v>59</v>
      </c>
      <c r="G21" s="74"/>
      <c r="H21" s="105">
        <v>2015</v>
      </c>
      <c r="I21" s="63">
        <f>I20+M20</f>
        <v>40</v>
      </c>
      <c r="J21" s="64">
        <f t="shared" si="692"/>
        <v>42275</v>
      </c>
      <c r="K21" s="21">
        <f>J21+L21-1</f>
        <v>42288</v>
      </c>
      <c r="L21" s="22">
        <f t="shared" si="701"/>
        <v>14</v>
      </c>
      <c r="M21" s="52">
        <v>2</v>
      </c>
      <c r="N21" s="53">
        <v>0</v>
      </c>
      <c r="O21" s="22">
        <f t="shared" si="695"/>
        <v>10</v>
      </c>
      <c r="P21" s="23">
        <f t="shared" si="696"/>
        <v>0</v>
      </c>
      <c r="Q21" s="22">
        <f t="shared" si="697"/>
        <v>14</v>
      </c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29"/>
      <c r="QT21" s="29"/>
      <c r="QU21" s="29"/>
      <c r="QV21" s="29"/>
      <c r="QW21" s="29"/>
      <c r="QX21" s="29"/>
      <c r="QY21" s="29"/>
      <c r="QZ21" s="29"/>
      <c r="RA21" s="29"/>
      <c r="RB21" s="29"/>
      <c r="RC21" s="29"/>
      <c r="RD21" s="29"/>
      <c r="RE21" s="29"/>
      <c r="RF21" s="29"/>
      <c r="RG21" s="29"/>
      <c r="RH21" s="29"/>
      <c r="RI21" s="29"/>
      <c r="RJ21" s="29"/>
      <c r="RK21" s="29"/>
      <c r="RL21" s="29"/>
      <c r="RM21" s="29"/>
      <c r="RN21" s="29"/>
      <c r="RO21" s="29"/>
      <c r="RP21" s="29"/>
      <c r="RQ21" s="29"/>
      <c r="RR21" s="29"/>
      <c r="RS21" s="29"/>
      <c r="RT21" s="29"/>
      <c r="RU21" s="29"/>
      <c r="RV21" s="29"/>
      <c r="RW21" s="29"/>
      <c r="RX21" s="29"/>
      <c r="RY21" s="29"/>
      <c r="RZ21" s="29"/>
      <c r="SA21" s="29"/>
      <c r="SB21" s="29"/>
      <c r="SC21" s="29"/>
      <c r="SD21" s="29"/>
      <c r="SE21" s="29"/>
      <c r="SF21" s="29"/>
      <c r="SG21" s="29"/>
      <c r="SH21" s="29"/>
      <c r="SI21" s="29"/>
      <c r="SJ21" s="29"/>
      <c r="SK21" s="29"/>
      <c r="SL21" s="29"/>
      <c r="SM21" s="29"/>
      <c r="SN21" s="29"/>
      <c r="SO21" s="29"/>
      <c r="SP21" s="29"/>
      <c r="SQ21" s="29"/>
      <c r="SR21" s="29"/>
      <c r="SS21" s="29"/>
      <c r="ST21" s="29"/>
      <c r="SU21" s="29"/>
      <c r="SV21" s="29"/>
      <c r="SW21" s="29"/>
      <c r="SX21" s="29"/>
      <c r="SY21" s="29"/>
      <c r="SZ21" s="29"/>
      <c r="TA21" s="29"/>
      <c r="TB21" s="29"/>
      <c r="TC21" s="29"/>
      <c r="TD21" s="29"/>
      <c r="TE21" s="29"/>
      <c r="TF21" s="29"/>
      <c r="TG21" s="29"/>
      <c r="TH21" s="29"/>
      <c r="TI21" s="29"/>
      <c r="TJ21" s="29"/>
      <c r="TK21" s="29"/>
      <c r="TL21" s="29"/>
      <c r="TM21" s="29"/>
      <c r="TN21" s="29"/>
      <c r="TO21" s="29"/>
      <c r="TP21" s="29"/>
      <c r="TQ21" s="29"/>
      <c r="TR21" s="29"/>
      <c r="TS21" s="29"/>
      <c r="TT21" s="29"/>
      <c r="TU21" s="29"/>
      <c r="TV21" s="29"/>
      <c r="TW21" s="29"/>
      <c r="TX21" s="29"/>
      <c r="TY21" s="29"/>
      <c r="TZ21" s="29"/>
      <c r="UA21" s="29"/>
      <c r="UB21" s="29"/>
      <c r="UC21" s="29"/>
      <c r="UD21" s="29"/>
      <c r="UE21" s="29"/>
      <c r="UF21" s="29"/>
      <c r="UG21" s="29"/>
      <c r="UH21" s="29"/>
      <c r="UI21" s="29"/>
      <c r="UJ21" s="29"/>
      <c r="UK21" s="29"/>
      <c r="UL21" s="29"/>
      <c r="UM21" s="29"/>
      <c r="UN21" s="29"/>
      <c r="UO21" s="29"/>
      <c r="UP21" s="29"/>
      <c r="UQ21" s="29"/>
      <c r="UR21" s="29"/>
      <c r="US21" s="29"/>
      <c r="UT21" s="29"/>
      <c r="UU21" s="29"/>
      <c r="UV21" s="29"/>
      <c r="UW21" s="29"/>
      <c r="UX21" s="29"/>
      <c r="UY21" s="29"/>
      <c r="UZ21" s="29"/>
      <c r="VA21" s="29"/>
      <c r="VB21" s="29"/>
      <c r="VC21" s="29"/>
      <c r="VD21" s="29"/>
      <c r="VE21" s="29"/>
      <c r="VF21" s="29"/>
      <c r="VG21" s="29"/>
      <c r="VH21" s="29"/>
      <c r="VI21" s="29"/>
      <c r="VJ21" s="29"/>
      <c r="VK21" s="29"/>
      <c r="VL21" s="29"/>
      <c r="VM21" s="29"/>
      <c r="VN21" s="29"/>
      <c r="VO21" s="29"/>
      <c r="VP21" s="29"/>
      <c r="VQ21" s="29"/>
      <c r="VR21" s="29"/>
      <c r="VS21" s="29"/>
      <c r="VT21" s="29"/>
      <c r="VU21" s="29"/>
      <c r="VV21" s="29"/>
      <c r="VW21" s="29"/>
      <c r="VX21" s="29"/>
      <c r="VY21" s="29"/>
      <c r="VZ21" s="29"/>
      <c r="WA21" s="29"/>
      <c r="WB21" s="29"/>
      <c r="WC21" s="29"/>
      <c r="WD21" s="29"/>
      <c r="WE21" s="29"/>
      <c r="WF21" s="29"/>
      <c r="WG21" s="29"/>
      <c r="WH21" s="29"/>
      <c r="WI21" s="29"/>
      <c r="WJ21" s="29"/>
      <c r="WK21" s="29"/>
      <c r="WL21" s="29"/>
      <c r="WM21" s="29"/>
      <c r="WN21" s="29"/>
      <c r="WO21" s="29"/>
      <c r="WP21" s="29"/>
      <c r="WQ21" s="29"/>
      <c r="WR21" s="29"/>
      <c r="WS21" s="29"/>
      <c r="WT21" s="29"/>
      <c r="WU21" s="29"/>
      <c r="WV21" s="29"/>
      <c r="WW21" s="29"/>
      <c r="WX21" s="29"/>
      <c r="WY21" s="29"/>
      <c r="WZ21" s="29"/>
      <c r="XA21" s="29"/>
      <c r="XB21" s="29"/>
      <c r="XC21" s="29"/>
      <c r="XD21" s="29"/>
      <c r="XE21" s="29"/>
      <c r="XF21" s="29"/>
      <c r="XG21" s="29"/>
      <c r="XH21" s="29"/>
      <c r="XI21" s="29"/>
      <c r="XJ21" s="29"/>
      <c r="XK21" s="29"/>
      <c r="XL21" s="29"/>
      <c r="XM21" s="29"/>
      <c r="XN21" s="29"/>
      <c r="XO21" s="29"/>
      <c r="XP21" s="29"/>
      <c r="XQ21" s="29"/>
      <c r="XR21" s="29"/>
      <c r="XS21" s="29"/>
      <c r="XT21" s="29"/>
      <c r="XU21" s="29"/>
      <c r="XV21" s="29"/>
      <c r="XW21" s="29"/>
      <c r="XX21" s="29"/>
      <c r="XY21" s="29"/>
      <c r="XZ21" s="29"/>
      <c r="YA21" s="29"/>
      <c r="YB21" s="29"/>
      <c r="YC21" s="29"/>
      <c r="YD21" s="29"/>
      <c r="YE21" s="29"/>
      <c r="YF21" s="29"/>
      <c r="YG21" s="29"/>
      <c r="YH21" s="29"/>
      <c r="YI21" s="29"/>
      <c r="YJ21" s="29"/>
      <c r="YK21" s="29"/>
      <c r="YL21" s="29"/>
      <c r="YM21" s="29"/>
      <c r="YN21" s="29"/>
      <c r="YO21" s="29"/>
      <c r="YP21" s="29"/>
      <c r="YQ21" s="29"/>
      <c r="YR21" s="29"/>
      <c r="YS21" s="29"/>
      <c r="YT21" s="29"/>
      <c r="YU21" s="29"/>
      <c r="YV21" s="29"/>
      <c r="YW21" s="29"/>
      <c r="YX21" s="29"/>
      <c r="YY21" s="29"/>
      <c r="YZ21" s="29"/>
      <c r="ZA21" s="29"/>
      <c r="ZB21" s="29"/>
      <c r="ZC21" s="29"/>
      <c r="ZD21" s="29"/>
      <c r="ZE21" s="29"/>
      <c r="ZF21" s="29"/>
      <c r="ZG21" s="29"/>
      <c r="ZH21" s="29"/>
      <c r="ZI21" s="29"/>
      <c r="ZJ21" s="29"/>
      <c r="ZK21" s="29"/>
      <c r="ZL21" s="29"/>
      <c r="ZM21" s="29"/>
      <c r="ZN21" s="29"/>
      <c r="ZO21" s="29"/>
      <c r="ZP21" s="29"/>
      <c r="ZQ21" s="29"/>
      <c r="ZR21" s="29"/>
      <c r="ZS21" s="29"/>
      <c r="ZT21" s="29"/>
      <c r="ZU21" s="29"/>
      <c r="ZV21" s="29"/>
      <c r="ZW21" s="29"/>
      <c r="ZX21" s="29"/>
      <c r="ZY21" s="29"/>
      <c r="ZZ21" s="29"/>
      <c r="AAA21" s="29"/>
      <c r="AAB21" s="29"/>
      <c r="AAC21" s="29"/>
      <c r="AAD21" s="29"/>
      <c r="AAE21" s="29"/>
      <c r="AAF21" s="29"/>
      <c r="AAG21" s="29"/>
      <c r="AAH21" s="29"/>
      <c r="AAI21" s="29"/>
      <c r="AAJ21" s="29"/>
      <c r="AAK21" s="29"/>
      <c r="AAL21" s="29"/>
      <c r="AAM21" s="29"/>
      <c r="AAN21" s="29"/>
      <c r="AAO21" s="29"/>
      <c r="AAP21" s="29"/>
      <c r="AAQ21" s="29"/>
      <c r="AAR21" s="29"/>
      <c r="AAS21" s="29"/>
      <c r="AAT21" s="29"/>
      <c r="AAU21" s="29"/>
      <c r="AAV21" s="29"/>
      <c r="AAW21" s="29"/>
      <c r="AAX21" s="29"/>
      <c r="AAY21" s="29"/>
      <c r="AAZ21" s="29"/>
      <c r="ABA21" s="29"/>
      <c r="ABB21" s="29"/>
      <c r="ABC21" s="29"/>
      <c r="ABD21" s="29"/>
      <c r="ABE21" s="29"/>
      <c r="ABF21" s="29"/>
      <c r="ABG21" s="29"/>
      <c r="ABH21" s="29"/>
      <c r="ABI21" s="29"/>
      <c r="ABJ21" s="29"/>
      <c r="ABK21" s="29"/>
      <c r="ABL21" s="29"/>
      <c r="ABM21" s="29"/>
      <c r="ABN21" s="29"/>
      <c r="ABO21" s="29"/>
      <c r="ABP21" s="29"/>
      <c r="ABQ21" s="29"/>
      <c r="ABR21" s="29"/>
      <c r="ABS21" s="29"/>
      <c r="ABT21" s="29"/>
      <c r="ABU21" s="29"/>
      <c r="ABV21" s="29"/>
      <c r="ABW21" s="29"/>
      <c r="ABX21" s="29"/>
      <c r="ABY21" s="29"/>
      <c r="ABZ21" s="29"/>
      <c r="ACA21" s="29"/>
      <c r="ACB21" s="29"/>
      <c r="ACC21" s="29"/>
      <c r="ACD21" s="29"/>
      <c r="ACE21" s="29"/>
      <c r="ACF21" s="29"/>
      <c r="ACG21" s="29"/>
      <c r="ACH21" s="29"/>
      <c r="ACI21" s="29"/>
      <c r="ACJ21" s="29"/>
      <c r="ACK21" s="29"/>
      <c r="ACL21" s="29"/>
      <c r="ACM21" s="29"/>
      <c r="ACN21" s="29"/>
      <c r="ACO21" s="29"/>
      <c r="ACP21" s="29"/>
      <c r="ACQ21" s="29"/>
      <c r="ACR21" s="29"/>
      <c r="ACS21" s="29"/>
      <c r="ACT21" s="29"/>
      <c r="ACU21" s="29"/>
      <c r="ACV21" s="29"/>
      <c r="ACW21" s="29"/>
      <c r="ACX21" s="29"/>
      <c r="ACY21" s="29"/>
      <c r="ACZ21" s="29"/>
      <c r="ADA21" s="29"/>
      <c r="ADB21" s="29"/>
      <c r="ADC21" s="29"/>
      <c r="ADD21" s="29"/>
      <c r="ADE21" s="29"/>
      <c r="ADF21" s="29"/>
      <c r="ADG21" s="29"/>
      <c r="ADH21" s="29"/>
      <c r="ADI21" s="29"/>
      <c r="ADJ21" s="29"/>
      <c r="ADK21" s="29"/>
      <c r="ADL21" s="29"/>
      <c r="ADM21" s="29"/>
      <c r="ADN21" s="29"/>
      <c r="ADO21" s="29"/>
    </row>
    <row r="22" spans="1:16384" s="41" customFormat="1" ht="12.75" x14ac:dyDescent="0.25">
      <c r="A22" s="110" t="s">
        <v>41</v>
      </c>
      <c r="B22" s="111" t="s">
        <v>49</v>
      </c>
      <c r="C22" s="112" t="s">
        <v>70</v>
      </c>
      <c r="D22" s="112"/>
      <c r="E22" s="112" t="s">
        <v>31</v>
      </c>
      <c r="F22" s="112" t="s">
        <v>39</v>
      </c>
      <c r="G22" s="111" t="s">
        <v>46</v>
      </c>
      <c r="H22" s="113">
        <v>2015</v>
      </c>
      <c r="I22" s="114">
        <f>MIN(I23:I28)</f>
        <v>1</v>
      </c>
      <c r="J22" s="115">
        <f>MIN(J23:J28)</f>
        <v>42002</v>
      </c>
      <c r="K22" s="115">
        <f>MAX(K23:K28)</f>
        <v>42498</v>
      </c>
      <c r="L22" s="116">
        <f>K22-J22+1</f>
        <v>497</v>
      </c>
      <c r="M22" s="116"/>
      <c r="N22" s="117">
        <f>SUMPRODUCT(L23:L28,N23:N28)/SUM(L23:L28)</f>
        <v>2.2641509433962266E-2</v>
      </c>
      <c r="O22" s="118">
        <f t="shared" ref="O22:O28" si="706">NETWORKDAYS(J22,K22)</f>
        <v>355</v>
      </c>
      <c r="P22" s="119">
        <f t="shared" ref="P22:P28" si="707">ROUNDDOWN(N22*L22,0)</f>
        <v>11</v>
      </c>
      <c r="Q22" s="118">
        <f t="shared" ref="Q22:Q28" si="708">L22-P22</f>
        <v>486</v>
      </c>
      <c r="R22" s="120"/>
    </row>
    <row r="23" spans="1:16384" s="30" customFormat="1" ht="12.75" x14ac:dyDescent="0.25">
      <c r="A23" s="20" t="str">
        <f ca="1">IF(ISERROR(VALUE(SUBSTITUTE(OFFSET(A23,-1,0,1,1),".",""))),"0.1",IF(ISERROR(FIND("`",SUBSTITUTE(OFFSET(A23,-1,0,1,1),".","`",1))),OFFSET(A23,-1,0,1,1)&amp;".1",LEFT(OFFSET(A23,-1,0,1,1),FIND("`",SUBSTITUTE(OFFSET(A23,-1,0,1,1),".","`",1)))&amp;IF(ISERROR(FIND("`",SUBSTITUTE(OFFSET(A23,-1,0,1,1),".","`",2))),VALUE(RIGHT(OFFSET(A23,-1,0,1,1),LEN(OFFSET(A23,-1,0,1,1))-FIND("`",SUBSTITUTE(OFFSET(A23,-1,0,1,1),".","`",1))))+1,VALUE(MID(OFFSET(A23,-1,0,1,1),FIND("`",SUBSTITUTE(OFFSET(A23,-1,0,1,1),".","`",1))+1,(FIND("`",SUBSTITUTE(OFFSET(A23,-1,0,1,1),".","`",2))-FIND("`",SUBSTITUTE(OFFSET(A23,-1,0,1,1),".","`",1))-1)))+1)))</f>
        <v>0.1</v>
      </c>
      <c r="B23" s="74" t="str">
        <f>B$22</f>
        <v>B</v>
      </c>
      <c r="C23" s="28" t="s">
        <v>17</v>
      </c>
      <c r="D23" s="28"/>
      <c r="E23" s="28" t="s">
        <v>31</v>
      </c>
      <c r="F23" s="28"/>
      <c r="G23" s="74"/>
      <c r="H23" s="105">
        <v>2015</v>
      </c>
      <c r="I23" s="63">
        <v>1</v>
      </c>
      <c r="J23" s="64">
        <f>IsoWeekToDateB2(H23,I23)</f>
        <v>42002</v>
      </c>
      <c r="K23" s="21">
        <f>J23+L23-1</f>
        <v>42169</v>
      </c>
      <c r="L23" s="22">
        <f>M23*7</f>
        <v>168</v>
      </c>
      <c r="M23" s="52">
        <v>24</v>
      </c>
      <c r="N23" s="53">
        <v>0.05</v>
      </c>
      <c r="O23" s="22">
        <f t="shared" si="706"/>
        <v>120</v>
      </c>
      <c r="P23" s="23">
        <f t="shared" si="707"/>
        <v>8</v>
      </c>
      <c r="Q23" s="22">
        <f t="shared" si="708"/>
        <v>160</v>
      </c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29"/>
      <c r="SR23" s="29"/>
      <c r="SS23" s="29"/>
      <c r="ST23" s="29"/>
      <c r="SU23" s="29"/>
      <c r="SV23" s="29"/>
      <c r="SW23" s="29"/>
      <c r="SX23" s="29"/>
      <c r="SY23" s="29"/>
      <c r="SZ23" s="29"/>
      <c r="TA23" s="29"/>
      <c r="TB23" s="29"/>
      <c r="TC23" s="29"/>
      <c r="TD23" s="29"/>
      <c r="TE23" s="29"/>
      <c r="TF23" s="29"/>
      <c r="TG23" s="29"/>
      <c r="TH23" s="29"/>
      <c r="TI23" s="29"/>
      <c r="TJ23" s="29"/>
      <c r="TK23" s="29"/>
      <c r="TL23" s="29"/>
      <c r="TM23" s="29"/>
      <c r="TN23" s="29"/>
      <c r="TO23" s="29"/>
      <c r="TP23" s="29"/>
      <c r="TQ23" s="29"/>
      <c r="TR23" s="29"/>
      <c r="TS23" s="29"/>
      <c r="TT23" s="29"/>
      <c r="TU23" s="29"/>
      <c r="TV23" s="29"/>
      <c r="TW23" s="29"/>
      <c r="TX23" s="29"/>
      <c r="TY23" s="29"/>
      <c r="TZ23" s="29"/>
      <c r="UA23" s="29"/>
      <c r="UB23" s="29"/>
      <c r="UC23" s="29"/>
      <c r="UD23" s="29"/>
      <c r="UE23" s="29"/>
      <c r="UF23" s="29"/>
      <c r="UG23" s="29"/>
      <c r="UH23" s="29"/>
      <c r="UI23" s="29"/>
      <c r="UJ23" s="29"/>
      <c r="UK23" s="29"/>
      <c r="UL23" s="29"/>
      <c r="UM23" s="29"/>
      <c r="UN23" s="29"/>
      <c r="UO23" s="29"/>
      <c r="UP23" s="29"/>
      <c r="UQ23" s="29"/>
      <c r="UR23" s="29"/>
      <c r="US23" s="29"/>
      <c r="UT23" s="29"/>
      <c r="UU23" s="29"/>
      <c r="UV23" s="29"/>
      <c r="UW23" s="29"/>
      <c r="UX23" s="29"/>
      <c r="UY23" s="29"/>
      <c r="UZ23" s="29"/>
      <c r="VA23" s="29"/>
      <c r="VB23" s="29"/>
      <c r="VC23" s="29"/>
      <c r="VD23" s="29"/>
      <c r="VE23" s="29"/>
      <c r="VF23" s="29"/>
      <c r="VG23" s="29"/>
      <c r="VH23" s="29"/>
      <c r="VI23" s="29"/>
      <c r="VJ23" s="29"/>
      <c r="VK23" s="29"/>
      <c r="VL23" s="29"/>
      <c r="VM23" s="29"/>
      <c r="VN23" s="29"/>
      <c r="VO23" s="29"/>
      <c r="VP23" s="29"/>
      <c r="VQ23" s="29"/>
      <c r="VR23" s="29"/>
      <c r="VS23" s="29"/>
      <c r="VT23" s="29"/>
      <c r="VU23" s="29"/>
      <c r="VV23" s="29"/>
      <c r="VW23" s="29"/>
      <c r="VX23" s="29"/>
      <c r="VY23" s="29"/>
      <c r="VZ23" s="29"/>
      <c r="WA23" s="29"/>
      <c r="WB23" s="29"/>
      <c r="WC23" s="29"/>
      <c r="WD23" s="29"/>
      <c r="WE23" s="29"/>
      <c r="WF23" s="29"/>
      <c r="WG23" s="29"/>
      <c r="WH23" s="29"/>
      <c r="WI23" s="29"/>
      <c r="WJ23" s="29"/>
      <c r="WK23" s="29"/>
      <c r="WL23" s="29"/>
      <c r="WM23" s="29"/>
      <c r="WN23" s="29"/>
      <c r="WO23" s="29"/>
      <c r="WP23" s="29"/>
      <c r="WQ23" s="29"/>
      <c r="WR23" s="29"/>
      <c r="WS23" s="29"/>
      <c r="WT23" s="29"/>
      <c r="WU23" s="29"/>
      <c r="WV23" s="29"/>
      <c r="WW23" s="29"/>
      <c r="WX23" s="29"/>
      <c r="WY23" s="29"/>
      <c r="WZ23" s="29"/>
      <c r="XA23" s="29"/>
      <c r="XB23" s="29"/>
      <c r="XC23" s="29"/>
      <c r="XD23" s="29"/>
      <c r="XE23" s="29"/>
      <c r="XF23" s="29"/>
      <c r="XG23" s="29"/>
      <c r="XH23" s="29"/>
      <c r="XI23" s="29"/>
      <c r="XJ23" s="29"/>
      <c r="XK23" s="29"/>
      <c r="XL23" s="29"/>
      <c r="XM23" s="29"/>
      <c r="XN23" s="29"/>
      <c r="XO23" s="29"/>
      <c r="XP23" s="29"/>
      <c r="XQ23" s="29"/>
      <c r="XR23" s="29"/>
      <c r="XS23" s="29"/>
      <c r="XT23" s="29"/>
      <c r="XU23" s="29"/>
      <c r="XV23" s="29"/>
      <c r="XW23" s="29"/>
      <c r="XX23" s="29"/>
      <c r="XY23" s="29"/>
      <c r="XZ23" s="29"/>
      <c r="YA23" s="29"/>
      <c r="YB23" s="29"/>
      <c r="YC23" s="29"/>
      <c r="YD23" s="29"/>
      <c r="YE23" s="29"/>
      <c r="YF23" s="29"/>
      <c r="YG23" s="29"/>
      <c r="YH23" s="29"/>
      <c r="YI23" s="29"/>
      <c r="YJ23" s="29"/>
      <c r="YK23" s="29"/>
      <c r="YL23" s="29"/>
      <c r="YM23" s="29"/>
      <c r="YN23" s="29"/>
      <c r="YO23" s="29"/>
      <c r="YP23" s="29"/>
      <c r="YQ23" s="29"/>
      <c r="YR23" s="29"/>
      <c r="YS23" s="29"/>
      <c r="YT23" s="29"/>
      <c r="YU23" s="29"/>
      <c r="YV23" s="29"/>
      <c r="YW23" s="29"/>
      <c r="YX23" s="29"/>
      <c r="YY23" s="29"/>
      <c r="YZ23" s="29"/>
      <c r="ZA23" s="29"/>
      <c r="ZB23" s="29"/>
      <c r="ZC23" s="29"/>
      <c r="ZD23" s="29"/>
      <c r="ZE23" s="29"/>
      <c r="ZF23" s="29"/>
      <c r="ZG23" s="29"/>
      <c r="ZH23" s="29"/>
      <c r="ZI23" s="29"/>
      <c r="ZJ23" s="29"/>
      <c r="ZK23" s="29"/>
      <c r="ZL23" s="29"/>
      <c r="ZM23" s="29"/>
      <c r="ZN23" s="29"/>
      <c r="ZO23" s="29"/>
      <c r="ZP23" s="29"/>
      <c r="ZQ23" s="29"/>
      <c r="ZR23" s="29"/>
      <c r="ZS23" s="29"/>
      <c r="ZT23" s="29"/>
      <c r="ZU23" s="29"/>
      <c r="ZV23" s="29"/>
      <c r="ZW23" s="29"/>
      <c r="ZX23" s="29"/>
      <c r="ZY23" s="29"/>
      <c r="ZZ23" s="29"/>
      <c r="AAA23" s="29"/>
      <c r="AAB23" s="29"/>
      <c r="AAC23" s="29"/>
      <c r="AAD23" s="29"/>
      <c r="AAE23" s="29"/>
      <c r="AAF23" s="29"/>
      <c r="AAG23" s="29"/>
      <c r="AAH23" s="29"/>
      <c r="AAI23" s="29"/>
      <c r="AAJ23" s="29"/>
      <c r="AAK23" s="29"/>
      <c r="AAL23" s="29"/>
      <c r="AAM23" s="29"/>
      <c r="AAN23" s="29"/>
      <c r="AAO23" s="29"/>
      <c r="AAP23" s="29"/>
      <c r="AAQ23" s="29"/>
      <c r="AAR23" s="29"/>
      <c r="AAS23" s="29"/>
      <c r="AAT23" s="29"/>
      <c r="AAU23" s="29"/>
      <c r="AAV23" s="29"/>
      <c r="AAW23" s="29"/>
      <c r="AAX23" s="29"/>
      <c r="AAY23" s="29"/>
      <c r="AAZ23" s="29"/>
      <c r="ABA23" s="29"/>
      <c r="ABB23" s="29"/>
      <c r="ABC23" s="29"/>
      <c r="ABD23" s="29"/>
      <c r="ABE23" s="29"/>
      <c r="ABF23" s="29"/>
      <c r="ABG23" s="29"/>
      <c r="ABH23" s="29"/>
      <c r="ABI23" s="29"/>
      <c r="ABJ23" s="29"/>
      <c r="ABK23" s="29"/>
      <c r="ABL23" s="29"/>
      <c r="ABM23" s="29"/>
      <c r="ABN23" s="29"/>
      <c r="ABO23" s="29"/>
      <c r="ABP23" s="29"/>
      <c r="ABQ23" s="29"/>
      <c r="ABR23" s="29"/>
      <c r="ABS23" s="29"/>
      <c r="ABT23" s="29"/>
      <c r="ABU23" s="29"/>
      <c r="ABV23" s="29"/>
      <c r="ABW23" s="29"/>
      <c r="ABX23" s="29"/>
      <c r="ABY23" s="29"/>
      <c r="ABZ23" s="29"/>
      <c r="ACA23" s="29"/>
      <c r="ACB23" s="29"/>
      <c r="ACC23" s="29"/>
      <c r="ACD23" s="29"/>
      <c r="ACE23" s="29"/>
      <c r="ACF23" s="29"/>
      <c r="ACG23" s="29"/>
      <c r="ACH23" s="29"/>
      <c r="ACI23" s="29"/>
      <c r="ACJ23" s="29"/>
      <c r="ACK23" s="29"/>
      <c r="ACL23" s="29"/>
      <c r="ACM23" s="29"/>
      <c r="ACN23" s="29"/>
      <c r="ACO23" s="29"/>
      <c r="ACP23" s="29"/>
      <c r="ACQ23" s="29"/>
      <c r="ACR23" s="29"/>
      <c r="ACS23" s="29"/>
      <c r="ACT23" s="29"/>
      <c r="ACU23" s="29"/>
      <c r="ACV23" s="29"/>
      <c r="ACW23" s="29"/>
      <c r="ACX23" s="29"/>
      <c r="ACY23" s="29"/>
      <c r="ACZ23" s="29"/>
      <c r="ADA23" s="29"/>
      <c r="ADB23" s="29"/>
      <c r="ADC23" s="29"/>
      <c r="ADD23" s="29"/>
      <c r="ADE23" s="29"/>
      <c r="ADF23" s="29"/>
      <c r="ADG23" s="29"/>
      <c r="ADH23" s="29"/>
      <c r="ADI23" s="29"/>
      <c r="ADJ23" s="29"/>
      <c r="ADK23" s="29"/>
      <c r="ADL23" s="29"/>
      <c r="ADM23" s="29"/>
      <c r="ADN23" s="29"/>
      <c r="ADO23" s="29"/>
    </row>
    <row r="24" spans="1:16384" s="30" customFormat="1" ht="12.75" x14ac:dyDescent="0.25">
      <c r="A24" s="20" t="str">
        <f t="shared" ref="A24:A26" ca="1" si="709">IF(ISERROR(VALUE(SUBSTITUTE(OFFSET(A24,-1,0,1,1),".",""))),"0.1",IF(ISERROR(FIND("`",SUBSTITUTE(OFFSET(A24,-1,0,1,1),".","`",1))),OFFSET(A24,-1,0,1,1)&amp;".1",LEFT(OFFSET(A24,-1,0,1,1),FIND("`",SUBSTITUTE(OFFSET(A24,-1,0,1,1),".","`",1)))&amp;IF(ISERROR(FIND("`",SUBSTITUTE(OFFSET(A24,-1,0,1,1),".","`",2))),VALUE(RIGHT(OFFSET(A24,-1,0,1,1),LEN(OFFSET(A24,-1,0,1,1))-FIND("`",SUBSTITUTE(OFFSET(A24,-1,0,1,1),".","`",1))))+1,VALUE(MID(OFFSET(A24,-1,0,1,1),FIND("`",SUBSTITUTE(OFFSET(A24,-1,0,1,1),".","`",1))+1,(FIND("`",SUBSTITUTE(OFFSET(A24,-1,0,1,1),".","`",2))-FIND("`",SUBSTITUTE(OFFSET(A24,-1,0,1,1),".","`",1))-1)))+1)))</f>
        <v>0.2</v>
      </c>
      <c r="B24" s="74" t="str">
        <f>B$15</f>
        <v>B</v>
      </c>
      <c r="C24" s="28" t="s">
        <v>52</v>
      </c>
      <c r="D24" s="28"/>
      <c r="E24" s="28" t="s">
        <v>31</v>
      </c>
      <c r="F24" s="28"/>
      <c r="G24" s="74"/>
      <c r="H24" s="105">
        <v>2015</v>
      </c>
      <c r="I24" s="63">
        <v>43</v>
      </c>
      <c r="J24" s="64">
        <f t="shared" ref="J24" si="710">IsoWeekToDateB2(H24,I24)</f>
        <v>42296</v>
      </c>
      <c r="K24" s="21">
        <f t="shared" ref="K24:K25" si="711">J24+L24-1</f>
        <v>42323</v>
      </c>
      <c r="L24" s="22">
        <f t="shared" ref="L24:L28" si="712">M24*7</f>
        <v>28</v>
      </c>
      <c r="M24" s="52">
        <v>4</v>
      </c>
      <c r="N24" s="53">
        <v>0</v>
      </c>
      <c r="O24" s="22">
        <f t="shared" si="706"/>
        <v>20</v>
      </c>
      <c r="P24" s="23">
        <f t="shared" si="707"/>
        <v>0</v>
      </c>
      <c r="Q24" s="22">
        <f t="shared" si="708"/>
        <v>28</v>
      </c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  <c r="IS24" s="29"/>
      <c r="IT24" s="29"/>
      <c r="IU24" s="29"/>
      <c r="IV24" s="29"/>
      <c r="IW24" s="29"/>
      <c r="IX24" s="29"/>
      <c r="IY24" s="29"/>
      <c r="IZ24" s="29"/>
      <c r="JA24" s="29"/>
      <c r="JB24" s="29"/>
      <c r="JC24" s="29"/>
      <c r="JD24" s="29"/>
      <c r="JE24" s="29"/>
      <c r="JF24" s="29"/>
      <c r="JG24" s="29"/>
      <c r="JH24" s="29"/>
      <c r="JI24" s="29"/>
      <c r="JJ24" s="29"/>
      <c r="JK24" s="29"/>
      <c r="JL24" s="29"/>
      <c r="JM24" s="29"/>
      <c r="JN24" s="29"/>
      <c r="JO24" s="29"/>
      <c r="JP24" s="29"/>
      <c r="JQ24" s="29"/>
      <c r="JR24" s="29"/>
      <c r="JS24" s="29"/>
      <c r="JT24" s="29"/>
      <c r="JU24" s="29"/>
      <c r="JV24" s="29"/>
      <c r="JW24" s="29"/>
      <c r="JX24" s="29"/>
      <c r="JY24" s="29"/>
      <c r="JZ24" s="29"/>
      <c r="KA24" s="29"/>
      <c r="KB24" s="29"/>
      <c r="KC24" s="29"/>
      <c r="KD24" s="29"/>
      <c r="KE24" s="29"/>
      <c r="KF24" s="29"/>
      <c r="KG24" s="29"/>
      <c r="KH24" s="29"/>
      <c r="KI24" s="29"/>
      <c r="KJ24" s="29"/>
      <c r="KK24" s="29"/>
      <c r="KL24" s="29"/>
      <c r="KM24" s="29"/>
      <c r="KN24" s="29"/>
      <c r="KO24" s="29"/>
      <c r="KP24" s="29"/>
      <c r="KQ24" s="29"/>
      <c r="KR24" s="29"/>
      <c r="KS24" s="29"/>
      <c r="KT24" s="29"/>
      <c r="KU24" s="29"/>
      <c r="KV24" s="29"/>
      <c r="KW24" s="29"/>
      <c r="KX24" s="29"/>
      <c r="KY24" s="29"/>
      <c r="KZ24" s="29"/>
      <c r="LA24" s="29"/>
      <c r="LB24" s="29"/>
      <c r="LC24" s="29"/>
      <c r="LD24" s="29"/>
      <c r="LE24" s="29"/>
      <c r="LF24" s="29"/>
      <c r="LG24" s="29"/>
      <c r="LH24" s="29"/>
      <c r="LI24" s="29"/>
      <c r="LJ24" s="29"/>
      <c r="LK24" s="29"/>
      <c r="LL24" s="29"/>
      <c r="LM24" s="29"/>
      <c r="LN24" s="29"/>
      <c r="LO24" s="29"/>
      <c r="LP24" s="29"/>
      <c r="LQ24" s="29"/>
      <c r="LR24" s="29"/>
      <c r="LS24" s="29"/>
      <c r="LT24" s="29"/>
      <c r="LU24" s="29"/>
      <c r="LV24" s="29"/>
      <c r="LW24" s="29"/>
      <c r="LX24" s="29"/>
      <c r="LY24" s="29"/>
      <c r="LZ24" s="29"/>
      <c r="MA24" s="29"/>
      <c r="MB24" s="29"/>
      <c r="MC24" s="29"/>
      <c r="MD24" s="29"/>
      <c r="ME24" s="29"/>
      <c r="MF24" s="29"/>
      <c r="MG24" s="29"/>
      <c r="MH24" s="29"/>
      <c r="MI24" s="29"/>
      <c r="MJ24" s="29"/>
      <c r="MK24" s="29"/>
      <c r="ML24" s="29"/>
      <c r="MM24" s="29"/>
      <c r="MN24" s="29"/>
      <c r="MO24" s="29"/>
      <c r="MP24" s="29"/>
      <c r="MQ24" s="29"/>
      <c r="MR24" s="29"/>
      <c r="MS24" s="29"/>
      <c r="MT24" s="29"/>
      <c r="MU24" s="29"/>
      <c r="MV24" s="29"/>
      <c r="MW24" s="29"/>
      <c r="MX24" s="29"/>
      <c r="MY24" s="29"/>
      <c r="MZ24" s="29"/>
      <c r="NA24" s="29"/>
      <c r="NB24" s="29"/>
      <c r="NC24" s="29"/>
      <c r="ND24" s="29"/>
      <c r="NE24" s="29"/>
      <c r="NF24" s="29"/>
      <c r="NG24" s="29"/>
      <c r="NH24" s="29"/>
      <c r="NI24" s="29"/>
      <c r="NJ24" s="29"/>
      <c r="NK24" s="29"/>
      <c r="NL24" s="29"/>
      <c r="NM24" s="29"/>
      <c r="NN24" s="29"/>
      <c r="NO24" s="29"/>
      <c r="NP24" s="29"/>
      <c r="NQ24" s="29"/>
      <c r="NR24" s="29"/>
      <c r="NS24" s="29"/>
      <c r="NT24" s="29"/>
      <c r="NU24" s="29"/>
      <c r="NV24" s="29"/>
      <c r="NW24" s="29"/>
      <c r="NX24" s="29"/>
      <c r="NY24" s="29"/>
      <c r="NZ24" s="29"/>
      <c r="OA24" s="29"/>
      <c r="OB24" s="29"/>
      <c r="OC24" s="29"/>
      <c r="OD24" s="29"/>
      <c r="OE24" s="29"/>
      <c r="OF24" s="29"/>
      <c r="OG24" s="29"/>
      <c r="OH24" s="29"/>
      <c r="OI24" s="29"/>
      <c r="OJ24" s="29"/>
      <c r="OK24" s="29"/>
      <c r="OL24" s="29"/>
      <c r="OM24" s="29"/>
      <c r="ON24" s="29"/>
      <c r="OO24" s="29"/>
      <c r="OP24" s="29"/>
      <c r="OQ24" s="29"/>
      <c r="OR24" s="29"/>
      <c r="OS24" s="29"/>
      <c r="OT24" s="29"/>
      <c r="OU24" s="29"/>
      <c r="OV24" s="29"/>
      <c r="OW24" s="29"/>
      <c r="OX24" s="29"/>
      <c r="OY24" s="29"/>
      <c r="OZ24" s="29"/>
      <c r="PA24" s="29"/>
      <c r="PB24" s="29"/>
      <c r="PC24" s="29"/>
      <c r="PD24" s="29"/>
      <c r="PE24" s="29"/>
      <c r="PF24" s="29"/>
      <c r="PG24" s="29"/>
      <c r="PH24" s="29"/>
      <c r="PI24" s="29"/>
      <c r="PJ24" s="29"/>
      <c r="PK24" s="29"/>
      <c r="PL24" s="29"/>
      <c r="PM24" s="29"/>
      <c r="PN24" s="29"/>
      <c r="PO24" s="29"/>
      <c r="PP24" s="29"/>
      <c r="PQ24" s="29"/>
      <c r="PR24" s="29"/>
      <c r="PS24" s="29"/>
      <c r="PT24" s="29"/>
      <c r="PU24" s="29"/>
      <c r="PV24" s="29"/>
      <c r="PW24" s="29"/>
      <c r="PX24" s="29"/>
      <c r="PY24" s="29"/>
      <c r="PZ24" s="29"/>
      <c r="QA24" s="29"/>
      <c r="QB24" s="29"/>
      <c r="QC24" s="29"/>
      <c r="QD24" s="29"/>
      <c r="QE24" s="29"/>
      <c r="QF24" s="29"/>
      <c r="QG24" s="29"/>
      <c r="QH24" s="29"/>
      <c r="QI24" s="29"/>
      <c r="QJ24" s="29"/>
      <c r="QK24" s="29"/>
      <c r="QL24" s="29"/>
      <c r="QM24" s="29"/>
      <c r="QN24" s="29"/>
      <c r="QO24" s="29"/>
      <c r="QP24" s="29"/>
      <c r="QQ24" s="29"/>
      <c r="QR24" s="29"/>
      <c r="QS24" s="29"/>
      <c r="QT24" s="29"/>
      <c r="QU24" s="29"/>
      <c r="QV24" s="29"/>
      <c r="QW24" s="29"/>
      <c r="QX24" s="29"/>
      <c r="QY24" s="29"/>
      <c r="QZ24" s="29"/>
      <c r="RA24" s="29"/>
      <c r="RB24" s="29"/>
      <c r="RC24" s="29"/>
      <c r="RD24" s="29"/>
      <c r="RE24" s="29"/>
      <c r="RF24" s="29"/>
      <c r="RG24" s="29"/>
      <c r="RH24" s="29"/>
      <c r="RI24" s="29"/>
      <c r="RJ24" s="29"/>
      <c r="RK24" s="29"/>
      <c r="RL24" s="29"/>
      <c r="RM24" s="29"/>
      <c r="RN24" s="29"/>
      <c r="RO24" s="29"/>
      <c r="RP24" s="29"/>
      <c r="RQ24" s="29"/>
      <c r="RR24" s="29"/>
      <c r="RS24" s="29"/>
      <c r="RT24" s="29"/>
      <c r="RU24" s="29"/>
      <c r="RV24" s="29"/>
      <c r="RW24" s="29"/>
      <c r="RX24" s="29"/>
      <c r="RY24" s="29"/>
      <c r="RZ24" s="29"/>
      <c r="SA24" s="29"/>
      <c r="SB24" s="29"/>
      <c r="SC24" s="29"/>
      <c r="SD24" s="29"/>
      <c r="SE24" s="29"/>
      <c r="SF24" s="29"/>
      <c r="SG24" s="29"/>
      <c r="SH24" s="29"/>
      <c r="SI24" s="29"/>
      <c r="SJ24" s="29"/>
      <c r="SK24" s="29"/>
      <c r="SL24" s="29"/>
      <c r="SM24" s="29"/>
      <c r="SN24" s="29"/>
      <c r="SO24" s="29"/>
      <c r="SP24" s="29"/>
      <c r="SQ24" s="29"/>
      <c r="SR24" s="29"/>
      <c r="SS24" s="29"/>
      <c r="ST24" s="29"/>
      <c r="SU24" s="29"/>
      <c r="SV24" s="29"/>
      <c r="SW24" s="29"/>
      <c r="SX24" s="29"/>
      <c r="SY24" s="29"/>
      <c r="SZ24" s="29"/>
      <c r="TA24" s="29"/>
      <c r="TB24" s="29"/>
      <c r="TC24" s="29"/>
      <c r="TD24" s="29"/>
      <c r="TE24" s="29"/>
      <c r="TF24" s="29"/>
      <c r="TG24" s="29"/>
      <c r="TH24" s="29"/>
      <c r="TI24" s="29"/>
      <c r="TJ24" s="29"/>
      <c r="TK24" s="29"/>
      <c r="TL24" s="29"/>
      <c r="TM24" s="29"/>
      <c r="TN24" s="29"/>
      <c r="TO24" s="29"/>
      <c r="TP24" s="29"/>
      <c r="TQ24" s="29"/>
      <c r="TR24" s="29"/>
      <c r="TS24" s="29"/>
      <c r="TT24" s="29"/>
      <c r="TU24" s="29"/>
      <c r="TV24" s="29"/>
      <c r="TW24" s="29"/>
      <c r="TX24" s="29"/>
      <c r="TY24" s="29"/>
      <c r="TZ24" s="29"/>
      <c r="UA24" s="29"/>
      <c r="UB24" s="29"/>
      <c r="UC24" s="29"/>
      <c r="UD24" s="29"/>
      <c r="UE24" s="29"/>
      <c r="UF24" s="29"/>
      <c r="UG24" s="29"/>
      <c r="UH24" s="29"/>
      <c r="UI24" s="29"/>
      <c r="UJ24" s="29"/>
      <c r="UK24" s="29"/>
      <c r="UL24" s="29"/>
      <c r="UM24" s="29"/>
      <c r="UN24" s="29"/>
      <c r="UO24" s="29"/>
      <c r="UP24" s="29"/>
      <c r="UQ24" s="29"/>
      <c r="UR24" s="29"/>
      <c r="US24" s="29"/>
      <c r="UT24" s="29"/>
      <c r="UU24" s="29"/>
      <c r="UV24" s="29"/>
      <c r="UW24" s="29"/>
      <c r="UX24" s="29"/>
      <c r="UY24" s="29"/>
      <c r="UZ24" s="29"/>
      <c r="VA24" s="29"/>
      <c r="VB24" s="29"/>
      <c r="VC24" s="29"/>
      <c r="VD24" s="29"/>
      <c r="VE24" s="29"/>
      <c r="VF24" s="29"/>
      <c r="VG24" s="29"/>
      <c r="VH24" s="29"/>
      <c r="VI24" s="29"/>
      <c r="VJ24" s="29"/>
      <c r="VK24" s="29"/>
      <c r="VL24" s="29"/>
      <c r="VM24" s="29"/>
      <c r="VN24" s="29"/>
      <c r="VO24" s="29"/>
      <c r="VP24" s="29"/>
      <c r="VQ24" s="29"/>
      <c r="VR24" s="29"/>
      <c r="VS24" s="29"/>
      <c r="VT24" s="29"/>
      <c r="VU24" s="29"/>
      <c r="VV24" s="29"/>
      <c r="VW24" s="29"/>
      <c r="VX24" s="29"/>
      <c r="VY24" s="29"/>
      <c r="VZ24" s="29"/>
      <c r="WA24" s="29"/>
      <c r="WB24" s="29"/>
      <c r="WC24" s="29"/>
      <c r="WD24" s="29"/>
      <c r="WE24" s="29"/>
      <c r="WF24" s="29"/>
      <c r="WG24" s="29"/>
      <c r="WH24" s="29"/>
      <c r="WI24" s="29"/>
      <c r="WJ24" s="29"/>
      <c r="WK24" s="29"/>
      <c r="WL24" s="29"/>
      <c r="WM24" s="29"/>
      <c r="WN24" s="29"/>
      <c r="WO24" s="29"/>
      <c r="WP24" s="29"/>
      <c r="WQ24" s="29"/>
      <c r="WR24" s="29"/>
      <c r="WS24" s="29"/>
      <c r="WT24" s="29"/>
      <c r="WU24" s="29"/>
      <c r="WV24" s="29"/>
      <c r="WW24" s="29"/>
      <c r="WX24" s="29"/>
      <c r="WY24" s="29"/>
      <c r="WZ24" s="29"/>
      <c r="XA24" s="29"/>
      <c r="XB24" s="29"/>
      <c r="XC24" s="29"/>
      <c r="XD24" s="29"/>
      <c r="XE24" s="29"/>
      <c r="XF24" s="29"/>
      <c r="XG24" s="29"/>
      <c r="XH24" s="29"/>
      <c r="XI24" s="29"/>
      <c r="XJ24" s="29"/>
      <c r="XK24" s="29"/>
      <c r="XL24" s="29"/>
      <c r="XM24" s="29"/>
      <c r="XN24" s="29"/>
      <c r="XO24" s="29"/>
      <c r="XP24" s="29"/>
      <c r="XQ24" s="29"/>
      <c r="XR24" s="29"/>
      <c r="XS24" s="29"/>
      <c r="XT24" s="29"/>
      <c r="XU24" s="29"/>
      <c r="XV24" s="29"/>
      <c r="XW24" s="29"/>
      <c r="XX24" s="29"/>
      <c r="XY24" s="29"/>
      <c r="XZ24" s="29"/>
      <c r="YA24" s="29"/>
      <c r="YB24" s="29"/>
      <c r="YC24" s="29"/>
      <c r="YD24" s="29"/>
      <c r="YE24" s="29"/>
      <c r="YF24" s="29"/>
      <c r="YG24" s="29"/>
      <c r="YH24" s="29"/>
      <c r="YI24" s="29"/>
      <c r="YJ24" s="29"/>
      <c r="YK24" s="29"/>
      <c r="YL24" s="29"/>
      <c r="YM24" s="29"/>
      <c r="YN24" s="29"/>
      <c r="YO24" s="29"/>
      <c r="YP24" s="29"/>
      <c r="YQ24" s="29"/>
      <c r="YR24" s="29"/>
      <c r="YS24" s="29"/>
      <c r="YT24" s="29"/>
      <c r="YU24" s="29"/>
      <c r="YV24" s="29"/>
      <c r="YW24" s="29"/>
      <c r="YX24" s="29"/>
      <c r="YY24" s="29"/>
      <c r="YZ24" s="29"/>
      <c r="ZA24" s="29"/>
      <c r="ZB24" s="29"/>
      <c r="ZC24" s="29"/>
      <c r="ZD24" s="29"/>
      <c r="ZE24" s="29"/>
      <c r="ZF24" s="29"/>
      <c r="ZG24" s="29"/>
      <c r="ZH24" s="29"/>
      <c r="ZI24" s="29"/>
      <c r="ZJ24" s="29"/>
      <c r="ZK24" s="29"/>
      <c r="ZL24" s="29"/>
      <c r="ZM24" s="29"/>
      <c r="ZN24" s="29"/>
      <c r="ZO24" s="29"/>
      <c r="ZP24" s="29"/>
      <c r="ZQ24" s="29"/>
      <c r="ZR24" s="29"/>
      <c r="ZS24" s="29"/>
      <c r="ZT24" s="29"/>
      <c r="ZU24" s="29"/>
      <c r="ZV24" s="29"/>
      <c r="ZW24" s="29"/>
      <c r="ZX24" s="29"/>
      <c r="ZY24" s="29"/>
      <c r="ZZ24" s="29"/>
      <c r="AAA24" s="29"/>
      <c r="AAB24" s="29"/>
      <c r="AAC24" s="29"/>
      <c r="AAD24" s="29"/>
      <c r="AAE24" s="29"/>
      <c r="AAF24" s="29"/>
      <c r="AAG24" s="29"/>
      <c r="AAH24" s="29"/>
      <c r="AAI24" s="29"/>
      <c r="AAJ24" s="29"/>
      <c r="AAK24" s="29"/>
      <c r="AAL24" s="29"/>
      <c r="AAM24" s="29"/>
      <c r="AAN24" s="29"/>
      <c r="AAO24" s="29"/>
      <c r="AAP24" s="29"/>
      <c r="AAQ24" s="29"/>
      <c r="AAR24" s="29"/>
      <c r="AAS24" s="29"/>
      <c r="AAT24" s="29"/>
      <c r="AAU24" s="29"/>
      <c r="AAV24" s="29"/>
      <c r="AAW24" s="29"/>
      <c r="AAX24" s="29"/>
      <c r="AAY24" s="29"/>
      <c r="AAZ24" s="29"/>
      <c r="ABA24" s="29"/>
      <c r="ABB24" s="29"/>
      <c r="ABC24" s="29"/>
      <c r="ABD24" s="29"/>
      <c r="ABE24" s="29"/>
      <c r="ABF24" s="29"/>
      <c r="ABG24" s="29"/>
      <c r="ABH24" s="29"/>
      <c r="ABI24" s="29"/>
      <c r="ABJ24" s="29"/>
      <c r="ABK24" s="29"/>
      <c r="ABL24" s="29"/>
      <c r="ABM24" s="29"/>
      <c r="ABN24" s="29"/>
      <c r="ABO24" s="29"/>
      <c r="ABP24" s="29"/>
      <c r="ABQ24" s="29"/>
      <c r="ABR24" s="29"/>
      <c r="ABS24" s="29"/>
      <c r="ABT24" s="29"/>
      <c r="ABU24" s="29"/>
      <c r="ABV24" s="29"/>
      <c r="ABW24" s="29"/>
      <c r="ABX24" s="29"/>
      <c r="ABY24" s="29"/>
      <c r="ABZ24" s="29"/>
      <c r="ACA24" s="29"/>
      <c r="ACB24" s="29"/>
      <c r="ACC24" s="29"/>
      <c r="ACD24" s="29"/>
      <c r="ACE24" s="29"/>
      <c r="ACF24" s="29"/>
      <c r="ACG24" s="29"/>
      <c r="ACH24" s="29"/>
      <c r="ACI24" s="29"/>
      <c r="ACJ24" s="29"/>
      <c r="ACK24" s="29"/>
      <c r="ACL24" s="29"/>
      <c r="ACM24" s="29"/>
      <c r="ACN24" s="29"/>
      <c r="ACO24" s="29"/>
      <c r="ACP24" s="29"/>
      <c r="ACQ24" s="29"/>
      <c r="ACR24" s="29"/>
      <c r="ACS24" s="29"/>
      <c r="ACT24" s="29"/>
      <c r="ACU24" s="29"/>
      <c r="ACV24" s="29"/>
      <c r="ACW24" s="29"/>
      <c r="ACX24" s="29"/>
      <c r="ACY24" s="29"/>
      <c r="ACZ24" s="29"/>
      <c r="ADA24" s="29"/>
      <c r="ADB24" s="29"/>
      <c r="ADC24" s="29"/>
      <c r="ADD24" s="29"/>
      <c r="ADE24" s="29"/>
      <c r="ADF24" s="29"/>
      <c r="ADG24" s="29"/>
      <c r="ADH24" s="29"/>
      <c r="ADI24" s="29"/>
      <c r="ADJ24" s="29"/>
      <c r="ADK24" s="29"/>
      <c r="ADL24" s="29"/>
      <c r="ADM24" s="29"/>
      <c r="ADN24" s="29"/>
      <c r="ADO24" s="29"/>
    </row>
    <row r="25" spans="1:16384" s="30" customFormat="1" ht="12.75" x14ac:dyDescent="0.25">
      <c r="A25" s="20" t="str">
        <f t="shared" ca="1" si="709"/>
        <v>0.3</v>
      </c>
      <c r="B25" s="74" t="str">
        <f t="shared" ref="B25:B26" si="713">B$15</f>
        <v>B</v>
      </c>
      <c r="C25" s="28" t="s">
        <v>18</v>
      </c>
      <c r="D25" s="28"/>
      <c r="E25" s="28" t="s">
        <v>31</v>
      </c>
      <c r="F25" s="28"/>
      <c r="G25" s="74"/>
      <c r="H25" s="105">
        <v>2015</v>
      </c>
      <c r="I25" s="63"/>
      <c r="J25" s="64">
        <f>K24+1</f>
        <v>42324</v>
      </c>
      <c r="K25" s="21">
        <f t="shared" si="711"/>
        <v>42351</v>
      </c>
      <c r="L25" s="22">
        <f t="shared" si="712"/>
        <v>28</v>
      </c>
      <c r="M25" s="52">
        <v>4</v>
      </c>
      <c r="N25" s="53">
        <v>0</v>
      </c>
      <c r="O25" s="22">
        <f t="shared" si="706"/>
        <v>20</v>
      </c>
      <c r="P25" s="23">
        <f t="shared" si="707"/>
        <v>0</v>
      </c>
      <c r="Q25" s="22">
        <f t="shared" si="708"/>
        <v>28</v>
      </c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29"/>
      <c r="DT25" s="29"/>
      <c r="DU25" s="29"/>
      <c r="DV25" s="29"/>
      <c r="DW25" s="29"/>
      <c r="DX25" s="29"/>
      <c r="DY25" s="29"/>
      <c r="DZ25" s="29"/>
      <c r="EA25" s="29"/>
      <c r="EB25" s="29"/>
      <c r="EC25" s="29"/>
      <c r="ED25" s="29"/>
      <c r="EE25" s="29"/>
      <c r="EF25" s="29"/>
      <c r="EG25" s="29"/>
      <c r="EH25" s="29"/>
      <c r="EI25" s="29"/>
      <c r="EJ25" s="29"/>
      <c r="EK25" s="29"/>
      <c r="EL25" s="29"/>
      <c r="EM25" s="29"/>
      <c r="EN25" s="29"/>
      <c r="EO25" s="29"/>
      <c r="EP25" s="29"/>
      <c r="EQ25" s="29"/>
      <c r="ER25" s="29"/>
      <c r="ES25" s="29"/>
      <c r="ET25" s="29"/>
      <c r="EU25" s="29"/>
      <c r="EV25" s="29"/>
      <c r="EW25" s="29"/>
      <c r="EX25" s="29"/>
      <c r="EY25" s="29"/>
      <c r="EZ25" s="29"/>
      <c r="FA25" s="29"/>
      <c r="FB25" s="29"/>
      <c r="FC25" s="29"/>
      <c r="FD25" s="29"/>
      <c r="FE25" s="29"/>
      <c r="FF25" s="29"/>
      <c r="FG25" s="29"/>
      <c r="FH25" s="29"/>
      <c r="FI25" s="29"/>
      <c r="FJ25" s="29"/>
      <c r="FK25" s="29"/>
      <c r="FL25" s="29"/>
      <c r="FM25" s="29"/>
      <c r="FN25" s="29"/>
      <c r="FO25" s="29"/>
      <c r="FP25" s="29"/>
      <c r="FQ25" s="29"/>
      <c r="FR25" s="29"/>
      <c r="FS25" s="29"/>
      <c r="FT25" s="29"/>
      <c r="FU25" s="29"/>
      <c r="FV25" s="29"/>
      <c r="FW25" s="29"/>
      <c r="FX25" s="29"/>
      <c r="FY25" s="29"/>
      <c r="FZ25" s="29"/>
      <c r="GA25" s="29"/>
      <c r="GB25" s="29"/>
      <c r="GC25" s="29"/>
      <c r="GD25" s="29"/>
      <c r="GE25" s="29"/>
      <c r="GF25" s="29"/>
      <c r="GG25" s="29"/>
      <c r="GH25" s="29"/>
      <c r="GI25" s="29"/>
      <c r="GJ25" s="29"/>
      <c r="GK25" s="29"/>
      <c r="GL25" s="29"/>
      <c r="GM25" s="29"/>
      <c r="GN25" s="29"/>
      <c r="GO25" s="29"/>
      <c r="GP25" s="29"/>
      <c r="GQ25" s="29"/>
      <c r="GR25" s="29"/>
      <c r="GS25" s="29"/>
      <c r="GT25" s="29"/>
      <c r="GU25" s="29"/>
      <c r="GV25" s="29"/>
      <c r="GW25" s="29"/>
      <c r="GX25" s="29"/>
      <c r="GY25" s="29"/>
      <c r="GZ25" s="29"/>
      <c r="HA25" s="29"/>
      <c r="HB25" s="29"/>
      <c r="HC25" s="29"/>
      <c r="HD25" s="29"/>
      <c r="HE25" s="29"/>
      <c r="HF25" s="29"/>
      <c r="HG25" s="29"/>
      <c r="HH25" s="29"/>
      <c r="HI25" s="29"/>
      <c r="HJ25" s="29"/>
      <c r="HK25" s="29"/>
      <c r="HL25" s="29"/>
      <c r="HM25" s="29"/>
      <c r="HN25" s="29"/>
      <c r="HO25" s="29"/>
      <c r="HP25" s="29"/>
      <c r="HQ25" s="29"/>
      <c r="HR25" s="29"/>
      <c r="HS25" s="29"/>
      <c r="HT25" s="29"/>
      <c r="HU25" s="29"/>
      <c r="HV25" s="29"/>
      <c r="HW25" s="29"/>
      <c r="HX25" s="29"/>
      <c r="HY25" s="29"/>
      <c r="HZ25" s="29"/>
      <c r="IA25" s="29"/>
      <c r="IB25" s="29"/>
      <c r="IC25" s="29"/>
      <c r="ID25" s="29"/>
      <c r="IE25" s="29"/>
      <c r="IF25" s="29"/>
      <c r="IG25" s="29"/>
      <c r="IH25" s="29"/>
      <c r="II25" s="29"/>
      <c r="IJ25" s="29"/>
      <c r="IK25" s="29"/>
      <c r="IL25" s="29"/>
      <c r="IM25" s="29"/>
      <c r="IN25" s="29"/>
      <c r="IO25" s="29"/>
      <c r="IP25" s="29"/>
      <c r="IQ25" s="29"/>
      <c r="IR25" s="29"/>
      <c r="IS25" s="29"/>
      <c r="IT25" s="29"/>
      <c r="IU25" s="29"/>
      <c r="IV25" s="29"/>
      <c r="IW25" s="29"/>
      <c r="IX25" s="29"/>
      <c r="IY25" s="29"/>
      <c r="IZ25" s="29"/>
      <c r="JA25" s="29"/>
      <c r="JB25" s="29"/>
      <c r="JC25" s="29"/>
      <c r="JD25" s="29"/>
      <c r="JE25" s="29"/>
      <c r="JF25" s="29"/>
      <c r="JG25" s="29"/>
      <c r="JH25" s="29"/>
      <c r="JI25" s="29"/>
      <c r="JJ25" s="29"/>
      <c r="JK25" s="29"/>
      <c r="JL25" s="29"/>
      <c r="JM25" s="29"/>
      <c r="JN25" s="29"/>
      <c r="JO25" s="29"/>
      <c r="JP25" s="29"/>
      <c r="JQ25" s="29"/>
      <c r="JR25" s="29"/>
      <c r="JS25" s="29"/>
      <c r="JT25" s="29"/>
      <c r="JU25" s="29"/>
      <c r="JV25" s="29"/>
      <c r="JW25" s="29"/>
      <c r="JX25" s="29"/>
      <c r="JY25" s="29"/>
      <c r="JZ25" s="29"/>
      <c r="KA25" s="29"/>
      <c r="KB25" s="29"/>
      <c r="KC25" s="29"/>
      <c r="KD25" s="29"/>
      <c r="KE25" s="29"/>
      <c r="KF25" s="29"/>
      <c r="KG25" s="29"/>
      <c r="KH25" s="29"/>
      <c r="KI25" s="29"/>
      <c r="KJ25" s="29"/>
      <c r="KK25" s="29"/>
      <c r="KL25" s="29"/>
      <c r="KM25" s="29"/>
      <c r="KN25" s="29"/>
      <c r="KO25" s="29"/>
      <c r="KP25" s="29"/>
      <c r="KQ25" s="29"/>
      <c r="KR25" s="29"/>
      <c r="KS25" s="29"/>
      <c r="KT25" s="29"/>
      <c r="KU25" s="29"/>
      <c r="KV25" s="29"/>
      <c r="KW25" s="29"/>
      <c r="KX25" s="29"/>
      <c r="KY25" s="29"/>
      <c r="KZ25" s="29"/>
      <c r="LA25" s="29"/>
      <c r="LB25" s="29"/>
      <c r="LC25" s="29"/>
      <c r="LD25" s="29"/>
      <c r="LE25" s="29"/>
      <c r="LF25" s="29"/>
      <c r="LG25" s="29"/>
      <c r="LH25" s="29"/>
      <c r="LI25" s="29"/>
      <c r="LJ25" s="29"/>
      <c r="LK25" s="29"/>
      <c r="LL25" s="29"/>
      <c r="LM25" s="29"/>
      <c r="LN25" s="29"/>
      <c r="LO25" s="29"/>
      <c r="LP25" s="29"/>
      <c r="LQ25" s="29"/>
      <c r="LR25" s="29"/>
      <c r="LS25" s="29"/>
      <c r="LT25" s="29"/>
      <c r="LU25" s="29"/>
      <c r="LV25" s="29"/>
      <c r="LW25" s="29"/>
      <c r="LX25" s="29"/>
      <c r="LY25" s="29"/>
      <c r="LZ25" s="29"/>
      <c r="MA25" s="29"/>
      <c r="MB25" s="29"/>
      <c r="MC25" s="29"/>
      <c r="MD25" s="29"/>
      <c r="ME25" s="29"/>
      <c r="MF25" s="29"/>
      <c r="MG25" s="29"/>
      <c r="MH25" s="29"/>
      <c r="MI25" s="29"/>
      <c r="MJ25" s="29"/>
      <c r="MK25" s="29"/>
      <c r="ML25" s="29"/>
      <c r="MM25" s="29"/>
      <c r="MN25" s="29"/>
      <c r="MO25" s="29"/>
      <c r="MP25" s="29"/>
      <c r="MQ25" s="29"/>
      <c r="MR25" s="29"/>
      <c r="MS25" s="29"/>
      <c r="MT25" s="29"/>
      <c r="MU25" s="29"/>
      <c r="MV25" s="29"/>
      <c r="MW25" s="29"/>
      <c r="MX25" s="29"/>
      <c r="MY25" s="29"/>
      <c r="MZ25" s="29"/>
      <c r="NA25" s="29"/>
      <c r="NB25" s="29"/>
      <c r="NC25" s="29"/>
      <c r="ND25" s="29"/>
      <c r="NE25" s="29"/>
      <c r="NF25" s="29"/>
      <c r="NG25" s="29"/>
      <c r="NH25" s="29"/>
      <c r="NI25" s="29"/>
      <c r="NJ25" s="29"/>
      <c r="NK25" s="29"/>
      <c r="NL25" s="29"/>
      <c r="NM25" s="29"/>
      <c r="NN25" s="29"/>
      <c r="NO25" s="29"/>
      <c r="NP25" s="29"/>
      <c r="NQ25" s="29"/>
      <c r="NR25" s="29"/>
      <c r="NS25" s="29"/>
      <c r="NT25" s="29"/>
      <c r="NU25" s="29"/>
      <c r="NV25" s="29"/>
      <c r="NW25" s="29"/>
      <c r="NX25" s="29"/>
      <c r="NY25" s="29"/>
      <c r="NZ25" s="29"/>
      <c r="OA25" s="29"/>
      <c r="OB25" s="29"/>
      <c r="OC25" s="29"/>
      <c r="OD25" s="29"/>
      <c r="OE25" s="29"/>
      <c r="OF25" s="29"/>
      <c r="OG25" s="29"/>
      <c r="OH25" s="29"/>
      <c r="OI25" s="29"/>
      <c r="OJ25" s="29"/>
      <c r="OK25" s="29"/>
      <c r="OL25" s="29"/>
      <c r="OM25" s="29"/>
      <c r="ON25" s="29"/>
      <c r="OO25" s="29"/>
      <c r="OP25" s="29"/>
      <c r="OQ25" s="29"/>
      <c r="OR25" s="29"/>
      <c r="OS25" s="29"/>
      <c r="OT25" s="29"/>
      <c r="OU25" s="29"/>
      <c r="OV25" s="29"/>
      <c r="OW25" s="29"/>
      <c r="OX25" s="29"/>
      <c r="OY25" s="29"/>
      <c r="OZ25" s="29"/>
      <c r="PA25" s="29"/>
      <c r="PB25" s="29"/>
      <c r="PC25" s="29"/>
      <c r="PD25" s="29"/>
      <c r="PE25" s="29"/>
      <c r="PF25" s="29"/>
      <c r="PG25" s="29"/>
      <c r="PH25" s="29"/>
      <c r="PI25" s="29"/>
      <c r="PJ25" s="29"/>
      <c r="PK25" s="29"/>
      <c r="PL25" s="29"/>
      <c r="PM25" s="29"/>
      <c r="PN25" s="29"/>
      <c r="PO25" s="29"/>
      <c r="PP25" s="29"/>
      <c r="PQ25" s="29"/>
      <c r="PR25" s="29"/>
      <c r="PS25" s="29"/>
      <c r="PT25" s="29"/>
      <c r="PU25" s="29"/>
      <c r="PV25" s="29"/>
      <c r="PW25" s="29"/>
      <c r="PX25" s="29"/>
      <c r="PY25" s="29"/>
      <c r="PZ25" s="29"/>
      <c r="QA25" s="29"/>
      <c r="QB25" s="29"/>
      <c r="QC25" s="29"/>
      <c r="QD25" s="29"/>
      <c r="QE25" s="29"/>
      <c r="QF25" s="29"/>
      <c r="QG25" s="29"/>
      <c r="QH25" s="29"/>
      <c r="QI25" s="29"/>
      <c r="QJ25" s="29"/>
      <c r="QK25" s="29"/>
      <c r="QL25" s="29"/>
      <c r="QM25" s="29"/>
      <c r="QN25" s="29"/>
      <c r="QO25" s="29"/>
      <c r="QP25" s="29"/>
      <c r="QQ25" s="29"/>
      <c r="QR25" s="29"/>
      <c r="QS25" s="29"/>
      <c r="QT25" s="29"/>
      <c r="QU25" s="29"/>
      <c r="QV25" s="29"/>
      <c r="QW25" s="29"/>
      <c r="QX25" s="29"/>
      <c r="QY25" s="29"/>
      <c r="QZ25" s="29"/>
      <c r="RA25" s="29"/>
      <c r="RB25" s="29"/>
      <c r="RC25" s="29"/>
      <c r="RD25" s="29"/>
      <c r="RE25" s="29"/>
      <c r="RF25" s="29"/>
      <c r="RG25" s="29"/>
      <c r="RH25" s="29"/>
      <c r="RI25" s="29"/>
      <c r="RJ25" s="29"/>
      <c r="RK25" s="29"/>
      <c r="RL25" s="29"/>
      <c r="RM25" s="29"/>
      <c r="RN25" s="29"/>
      <c r="RO25" s="29"/>
      <c r="RP25" s="29"/>
      <c r="RQ25" s="29"/>
      <c r="RR25" s="29"/>
      <c r="RS25" s="29"/>
      <c r="RT25" s="29"/>
      <c r="RU25" s="29"/>
      <c r="RV25" s="29"/>
      <c r="RW25" s="29"/>
      <c r="RX25" s="29"/>
      <c r="RY25" s="29"/>
      <c r="RZ25" s="29"/>
      <c r="SA25" s="29"/>
      <c r="SB25" s="29"/>
      <c r="SC25" s="29"/>
      <c r="SD25" s="29"/>
      <c r="SE25" s="29"/>
      <c r="SF25" s="29"/>
      <c r="SG25" s="29"/>
      <c r="SH25" s="29"/>
      <c r="SI25" s="29"/>
      <c r="SJ25" s="29"/>
      <c r="SK25" s="29"/>
      <c r="SL25" s="29"/>
      <c r="SM25" s="29"/>
      <c r="SN25" s="29"/>
      <c r="SO25" s="29"/>
      <c r="SP25" s="29"/>
      <c r="SQ25" s="29"/>
      <c r="SR25" s="29"/>
      <c r="SS25" s="29"/>
      <c r="ST25" s="29"/>
      <c r="SU25" s="29"/>
      <c r="SV25" s="29"/>
      <c r="SW25" s="29"/>
      <c r="SX25" s="29"/>
      <c r="SY25" s="29"/>
      <c r="SZ25" s="29"/>
      <c r="TA25" s="29"/>
      <c r="TB25" s="29"/>
      <c r="TC25" s="29"/>
      <c r="TD25" s="29"/>
      <c r="TE25" s="29"/>
      <c r="TF25" s="29"/>
      <c r="TG25" s="29"/>
      <c r="TH25" s="29"/>
      <c r="TI25" s="29"/>
      <c r="TJ25" s="29"/>
      <c r="TK25" s="29"/>
      <c r="TL25" s="29"/>
      <c r="TM25" s="29"/>
      <c r="TN25" s="29"/>
      <c r="TO25" s="29"/>
      <c r="TP25" s="29"/>
      <c r="TQ25" s="29"/>
      <c r="TR25" s="29"/>
      <c r="TS25" s="29"/>
      <c r="TT25" s="29"/>
      <c r="TU25" s="29"/>
      <c r="TV25" s="29"/>
      <c r="TW25" s="29"/>
      <c r="TX25" s="29"/>
      <c r="TY25" s="29"/>
      <c r="TZ25" s="29"/>
      <c r="UA25" s="29"/>
      <c r="UB25" s="29"/>
      <c r="UC25" s="29"/>
      <c r="UD25" s="29"/>
      <c r="UE25" s="29"/>
      <c r="UF25" s="29"/>
      <c r="UG25" s="29"/>
      <c r="UH25" s="29"/>
      <c r="UI25" s="29"/>
      <c r="UJ25" s="29"/>
      <c r="UK25" s="29"/>
      <c r="UL25" s="29"/>
      <c r="UM25" s="29"/>
      <c r="UN25" s="29"/>
      <c r="UO25" s="29"/>
      <c r="UP25" s="29"/>
      <c r="UQ25" s="29"/>
      <c r="UR25" s="29"/>
      <c r="US25" s="29"/>
      <c r="UT25" s="29"/>
      <c r="UU25" s="29"/>
      <c r="UV25" s="29"/>
      <c r="UW25" s="29"/>
      <c r="UX25" s="29"/>
      <c r="UY25" s="29"/>
      <c r="UZ25" s="29"/>
      <c r="VA25" s="29"/>
      <c r="VB25" s="29"/>
      <c r="VC25" s="29"/>
      <c r="VD25" s="29"/>
      <c r="VE25" s="29"/>
      <c r="VF25" s="29"/>
      <c r="VG25" s="29"/>
      <c r="VH25" s="29"/>
      <c r="VI25" s="29"/>
      <c r="VJ25" s="29"/>
      <c r="VK25" s="29"/>
      <c r="VL25" s="29"/>
      <c r="VM25" s="29"/>
      <c r="VN25" s="29"/>
      <c r="VO25" s="29"/>
      <c r="VP25" s="29"/>
      <c r="VQ25" s="29"/>
      <c r="VR25" s="29"/>
      <c r="VS25" s="29"/>
      <c r="VT25" s="29"/>
      <c r="VU25" s="29"/>
      <c r="VV25" s="29"/>
      <c r="VW25" s="29"/>
      <c r="VX25" s="29"/>
      <c r="VY25" s="29"/>
      <c r="VZ25" s="29"/>
      <c r="WA25" s="29"/>
      <c r="WB25" s="29"/>
      <c r="WC25" s="29"/>
      <c r="WD25" s="29"/>
      <c r="WE25" s="29"/>
      <c r="WF25" s="29"/>
      <c r="WG25" s="29"/>
      <c r="WH25" s="29"/>
      <c r="WI25" s="29"/>
      <c r="WJ25" s="29"/>
      <c r="WK25" s="29"/>
      <c r="WL25" s="29"/>
      <c r="WM25" s="29"/>
      <c r="WN25" s="29"/>
      <c r="WO25" s="29"/>
      <c r="WP25" s="29"/>
      <c r="WQ25" s="29"/>
      <c r="WR25" s="29"/>
      <c r="WS25" s="29"/>
      <c r="WT25" s="29"/>
      <c r="WU25" s="29"/>
      <c r="WV25" s="29"/>
      <c r="WW25" s="29"/>
      <c r="WX25" s="29"/>
      <c r="WY25" s="29"/>
      <c r="WZ25" s="29"/>
      <c r="XA25" s="29"/>
      <c r="XB25" s="29"/>
      <c r="XC25" s="29"/>
      <c r="XD25" s="29"/>
      <c r="XE25" s="29"/>
      <c r="XF25" s="29"/>
      <c r="XG25" s="29"/>
      <c r="XH25" s="29"/>
      <c r="XI25" s="29"/>
      <c r="XJ25" s="29"/>
      <c r="XK25" s="29"/>
      <c r="XL25" s="29"/>
      <c r="XM25" s="29"/>
      <c r="XN25" s="29"/>
      <c r="XO25" s="29"/>
      <c r="XP25" s="29"/>
      <c r="XQ25" s="29"/>
      <c r="XR25" s="29"/>
      <c r="XS25" s="29"/>
      <c r="XT25" s="29"/>
      <c r="XU25" s="29"/>
      <c r="XV25" s="29"/>
      <c r="XW25" s="29"/>
      <c r="XX25" s="29"/>
      <c r="XY25" s="29"/>
      <c r="XZ25" s="29"/>
      <c r="YA25" s="29"/>
      <c r="YB25" s="29"/>
      <c r="YC25" s="29"/>
      <c r="YD25" s="29"/>
      <c r="YE25" s="29"/>
      <c r="YF25" s="29"/>
      <c r="YG25" s="29"/>
      <c r="YH25" s="29"/>
      <c r="YI25" s="29"/>
      <c r="YJ25" s="29"/>
      <c r="YK25" s="29"/>
      <c r="YL25" s="29"/>
      <c r="YM25" s="29"/>
      <c r="YN25" s="29"/>
      <c r="YO25" s="29"/>
      <c r="YP25" s="29"/>
      <c r="YQ25" s="29"/>
      <c r="YR25" s="29"/>
      <c r="YS25" s="29"/>
      <c r="YT25" s="29"/>
      <c r="YU25" s="29"/>
      <c r="YV25" s="29"/>
      <c r="YW25" s="29"/>
      <c r="YX25" s="29"/>
      <c r="YY25" s="29"/>
      <c r="YZ25" s="29"/>
      <c r="ZA25" s="29"/>
      <c r="ZB25" s="29"/>
      <c r="ZC25" s="29"/>
      <c r="ZD25" s="29"/>
      <c r="ZE25" s="29"/>
      <c r="ZF25" s="29"/>
      <c r="ZG25" s="29"/>
      <c r="ZH25" s="29"/>
      <c r="ZI25" s="29"/>
      <c r="ZJ25" s="29"/>
      <c r="ZK25" s="29"/>
      <c r="ZL25" s="29"/>
      <c r="ZM25" s="29"/>
      <c r="ZN25" s="29"/>
      <c r="ZO25" s="29"/>
      <c r="ZP25" s="29"/>
      <c r="ZQ25" s="29"/>
      <c r="ZR25" s="29"/>
      <c r="ZS25" s="29"/>
      <c r="ZT25" s="29"/>
      <c r="ZU25" s="29"/>
      <c r="ZV25" s="29"/>
      <c r="ZW25" s="29"/>
      <c r="ZX25" s="29"/>
      <c r="ZY25" s="29"/>
      <c r="ZZ25" s="29"/>
      <c r="AAA25" s="29"/>
      <c r="AAB25" s="29"/>
      <c r="AAC25" s="29"/>
      <c r="AAD25" s="29"/>
      <c r="AAE25" s="29"/>
      <c r="AAF25" s="29"/>
      <c r="AAG25" s="29"/>
      <c r="AAH25" s="29"/>
      <c r="AAI25" s="29"/>
      <c r="AAJ25" s="29"/>
      <c r="AAK25" s="29"/>
      <c r="AAL25" s="29"/>
      <c r="AAM25" s="29"/>
      <c r="AAN25" s="29"/>
      <c r="AAO25" s="29"/>
      <c r="AAP25" s="29"/>
      <c r="AAQ25" s="29"/>
      <c r="AAR25" s="29"/>
      <c r="AAS25" s="29"/>
      <c r="AAT25" s="29"/>
      <c r="AAU25" s="29"/>
      <c r="AAV25" s="29"/>
      <c r="AAW25" s="29"/>
      <c r="AAX25" s="29"/>
      <c r="AAY25" s="29"/>
      <c r="AAZ25" s="29"/>
      <c r="ABA25" s="29"/>
      <c r="ABB25" s="29"/>
      <c r="ABC25" s="29"/>
      <c r="ABD25" s="29"/>
      <c r="ABE25" s="29"/>
      <c r="ABF25" s="29"/>
      <c r="ABG25" s="29"/>
      <c r="ABH25" s="29"/>
      <c r="ABI25" s="29"/>
      <c r="ABJ25" s="29"/>
      <c r="ABK25" s="29"/>
      <c r="ABL25" s="29"/>
      <c r="ABM25" s="29"/>
      <c r="ABN25" s="29"/>
      <c r="ABO25" s="29"/>
      <c r="ABP25" s="29"/>
      <c r="ABQ25" s="29"/>
      <c r="ABR25" s="29"/>
      <c r="ABS25" s="29"/>
      <c r="ABT25" s="29"/>
      <c r="ABU25" s="29"/>
      <c r="ABV25" s="29"/>
      <c r="ABW25" s="29"/>
      <c r="ABX25" s="29"/>
      <c r="ABY25" s="29"/>
      <c r="ABZ25" s="29"/>
      <c r="ACA25" s="29"/>
      <c r="ACB25" s="29"/>
      <c r="ACC25" s="29"/>
      <c r="ACD25" s="29"/>
      <c r="ACE25" s="29"/>
      <c r="ACF25" s="29"/>
      <c r="ACG25" s="29"/>
      <c r="ACH25" s="29"/>
      <c r="ACI25" s="29"/>
      <c r="ACJ25" s="29"/>
      <c r="ACK25" s="29"/>
      <c r="ACL25" s="29"/>
      <c r="ACM25" s="29"/>
      <c r="ACN25" s="29"/>
      <c r="ACO25" s="29"/>
      <c r="ACP25" s="29"/>
      <c r="ACQ25" s="29"/>
      <c r="ACR25" s="29"/>
      <c r="ACS25" s="29"/>
      <c r="ACT25" s="29"/>
      <c r="ACU25" s="29"/>
      <c r="ACV25" s="29"/>
      <c r="ACW25" s="29"/>
      <c r="ACX25" s="29"/>
      <c r="ACY25" s="29"/>
      <c r="ACZ25" s="29"/>
      <c r="ADA25" s="29"/>
      <c r="ADB25" s="29"/>
      <c r="ADC25" s="29"/>
      <c r="ADD25" s="29"/>
      <c r="ADE25" s="29"/>
      <c r="ADF25" s="29"/>
      <c r="ADG25" s="29"/>
      <c r="ADH25" s="29"/>
      <c r="ADI25" s="29"/>
      <c r="ADJ25" s="29"/>
      <c r="ADK25" s="29"/>
      <c r="ADL25" s="29"/>
      <c r="ADM25" s="29"/>
      <c r="ADN25" s="29"/>
      <c r="ADO25" s="29"/>
    </row>
    <row r="26" spans="1:16384" s="30" customFormat="1" ht="12.75" x14ac:dyDescent="0.25">
      <c r="A26" s="20" t="str">
        <f t="shared" ca="1" si="709"/>
        <v>0.4</v>
      </c>
      <c r="B26" s="74" t="str">
        <f t="shared" si="713"/>
        <v>B</v>
      </c>
      <c r="C26" s="28" t="s">
        <v>58</v>
      </c>
      <c r="D26" s="28"/>
      <c r="E26" s="28" t="s">
        <v>31</v>
      </c>
      <c r="F26" s="28"/>
      <c r="G26" s="74"/>
      <c r="H26" s="105">
        <v>2015</v>
      </c>
      <c r="I26" s="63"/>
      <c r="J26" s="64">
        <f>K25+1</f>
        <v>42352</v>
      </c>
      <c r="K26" s="21">
        <f t="shared" ref="K26" si="714">J26+L26-1</f>
        <v>42456</v>
      </c>
      <c r="L26" s="22">
        <f t="shared" ref="L26" si="715">M26*7</f>
        <v>105</v>
      </c>
      <c r="M26" s="52">
        <v>15</v>
      </c>
      <c r="N26" s="53">
        <v>0</v>
      </c>
      <c r="O26" s="22">
        <f t="shared" ref="O26" si="716">NETWORKDAYS(J26,K26)</f>
        <v>75</v>
      </c>
      <c r="P26" s="23">
        <f t="shared" ref="P26" si="717">ROUNDDOWN(N26*L26,0)</f>
        <v>0</v>
      </c>
      <c r="Q26" s="22">
        <f t="shared" ref="Q26" si="718">L26-P26</f>
        <v>105</v>
      </c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29"/>
      <c r="DD26" s="2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29"/>
      <c r="DV26" s="29"/>
      <c r="DW26" s="29"/>
      <c r="DX26" s="29"/>
      <c r="DY26" s="29"/>
      <c r="DZ26" s="29"/>
      <c r="EA26" s="29"/>
      <c r="EB26" s="29"/>
      <c r="EC26" s="29"/>
      <c r="ED26" s="29"/>
      <c r="EE26" s="29"/>
      <c r="EF26" s="29"/>
      <c r="EG26" s="29"/>
      <c r="EH26" s="29"/>
      <c r="EI26" s="29"/>
      <c r="EJ26" s="29"/>
      <c r="EK26" s="29"/>
      <c r="EL26" s="29"/>
      <c r="EM26" s="29"/>
      <c r="EN26" s="29"/>
      <c r="EO26" s="29"/>
      <c r="EP26" s="29"/>
      <c r="EQ26" s="29"/>
      <c r="ER26" s="29"/>
      <c r="ES26" s="29"/>
      <c r="ET26" s="29"/>
      <c r="EU26" s="29"/>
      <c r="EV26" s="29"/>
      <c r="EW26" s="29"/>
      <c r="EX26" s="29"/>
      <c r="EY26" s="29"/>
      <c r="EZ26" s="29"/>
      <c r="FA26" s="29"/>
      <c r="FB26" s="29"/>
      <c r="FC26" s="29"/>
      <c r="FD26" s="29"/>
      <c r="FE26" s="29"/>
      <c r="FF26" s="29"/>
      <c r="FG26" s="29"/>
      <c r="FH26" s="29"/>
      <c r="FI26" s="29"/>
      <c r="FJ26" s="29"/>
      <c r="FK26" s="29"/>
      <c r="FL26" s="29"/>
      <c r="FM26" s="29"/>
      <c r="FN26" s="29"/>
      <c r="FO26" s="29"/>
      <c r="FP26" s="29"/>
      <c r="FQ26" s="29"/>
      <c r="FR26" s="29"/>
      <c r="FS26" s="29"/>
      <c r="FT26" s="29"/>
      <c r="FU26" s="29"/>
      <c r="FV26" s="29"/>
      <c r="FW26" s="29"/>
      <c r="FX26" s="29"/>
      <c r="FY26" s="29"/>
      <c r="FZ26" s="29"/>
      <c r="GA26" s="29"/>
      <c r="GB26" s="29"/>
      <c r="GC26" s="29"/>
      <c r="GD26" s="29"/>
      <c r="GE26" s="29"/>
      <c r="GF26" s="29"/>
      <c r="GG26" s="29"/>
      <c r="GH26" s="29"/>
      <c r="GI26" s="29"/>
      <c r="GJ26" s="29"/>
      <c r="GK26" s="29"/>
      <c r="GL26" s="29"/>
      <c r="GM26" s="29"/>
      <c r="GN26" s="29"/>
      <c r="GO26" s="29"/>
      <c r="GP26" s="29"/>
      <c r="GQ26" s="29"/>
      <c r="GR26" s="29"/>
      <c r="GS26" s="29"/>
      <c r="GT26" s="29"/>
      <c r="GU26" s="29"/>
      <c r="GV26" s="29"/>
      <c r="GW26" s="29"/>
      <c r="GX26" s="29"/>
      <c r="GY26" s="29"/>
      <c r="GZ26" s="29"/>
      <c r="HA26" s="29"/>
      <c r="HB26" s="29"/>
      <c r="HC26" s="29"/>
      <c r="HD26" s="29"/>
      <c r="HE26" s="29"/>
      <c r="HF26" s="29"/>
      <c r="HG26" s="29"/>
      <c r="HH26" s="29"/>
      <c r="HI26" s="29"/>
      <c r="HJ26" s="29"/>
      <c r="HK26" s="29"/>
      <c r="HL26" s="29"/>
      <c r="HM26" s="29"/>
      <c r="HN26" s="29"/>
      <c r="HO26" s="29"/>
      <c r="HP26" s="29"/>
      <c r="HQ26" s="29"/>
      <c r="HR26" s="29"/>
      <c r="HS26" s="29"/>
      <c r="HT26" s="29"/>
      <c r="HU26" s="29"/>
      <c r="HV26" s="29"/>
      <c r="HW26" s="29"/>
      <c r="HX26" s="29"/>
      <c r="HY26" s="29"/>
      <c r="HZ26" s="29"/>
      <c r="IA26" s="29"/>
      <c r="IB26" s="29"/>
      <c r="IC26" s="29"/>
      <c r="ID26" s="29"/>
      <c r="IE26" s="29"/>
      <c r="IF26" s="29"/>
      <c r="IG26" s="29"/>
      <c r="IH26" s="29"/>
      <c r="II26" s="29"/>
      <c r="IJ26" s="29"/>
      <c r="IK26" s="29"/>
      <c r="IL26" s="29"/>
      <c r="IM26" s="29"/>
      <c r="IN26" s="29"/>
      <c r="IO26" s="29"/>
      <c r="IP26" s="29"/>
      <c r="IQ26" s="29"/>
      <c r="IR26" s="29"/>
      <c r="IS26" s="29"/>
      <c r="IT26" s="29"/>
      <c r="IU26" s="29"/>
      <c r="IV26" s="29"/>
      <c r="IW26" s="29"/>
      <c r="IX26" s="29"/>
      <c r="IY26" s="29"/>
      <c r="IZ26" s="29"/>
      <c r="JA26" s="29"/>
      <c r="JB26" s="29"/>
      <c r="JC26" s="29"/>
      <c r="JD26" s="29"/>
      <c r="JE26" s="29"/>
      <c r="JF26" s="29"/>
      <c r="JG26" s="29"/>
      <c r="JH26" s="29"/>
      <c r="JI26" s="29"/>
      <c r="JJ26" s="29"/>
      <c r="JK26" s="29"/>
      <c r="JL26" s="29"/>
      <c r="JM26" s="29"/>
      <c r="JN26" s="29"/>
      <c r="JO26" s="29"/>
      <c r="JP26" s="29"/>
      <c r="JQ26" s="29"/>
      <c r="JR26" s="29"/>
      <c r="JS26" s="29"/>
      <c r="JT26" s="29"/>
      <c r="JU26" s="29"/>
      <c r="JV26" s="29"/>
      <c r="JW26" s="29"/>
      <c r="JX26" s="29"/>
      <c r="JY26" s="29"/>
      <c r="JZ26" s="29"/>
      <c r="KA26" s="29"/>
      <c r="KB26" s="29"/>
      <c r="KC26" s="29"/>
      <c r="KD26" s="29"/>
      <c r="KE26" s="29"/>
      <c r="KF26" s="29"/>
      <c r="KG26" s="29"/>
      <c r="KH26" s="29"/>
      <c r="KI26" s="29"/>
      <c r="KJ26" s="29"/>
      <c r="KK26" s="29"/>
      <c r="KL26" s="29"/>
      <c r="KM26" s="29"/>
      <c r="KN26" s="29"/>
      <c r="KO26" s="29"/>
      <c r="KP26" s="29"/>
      <c r="KQ26" s="29"/>
      <c r="KR26" s="29"/>
      <c r="KS26" s="29"/>
      <c r="KT26" s="29"/>
      <c r="KU26" s="29"/>
      <c r="KV26" s="29"/>
      <c r="KW26" s="29"/>
      <c r="KX26" s="29"/>
      <c r="KY26" s="29"/>
      <c r="KZ26" s="29"/>
      <c r="LA26" s="29"/>
      <c r="LB26" s="29"/>
      <c r="LC26" s="29"/>
      <c r="LD26" s="29"/>
      <c r="LE26" s="29"/>
      <c r="LF26" s="29"/>
      <c r="LG26" s="29"/>
      <c r="LH26" s="29"/>
      <c r="LI26" s="29"/>
      <c r="LJ26" s="29"/>
      <c r="LK26" s="29"/>
      <c r="LL26" s="29"/>
      <c r="LM26" s="29"/>
      <c r="LN26" s="29"/>
      <c r="LO26" s="29"/>
      <c r="LP26" s="29"/>
      <c r="LQ26" s="29"/>
      <c r="LR26" s="29"/>
      <c r="LS26" s="29"/>
      <c r="LT26" s="29"/>
      <c r="LU26" s="29"/>
      <c r="LV26" s="29"/>
      <c r="LW26" s="29"/>
      <c r="LX26" s="29"/>
      <c r="LY26" s="29"/>
      <c r="LZ26" s="29"/>
      <c r="MA26" s="29"/>
      <c r="MB26" s="29"/>
      <c r="MC26" s="29"/>
      <c r="MD26" s="29"/>
      <c r="ME26" s="29"/>
      <c r="MF26" s="29"/>
      <c r="MG26" s="29"/>
      <c r="MH26" s="29"/>
      <c r="MI26" s="29"/>
      <c r="MJ26" s="29"/>
      <c r="MK26" s="29"/>
      <c r="ML26" s="29"/>
      <c r="MM26" s="29"/>
      <c r="MN26" s="29"/>
      <c r="MO26" s="29"/>
      <c r="MP26" s="29"/>
      <c r="MQ26" s="29"/>
      <c r="MR26" s="29"/>
      <c r="MS26" s="29"/>
      <c r="MT26" s="29"/>
      <c r="MU26" s="29"/>
      <c r="MV26" s="29"/>
      <c r="MW26" s="29"/>
      <c r="MX26" s="29"/>
      <c r="MY26" s="29"/>
      <c r="MZ26" s="29"/>
      <c r="NA26" s="29"/>
      <c r="NB26" s="29"/>
      <c r="NC26" s="29"/>
      <c r="ND26" s="29"/>
      <c r="NE26" s="29"/>
      <c r="NF26" s="29"/>
      <c r="NG26" s="29"/>
      <c r="NH26" s="29"/>
      <c r="NI26" s="29"/>
      <c r="NJ26" s="29"/>
      <c r="NK26" s="29"/>
      <c r="NL26" s="29"/>
      <c r="NM26" s="29"/>
      <c r="NN26" s="29"/>
      <c r="NO26" s="29"/>
      <c r="NP26" s="29"/>
      <c r="NQ26" s="29"/>
      <c r="NR26" s="29"/>
      <c r="NS26" s="29"/>
      <c r="NT26" s="29"/>
      <c r="NU26" s="29"/>
      <c r="NV26" s="29"/>
      <c r="NW26" s="29"/>
      <c r="NX26" s="29"/>
      <c r="NY26" s="29"/>
      <c r="NZ26" s="29"/>
      <c r="OA26" s="29"/>
      <c r="OB26" s="29"/>
      <c r="OC26" s="29"/>
      <c r="OD26" s="29"/>
      <c r="OE26" s="29"/>
      <c r="OF26" s="29"/>
      <c r="OG26" s="29"/>
      <c r="OH26" s="29"/>
      <c r="OI26" s="29"/>
      <c r="OJ26" s="29"/>
      <c r="OK26" s="29"/>
      <c r="OL26" s="29"/>
      <c r="OM26" s="29"/>
      <c r="ON26" s="29"/>
      <c r="OO26" s="29"/>
      <c r="OP26" s="29"/>
      <c r="OQ26" s="29"/>
      <c r="OR26" s="29"/>
      <c r="OS26" s="29"/>
      <c r="OT26" s="29"/>
      <c r="OU26" s="29"/>
      <c r="OV26" s="29"/>
      <c r="OW26" s="29"/>
      <c r="OX26" s="29"/>
      <c r="OY26" s="29"/>
      <c r="OZ26" s="29"/>
      <c r="PA26" s="29"/>
      <c r="PB26" s="29"/>
      <c r="PC26" s="29"/>
      <c r="PD26" s="29"/>
      <c r="PE26" s="29"/>
      <c r="PF26" s="29"/>
      <c r="PG26" s="29"/>
      <c r="PH26" s="29"/>
      <c r="PI26" s="29"/>
      <c r="PJ26" s="29"/>
      <c r="PK26" s="29"/>
      <c r="PL26" s="29"/>
      <c r="PM26" s="29"/>
      <c r="PN26" s="29"/>
      <c r="PO26" s="29"/>
      <c r="PP26" s="29"/>
      <c r="PQ26" s="29"/>
      <c r="PR26" s="29"/>
      <c r="PS26" s="29"/>
      <c r="PT26" s="29"/>
      <c r="PU26" s="29"/>
      <c r="PV26" s="29"/>
      <c r="PW26" s="29"/>
      <c r="PX26" s="29"/>
      <c r="PY26" s="29"/>
      <c r="PZ26" s="29"/>
      <c r="QA26" s="29"/>
      <c r="QB26" s="29"/>
      <c r="QC26" s="29"/>
      <c r="QD26" s="29"/>
      <c r="QE26" s="29"/>
      <c r="QF26" s="29"/>
      <c r="QG26" s="29"/>
      <c r="QH26" s="29"/>
      <c r="QI26" s="29"/>
      <c r="QJ26" s="29"/>
      <c r="QK26" s="29"/>
      <c r="QL26" s="29"/>
      <c r="QM26" s="29"/>
      <c r="QN26" s="29"/>
      <c r="QO26" s="29"/>
      <c r="QP26" s="29"/>
      <c r="QQ26" s="29"/>
      <c r="QR26" s="29"/>
      <c r="QS26" s="29"/>
      <c r="QT26" s="29"/>
      <c r="QU26" s="29"/>
      <c r="QV26" s="29"/>
      <c r="QW26" s="29"/>
      <c r="QX26" s="29"/>
      <c r="QY26" s="29"/>
      <c r="QZ26" s="29"/>
      <c r="RA26" s="29"/>
      <c r="RB26" s="29"/>
      <c r="RC26" s="29"/>
      <c r="RD26" s="29"/>
      <c r="RE26" s="29"/>
      <c r="RF26" s="29"/>
      <c r="RG26" s="29"/>
      <c r="RH26" s="29"/>
      <c r="RI26" s="29"/>
      <c r="RJ26" s="29"/>
      <c r="RK26" s="29"/>
      <c r="RL26" s="29"/>
      <c r="RM26" s="29"/>
      <c r="RN26" s="29"/>
      <c r="RO26" s="29"/>
      <c r="RP26" s="29"/>
      <c r="RQ26" s="29"/>
      <c r="RR26" s="29"/>
      <c r="RS26" s="29"/>
      <c r="RT26" s="29"/>
      <c r="RU26" s="29"/>
      <c r="RV26" s="29"/>
      <c r="RW26" s="29"/>
      <c r="RX26" s="29"/>
      <c r="RY26" s="29"/>
      <c r="RZ26" s="29"/>
      <c r="SA26" s="29"/>
      <c r="SB26" s="29"/>
      <c r="SC26" s="29"/>
      <c r="SD26" s="29"/>
      <c r="SE26" s="29"/>
      <c r="SF26" s="29"/>
      <c r="SG26" s="29"/>
      <c r="SH26" s="29"/>
      <c r="SI26" s="29"/>
      <c r="SJ26" s="29"/>
      <c r="SK26" s="29"/>
      <c r="SL26" s="29"/>
      <c r="SM26" s="29"/>
      <c r="SN26" s="29"/>
      <c r="SO26" s="29"/>
      <c r="SP26" s="29"/>
      <c r="SQ26" s="29"/>
      <c r="SR26" s="29"/>
      <c r="SS26" s="29"/>
      <c r="ST26" s="29"/>
      <c r="SU26" s="29"/>
      <c r="SV26" s="29"/>
      <c r="SW26" s="29"/>
      <c r="SX26" s="29"/>
      <c r="SY26" s="29"/>
      <c r="SZ26" s="29"/>
      <c r="TA26" s="29"/>
      <c r="TB26" s="29"/>
      <c r="TC26" s="29"/>
      <c r="TD26" s="29"/>
      <c r="TE26" s="29"/>
      <c r="TF26" s="29"/>
      <c r="TG26" s="29"/>
      <c r="TH26" s="29"/>
      <c r="TI26" s="29"/>
      <c r="TJ26" s="29"/>
      <c r="TK26" s="29"/>
      <c r="TL26" s="29"/>
      <c r="TM26" s="29"/>
      <c r="TN26" s="29"/>
      <c r="TO26" s="29"/>
      <c r="TP26" s="29"/>
      <c r="TQ26" s="29"/>
      <c r="TR26" s="29"/>
      <c r="TS26" s="29"/>
      <c r="TT26" s="29"/>
      <c r="TU26" s="29"/>
      <c r="TV26" s="29"/>
      <c r="TW26" s="29"/>
      <c r="TX26" s="29"/>
      <c r="TY26" s="29"/>
      <c r="TZ26" s="29"/>
      <c r="UA26" s="29"/>
      <c r="UB26" s="29"/>
      <c r="UC26" s="29"/>
      <c r="UD26" s="29"/>
      <c r="UE26" s="29"/>
      <c r="UF26" s="29"/>
      <c r="UG26" s="29"/>
      <c r="UH26" s="29"/>
      <c r="UI26" s="29"/>
      <c r="UJ26" s="29"/>
      <c r="UK26" s="29"/>
      <c r="UL26" s="29"/>
      <c r="UM26" s="29"/>
      <c r="UN26" s="29"/>
      <c r="UO26" s="29"/>
      <c r="UP26" s="29"/>
      <c r="UQ26" s="29"/>
      <c r="UR26" s="29"/>
      <c r="US26" s="29"/>
      <c r="UT26" s="29"/>
      <c r="UU26" s="29"/>
      <c r="UV26" s="29"/>
      <c r="UW26" s="29"/>
      <c r="UX26" s="29"/>
      <c r="UY26" s="29"/>
      <c r="UZ26" s="29"/>
      <c r="VA26" s="29"/>
      <c r="VB26" s="29"/>
      <c r="VC26" s="29"/>
      <c r="VD26" s="29"/>
      <c r="VE26" s="29"/>
      <c r="VF26" s="29"/>
      <c r="VG26" s="29"/>
      <c r="VH26" s="29"/>
      <c r="VI26" s="29"/>
      <c r="VJ26" s="29"/>
      <c r="VK26" s="29"/>
      <c r="VL26" s="29"/>
      <c r="VM26" s="29"/>
      <c r="VN26" s="29"/>
      <c r="VO26" s="29"/>
      <c r="VP26" s="29"/>
      <c r="VQ26" s="29"/>
      <c r="VR26" s="29"/>
      <c r="VS26" s="29"/>
      <c r="VT26" s="29"/>
      <c r="VU26" s="29"/>
      <c r="VV26" s="29"/>
      <c r="VW26" s="29"/>
      <c r="VX26" s="29"/>
      <c r="VY26" s="29"/>
      <c r="VZ26" s="29"/>
      <c r="WA26" s="29"/>
      <c r="WB26" s="29"/>
      <c r="WC26" s="29"/>
      <c r="WD26" s="29"/>
      <c r="WE26" s="29"/>
      <c r="WF26" s="29"/>
      <c r="WG26" s="29"/>
      <c r="WH26" s="29"/>
      <c r="WI26" s="29"/>
      <c r="WJ26" s="29"/>
      <c r="WK26" s="29"/>
      <c r="WL26" s="29"/>
      <c r="WM26" s="29"/>
      <c r="WN26" s="29"/>
      <c r="WO26" s="29"/>
      <c r="WP26" s="29"/>
      <c r="WQ26" s="29"/>
      <c r="WR26" s="29"/>
      <c r="WS26" s="29"/>
      <c r="WT26" s="29"/>
      <c r="WU26" s="29"/>
      <c r="WV26" s="29"/>
      <c r="WW26" s="29"/>
      <c r="WX26" s="29"/>
      <c r="WY26" s="29"/>
      <c r="WZ26" s="29"/>
      <c r="XA26" s="29"/>
      <c r="XB26" s="29"/>
      <c r="XC26" s="29"/>
      <c r="XD26" s="29"/>
      <c r="XE26" s="29"/>
      <c r="XF26" s="29"/>
      <c r="XG26" s="29"/>
      <c r="XH26" s="29"/>
      <c r="XI26" s="29"/>
      <c r="XJ26" s="29"/>
      <c r="XK26" s="29"/>
      <c r="XL26" s="29"/>
      <c r="XM26" s="29"/>
      <c r="XN26" s="29"/>
      <c r="XO26" s="29"/>
      <c r="XP26" s="29"/>
      <c r="XQ26" s="29"/>
      <c r="XR26" s="29"/>
      <c r="XS26" s="29"/>
      <c r="XT26" s="29"/>
      <c r="XU26" s="29"/>
      <c r="XV26" s="29"/>
      <c r="XW26" s="29"/>
      <c r="XX26" s="29"/>
      <c r="XY26" s="29"/>
      <c r="XZ26" s="29"/>
      <c r="YA26" s="29"/>
      <c r="YB26" s="29"/>
      <c r="YC26" s="29"/>
      <c r="YD26" s="29"/>
      <c r="YE26" s="29"/>
      <c r="YF26" s="29"/>
      <c r="YG26" s="29"/>
      <c r="YH26" s="29"/>
      <c r="YI26" s="29"/>
      <c r="YJ26" s="29"/>
      <c r="YK26" s="29"/>
      <c r="YL26" s="29"/>
      <c r="YM26" s="29"/>
      <c r="YN26" s="29"/>
      <c r="YO26" s="29"/>
      <c r="YP26" s="29"/>
      <c r="YQ26" s="29"/>
      <c r="YR26" s="29"/>
      <c r="YS26" s="29"/>
      <c r="YT26" s="29"/>
      <c r="YU26" s="29"/>
      <c r="YV26" s="29"/>
      <c r="YW26" s="29"/>
      <c r="YX26" s="29"/>
      <c r="YY26" s="29"/>
      <c r="YZ26" s="29"/>
      <c r="ZA26" s="29"/>
      <c r="ZB26" s="29"/>
      <c r="ZC26" s="29"/>
      <c r="ZD26" s="29"/>
      <c r="ZE26" s="29"/>
      <c r="ZF26" s="29"/>
      <c r="ZG26" s="29"/>
      <c r="ZH26" s="29"/>
      <c r="ZI26" s="29"/>
      <c r="ZJ26" s="29"/>
      <c r="ZK26" s="29"/>
      <c r="ZL26" s="29"/>
      <c r="ZM26" s="29"/>
      <c r="ZN26" s="29"/>
      <c r="ZO26" s="29"/>
      <c r="ZP26" s="29"/>
      <c r="ZQ26" s="29"/>
      <c r="ZR26" s="29"/>
      <c r="ZS26" s="29"/>
      <c r="ZT26" s="29"/>
      <c r="ZU26" s="29"/>
      <c r="ZV26" s="29"/>
      <c r="ZW26" s="29"/>
      <c r="ZX26" s="29"/>
      <c r="ZY26" s="29"/>
      <c r="ZZ26" s="29"/>
      <c r="AAA26" s="29"/>
      <c r="AAB26" s="29"/>
      <c r="AAC26" s="29"/>
      <c r="AAD26" s="29"/>
      <c r="AAE26" s="29"/>
      <c r="AAF26" s="29"/>
      <c r="AAG26" s="29"/>
      <c r="AAH26" s="29"/>
      <c r="AAI26" s="29"/>
      <c r="AAJ26" s="29"/>
      <c r="AAK26" s="29"/>
      <c r="AAL26" s="29"/>
      <c r="AAM26" s="29"/>
      <c r="AAN26" s="29"/>
      <c r="AAO26" s="29"/>
      <c r="AAP26" s="29"/>
      <c r="AAQ26" s="29"/>
      <c r="AAR26" s="29"/>
      <c r="AAS26" s="29"/>
      <c r="AAT26" s="29"/>
      <c r="AAU26" s="29"/>
      <c r="AAV26" s="29"/>
      <c r="AAW26" s="29"/>
      <c r="AAX26" s="29"/>
      <c r="AAY26" s="29"/>
      <c r="AAZ26" s="29"/>
      <c r="ABA26" s="29"/>
      <c r="ABB26" s="29"/>
      <c r="ABC26" s="29"/>
      <c r="ABD26" s="29"/>
      <c r="ABE26" s="29"/>
      <c r="ABF26" s="29"/>
      <c r="ABG26" s="29"/>
      <c r="ABH26" s="29"/>
      <c r="ABI26" s="29"/>
      <c r="ABJ26" s="29"/>
      <c r="ABK26" s="29"/>
      <c r="ABL26" s="29"/>
      <c r="ABM26" s="29"/>
      <c r="ABN26" s="29"/>
      <c r="ABO26" s="29"/>
      <c r="ABP26" s="29"/>
      <c r="ABQ26" s="29"/>
      <c r="ABR26" s="29"/>
      <c r="ABS26" s="29"/>
      <c r="ABT26" s="29"/>
      <c r="ABU26" s="29"/>
      <c r="ABV26" s="29"/>
      <c r="ABW26" s="29"/>
      <c r="ABX26" s="29"/>
      <c r="ABY26" s="29"/>
      <c r="ABZ26" s="29"/>
      <c r="ACA26" s="29"/>
      <c r="ACB26" s="29"/>
      <c r="ACC26" s="29"/>
      <c r="ACD26" s="29"/>
      <c r="ACE26" s="29"/>
      <c r="ACF26" s="29"/>
      <c r="ACG26" s="29"/>
      <c r="ACH26" s="29"/>
      <c r="ACI26" s="29"/>
      <c r="ACJ26" s="29"/>
      <c r="ACK26" s="29"/>
      <c r="ACL26" s="29"/>
      <c r="ACM26" s="29"/>
      <c r="ACN26" s="29"/>
      <c r="ACO26" s="29"/>
      <c r="ACP26" s="29"/>
      <c r="ACQ26" s="29"/>
      <c r="ACR26" s="29"/>
      <c r="ACS26" s="29"/>
      <c r="ACT26" s="29"/>
      <c r="ACU26" s="29"/>
      <c r="ACV26" s="29"/>
      <c r="ACW26" s="29"/>
      <c r="ACX26" s="29"/>
      <c r="ACY26" s="29"/>
      <c r="ACZ26" s="29"/>
      <c r="ADA26" s="29"/>
      <c r="ADB26" s="29"/>
      <c r="ADC26" s="29"/>
      <c r="ADD26" s="29"/>
      <c r="ADE26" s="29"/>
      <c r="ADF26" s="29"/>
      <c r="ADG26" s="29"/>
      <c r="ADH26" s="29"/>
      <c r="ADI26" s="29"/>
      <c r="ADJ26" s="29"/>
      <c r="ADK26" s="29"/>
      <c r="ADL26" s="29"/>
      <c r="ADM26" s="29"/>
      <c r="ADN26" s="29"/>
      <c r="ADO26" s="29"/>
    </row>
    <row r="27" spans="1:16384" s="30" customFormat="1" ht="12.75" x14ac:dyDescent="0.25">
      <c r="A27" s="20" t="str">
        <f ca="1">IF(ISERROR(VALUE(SUBSTITUTE(OFFSET(A27,-1,0,1,1),".",""))),"0.1",IF(ISERROR(FIND("`",SUBSTITUTE(OFFSET(A27,-1,0,1,1),".","`",1))),OFFSET(A27,-1,0,1,1)&amp;".1",LEFT(OFFSET(A27,-1,0,1,1),FIND("`",SUBSTITUTE(OFFSET(A27,-1,0,1,1),".","`",1)))&amp;IF(ISERROR(FIND("`",SUBSTITUTE(OFFSET(A27,-1,0,1,1),".","`",2))),VALUE(RIGHT(OFFSET(A27,-1,0,1,1),LEN(OFFSET(A27,-1,0,1,1))-FIND("`",SUBSTITUTE(OFFSET(A27,-1,0,1,1),".","`",1))))+1,VALUE(MID(OFFSET(A27,-1,0,1,1),FIND("`",SUBSTITUTE(OFFSET(A27,-1,0,1,1),".","`",1))+1,(FIND("`",SUBSTITUTE(OFFSET(A27,-1,0,1,1),".","`",2))-FIND("`",SUBSTITUTE(OFFSET(A27,-1,0,1,1),".","`",1))-1)))+1)))</f>
        <v>0.5</v>
      </c>
      <c r="B27" s="74" t="str">
        <f>B$22</f>
        <v>B</v>
      </c>
      <c r="C27" s="28" t="s">
        <v>19</v>
      </c>
      <c r="D27" s="28"/>
      <c r="E27" s="28" t="s">
        <v>31</v>
      </c>
      <c r="F27" s="28"/>
      <c r="G27" s="74"/>
      <c r="H27" s="105">
        <v>2016</v>
      </c>
      <c r="I27" s="63"/>
      <c r="J27" s="64">
        <f>K26+1</f>
        <v>42457</v>
      </c>
      <c r="K27" s="21">
        <f>J27+L27-1</f>
        <v>42470</v>
      </c>
      <c r="L27" s="22">
        <f t="shared" si="712"/>
        <v>14</v>
      </c>
      <c r="M27" s="52">
        <v>2</v>
      </c>
      <c r="N27" s="53">
        <v>0</v>
      </c>
      <c r="O27" s="22">
        <f t="shared" si="706"/>
        <v>10</v>
      </c>
      <c r="P27" s="23">
        <f t="shared" si="707"/>
        <v>0</v>
      </c>
      <c r="Q27" s="22">
        <f t="shared" si="708"/>
        <v>14</v>
      </c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29"/>
      <c r="DX27" s="2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29"/>
      <c r="ER27" s="2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29"/>
      <c r="FL27" s="2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  <c r="FZ27" s="29"/>
      <c r="GA27" s="29"/>
      <c r="GB27" s="29"/>
      <c r="GC27" s="29"/>
      <c r="GD27" s="29"/>
      <c r="GE27" s="29"/>
      <c r="GF27" s="2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29"/>
      <c r="GZ27" s="29"/>
      <c r="HA27" s="29"/>
      <c r="HB27" s="29"/>
      <c r="HC27" s="29"/>
      <c r="HD27" s="29"/>
      <c r="HE27" s="29"/>
      <c r="HF27" s="29"/>
      <c r="HG27" s="29"/>
      <c r="HH27" s="29"/>
      <c r="HI27" s="29"/>
      <c r="HJ27" s="29"/>
      <c r="HK27" s="29"/>
      <c r="HL27" s="29"/>
      <c r="HM27" s="29"/>
      <c r="HN27" s="29"/>
      <c r="HO27" s="29"/>
      <c r="HP27" s="29"/>
      <c r="HQ27" s="29"/>
      <c r="HR27" s="29"/>
      <c r="HS27" s="29"/>
      <c r="HT27" s="29"/>
      <c r="HU27" s="29"/>
      <c r="HV27" s="29"/>
      <c r="HW27" s="29"/>
      <c r="HX27" s="29"/>
      <c r="HY27" s="29"/>
      <c r="HZ27" s="29"/>
      <c r="IA27" s="29"/>
      <c r="IB27" s="29"/>
      <c r="IC27" s="29"/>
      <c r="ID27" s="29"/>
      <c r="IE27" s="29"/>
      <c r="IF27" s="29"/>
      <c r="IG27" s="29"/>
      <c r="IH27" s="29"/>
      <c r="II27" s="29"/>
      <c r="IJ27" s="29"/>
      <c r="IK27" s="29"/>
      <c r="IL27" s="29"/>
      <c r="IM27" s="29"/>
      <c r="IN27" s="29"/>
      <c r="IO27" s="29"/>
      <c r="IP27" s="29"/>
      <c r="IQ27" s="29"/>
      <c r="IR27" s="29"/>
      <c r="IS27" s="29"/>
      <c r="IT27" s="29"/>
      <c r="IU27" s="29"/>
      <c r="IV27" s="29"/>
      <c r="IW27" s="29"/>
      <c r="IX27" s="29"/>
      <c r="IY27" s="29"/>
      <c r="IZ27" s="29"/>
      <c r="JA27" s="29"/>
      <c r="JB27" s="29"/>
      <c r="JC27" s="29"/>
      <c r="JD27" s="29"/>
      <c r="JE27" s="29"/>
      <c r="JF27" s="29"/>
      <c r="JG27" s="29"/>
      <c r="JH27" s="29"/>
      <c r="JI27" s="29"/>
      <c r="JJ27" s="29"/>
      <c r="JK27" s="29"/>
      <c r="JL27" s="29"/>
      <c r="JM27" s="29"/>
      <c r="JN27" s="29"/>
      <c r="JO27" s="29"/>
      <c r="JP27" s="29"/>
      <c r="JQ27" s="29"/>
      <c r="JR27" s="29"/>
      <c r="JS27" s="29"/>
      <c r="JT27" s="29"/>
      <c r="JU27" s="29"/>
      <c r="JV27" s="29"/>
      <c r="JW27" s="29"/>
      <c r="JX27" s="29"/>
      <c r="JY27" s="29"/>
      <c r="JZ27" s="29"/>
      <c r="KA27" s="29"/>
      <c r="KB27" s="29"/>
      <c r="KC27" s="29"/>
      <c r="KD27" s="29"/>
      <c r="KE27" s="29"/>
      <c r="KF27" s="29"/>
      <c r="KG27" s="29"/>
      <c r="KH27" s="29"/>
      <c r="KI27" s="29"/>
      <c r="KJ27" s="29"/>
      <c r="KK27" s="29"/>
      <c r="KL27" s="29"/>
      <c r="KM27" s="29"/>
      <c r="KN27" s="29"/>
      <c r="KO27" s="29"/>
      <c r="KP27" s="29"/>
      <c r="KQ27" s="29"/>
      <c r="KR27" s="29"/>
      <c r="KS27" s="29"/>
      <c r="KT27" s="29"/>
      <c r="KU27" s="29"/>
      <c r="KV27" s="29"/>
      <c r="KW27" s="29"/>
      <c r="KX27" s="29"/>
      <c r="KY27" s="29"/>
      <c r="KZ27" s="29"/>
      <c r="LA27" s="29"/>
      <c r="LB27" s="29"/>
      <c r="LC27" s="29"/>
      <c r="LD27" s="29"/>
      <c r="LE27" s="29"/>
      <c r="LF27" s="29"/>
      <c r="LG27" s="29"/>
      <c r="LH27" s="29"/>
      <c r="LI27" s="29"/>
      <c r="LJ27" s="29"/>
      <c r="LK27" s="29"/>
      <c r="LL27" s="29"/>
      <c r="LM27" s="29"/>
      <c r="LN27" s="29"/>
      <c r="LO27" s="29"/>
      <c r="LP27" s="29"/>
      <c r="LQ27" s="29"/>
      <c r="LR27" s="29"/>
      <c r="LS27" s="29"/>
      <c r="LT27" s="29"/>
      <c r="LU27" s="29"/>
      <c r="LV27" s="29"/>
      <c r="LW27" s="29"/>
      <c r="LX27" s="29"/>
      <c r="LY27" s="29"/>
      <c r="LZ27" s="29"/>
      <c r="MA27" s="29"/>
      <c r="MB27" s="29"/>
      <c r="MC27" s="29"/>
      <c r="MD27" s="29"/>
      <c r="ME27" s="29"/>
      <c r="MF27" s="29"/>
      <c r="MG27" s="29"/>
      <c r="MH27" s="29"/>
      <c r="MI27" s="29"/>
      <c r="MJ27" s="29"/>
      <c r="MK27" s="29"/>
      <c r="ML27" s="29"/>
      <c r="MM27" s="29"/>
      <c r="MN27" s="29"/>
      <c r="MO27" s="29"/>
      <c r="MP27" s="29"/>
      <c r="MQ27" s="29"/>
      <c r="MR27" s="29"/>
      <c r="MS27" s="29"/>
      <c r="MT27" s="29"/>
      <c r="MU27" s="29"/>
      <c r="MV27" s="29"/>
      <c r="MW27" s="29"/>
      <c r="MX27" s="29"/>
      <c r="MY27" s="29"/>
      <c r="MZ27" s="29"/>
      <c r="NA27" s="29"/>
      <c r="NB27" s="29"/>
      <c r="NC27" s="29"/>
      <c r="ND27" s="29"/>
      <c r="NE27" s="29"/>
      <c r="NF27" s="29"/>
      <c r="NG27" s="29"/>
      <c r="NH27" s="29"/>
      <c r="NI27" s="29"/>
      <c r="NJ27" s="29"/>
      <c r="NK27" s="29"/>
      <c r="NL27" s="29"/>
      <c r="NM27" s="29"/>
      <c r="NN27" s="29"/>
      <c r="NO27" s="29"/>
      <c r="NP27" s="29"/>
      <c r="NQ27" s="29"/>
      <c r="NR27" s="29"/>
      <c r="NS27" s="29"/>
      <c r="NT27" s="29"/>
      <c r="NU27" s="29"/>
      <c r="NV27" s="29"/>
      <c r="NW27" s="29"/>
      <c r="NX27" s="29"/>
      <c r="NY27" s="29"/>
      <c r="NZ27" s="29"/>
      <c r="OA27" s="29"/>
      <c r="OB27" s="29"/>
      <c r="OC27" s="29"/>
      <c r="OD27" s="29"/>
      <c r="OE27" s="29"/>
      <c r="OF27" s="29"/>
      <c r="OG27" s="29"/>
      <c r="OH27" s="29"/>
      <c r="OI27" s="29"/>
      <c r="OJ27" s="29"/>
      <c r="OK27" s="29"/>
      <c r="OL27" s="29"/>
      <c r="OM27" s="29"/>
      <c r="ON27" s="29"/>
      <c r="OO27" s="29"/>
      <c r="OP27" s="29"/>
      <c r="OQ27" s="29"/>
      <c r="OR27" s="29"/>
      <c r="OS27" s="29"/>
      <c r="OT27" s="29"/>
      <c r="OU27" s="29"/>
      <c r="OV27" s="29"/>
      <c r="OW27" s="29"/>
      <c r="OX27" s="29"/>
      <c r="OY27" s="29"/>
      <c r="OZ27" s="29"/>
      <c r="PA27" s="29"/>
      <c r="PB27" s="29"/>
      <c r="PC27" s="29"/>
      <c r="PD27" s="29"/>
      <c r="PE27" s="29"/>
      <c r="PF27" s="29"/>
      <c r="PG27" s="29"/>
      <c r="PH27" s="29"/>
      <c r="PI27" s="29"/>
      <c r="PJ27" s="29"/>
      <c r="PK27" s="29"/>
      <c r="PL27" s="29"/>
      <c r="PM27" s="29"/>
      <c r="PN27" s="29"/>
      <c r="PO27" s="29"/>
      <c r="PP27" s="29"/>
      <c r="PQ27" s="29"/>
      <c r="PR27" s="29"/>
      <c r="PS27" s="29"/>
      <c r="PT27" s="29"/>
      <c r="PU27" s="29"/>
      <c r="PV27" s="29"/>
      <c r="PW27" s="29"/>
      <c r="PX27" s="29"/>
      <c r="PY27" s="29"/>
      <c r="PZ27" s="29"/>
      <c r="QA27" s="29"/>
      <c r="QB27" s="29"/>
      <c r="QC27" s="29"/>
      <c r="QD27" s="29"/>
      <c r="QE27" s="29"/>
      <c r="QF27" s="29"/>
      <c r="QG27" s="29"/>
      <c r="QH27" s="29"/>
      <c r="QI27" s="29"/>
      <c r="QJ27" s="29"/>
      <c r="QK27" s="29"/>
      <c r="QL27" s="29"/>
      <c r="QM27" s="29"/>
      <c r="QN27" s="29"/>
      <c r="QO27" s="29"/>
      <c r="QP27" s="29"/>
      <c r="QQ27" s="29"/>
      <c r="QR27" s="29"/>
      <c r="QS27" s="29"/>
      <c r="QT27" s="29"/>
      <c r="QU27" s="29"/>
      <c r="QV27" s="29"/>
      <c r="QW27" s="29"/>
      <c r="QX27" s="29"/>
      <c r="QY27" s="29"/>
      <c r="QZ27" s="29"/>
      <c r="RA27" s="29"/>
      <c r="RB27" s="29"/>
      <c r="RC27" s="29"/>
      <c r="RD27" s="29"/>
      <c r="RE27" s="29"/>
      <c r="RF27" s="29"/>
      <c r="RG27" s="29"/>
      <c r="RH27" s="29"/>
      <c r="RI27" s="29"/>
      <c r="RJ27" s="29"/>
      <c r="RK27" s="29"/>
      <c r="RL27" s="29"/>
      <c r="RM27" s="29"/>
      <c r="RN27" s="29"/>
      <c r="RO27" s="29"/>
      <c r="RP27" s="29"/>
      <c r="RQ27" s="29"/>
      <c r="RR27" s="29"/>
      <c r="RS27" s="29"/>
      <c r="RT27" s="29"/>
      <c r="RU27" s="29"/>
      <c r="RV27" s="29"/>
      <c r="RW27" s="29"/>
      <c r="RX27" s="29"/>
      <c r="RY27" s="29"/>
      <c r="RZ27" s="29"/>
      <c r="SA27" s="29"/>
      <c r="SB27" s="29"/>
      <c r="SC27" s="29"/>
      <c r="SD27" s="29"/>
      <c r="SE27" s="29"/>
      <c r="SF27" s="29"/>
      <c r="SG27" s="29"/>
      <c r="SH27" s="29"/>
      <c r="SI27" s="29"/>
      <c r="SJ27" s="29"/>
      <c r="SK27" s="29"/>
      <c r="SL27" s="29"/>
      <c r="SM27" s="29"/>
      <c r="SN27" s="29"/>
      <c r="SO27" s="29"/>
      <c r="SP27" s="29"/>
      <c r="SQ27" s="29"/>
      <c r="SR27" s="29"/>
      <c r="SS27" s="29"/>
      <c r="ST27" s="29"/>
      <c r="SU27" s="29"/>
      <c r="SV27" s="29"/>
      <c r="SW27" s="29"/>
      <c r="SX27" s="29"/>
      <c r="SY27" s="29"/>
      <c r="SZ27" s="29"/>
      <c r="TA27" s="29"/>
      <c r="TB27" s="29"/>
      <c r="TC27" s="29"/>
      <c r="TD27" s="29"/>
      <c r="TE27" s="29"/>
      <c r="TF27" s="29"/>
      <c r="TG27" s="29"/>
      <c r="TH27" s="29"/>
      <c r="TI27" s="29"/>
      <c r="TJ27" s="29"/>
      <c r="TK27" s="29"/>
      <c r="TL27" s="29"/>
      <c r="TM27" s="29"/>
      <c r="TN27" s="29"/>
      <c r="TO27" s="29"/>
      <c r="TP27" s="29"/>
      <c r="TQ27" s="29"/>
      <c r="TR27" s="29"/>
      <c r="TS27" s="29"/>
      <c r="TT27" s="29"/>
      <c r="TU27" s="29"/>
      <c r="TV27" s="29"/>
      <c r="TW27" s="29"/>
      <c r="TX27" s="29"/>
      <c r="TY27" s="29"/>
      <c r="TZ27" s="29"/>
      <c r="UA27" s="29"/>
      <c r="UB27" s="29"/>
      <c r="UC27" s="29"/>
      <c r="UD27" s="29"/>
      <c r="UE27" s="29"/>
      <c r="UF27" s="29"/>
      <c r="UG27" s="29"/>
      <c r="UH27" s="29"/>
      <c r="UI27" s="29"/>
      <c r="UJ27" s="29"/>
      <c r="UK27" s="29"/>
      <c r="UL27" s="29"/>
      <c r="UM27" s="29"/>
      <c r="UN27" s="29"/>
      <c r="UO27" s="29"/>
      <c r="UP27" s="29"/>
      <c r="UQ27" s="29"/>
      <c r="UR27" s="29"/>
      <c r="US27" s="29"/>
      <c r="UT27" s="29"/>
      <c r="UU27" s="29"/>
      <c r="UV27" s="29"/>
      <c r="UW27" s="29"/>
      <c r="UX27" s="29"/>
      <c r="UY27" s="29"/>
      <c r="UZ27" s="29"/>
      <c r="VA27" s="29"/>
      <c r="VB27" s="29"/>
      <c r="VC27" s="29"/>
      <c r="VD27" s="29"/>
      <c r="VE27" s="29"/>
      <c r="VF27" s="29"/>
      <c r="VG27" s="29"/>
      <c r="VH27" s="29"/>
      <c r="VI27" s="29"/>
      <c r="VJ27" s="29"/>
      <c r="VK27" s="29"/>
      <c r="VL27" s="29"/>
      <c r="VM27" s="29"/>
      <c r="VN27" s="29"/>
      <c r="VO27" s="29"/>
      <c r="VP27" s="29"/>
      <c r="VQ27" s="29"/>
      <c r="VR27" s="29"/>
      <c r="VS27" s="29"/>
      <c r="VT27" s="29"/>
      <c r="VU27" s="29"/>
      <c r="VV27" s="29"/>
      <c r="VW27" s="29"/>
      <c r="VX27" s="29"/>
      <c r="VY27" s="29"/>
      <c r="VZ27" s="29"/>
      <c r="WA27" s="29"/>
      <c r="WB27" s="29"/>
      <c r="WC27" s="29"/>
      <c r="WD27" s="29"/>
      <c r="WE27" s="29"/>
      <c r="WF27" s="29"/>
      <c r="WG27" s="29"/>
      <c r="WH27" s="29"/>
      <c r="WI27" s="29"/>
      <c r="WJ27" s="29"/>
      <c r="WK27" s="29"/>
      <c r="WL27" s="29"/>
      <c r="WM27" s="29"/>
      <c r="WN27" s="29"/>
      <c r="WO27" s="29"/>
      <c r="WP27" s="29"/>
      <c r="WQ27" s="29"/>
      <c r="WR27" s="29"/>
      <c r="WS27" s="29"/>
      <c r="WT27" s="29"/>
      <c r="WU27" s="29"/>
      <c r="WV27" s="29"/>
      <c r="WW27" s="29"/>
      <c r="WX27" s="29"/>
      <c r="WY27" s="29"/>
      <c r="WZ27" s="29"/>
      <c r="XA27" s="29"/>
      <c r="XB27" s="29"/>
      <c r="XC27" s="29"/>
      <c r="XD27" s="29"/>
      <c r="XE27" s="29"/>
      <c r="XF27" s="29"/>
      <c r="XG27" s="29"/>
      <c r="XH27" s="29"/>
      <c r="XI27" s="29"/>
      <c r="XJ27" s="29"/>
      <c r="XK27" s="29"/>
      <c r="XL27" s="29"/>
      <c r="XM27" s="29"/>
      <c r="XN27" s="29"/>
      <c r="XO27" s="29"/>
      <c r="XP27" s="29"/>
      <c r="XQ27" s="29"/>
      <c r="XR27" s="29"/>
      <c r="XS27" s="29"/>
      <c r="XT27" s="29"/>
      <c r="XU27" s="29"/>
      <c r="XV27" s="29"/>
      <c r="XW27" s="29"/>
      <c r="XX27" s="29"/>
      <c r="XY27" s="29"/>
      <c r="XZ27" s="29"/>
      <c r="YA27" s="29"/>
      <c r="YB27" s="29"/>
      <c r="YC27" s="29"/>
      <c r="YD27" s="29"/>
      <c r="YE27" s="29"/>
      <c r="YF27" s="29"/>
      <c r="YG27" s="29"/>
      <c r="YH27" s="29"/>
      <c r="YI27" s="29"/>
      <c r="YJ27" s="29"/>
      <c r="YK27" s="29"/>
      <c r="YL27" s="29"/>
      <c r="YM27" s="29"/>
      <c r="YN27" s="29"/>
      <c r="YO27" s="29"/>
      <c r="YP27" s="29"/>
      <c r="YQ27" s="29"/>
      <c r="YR27" s="29"/>
      <c r="YS27" s="29"/>
      <c r="YT27" s="29"/>
      <c r="YU27" s="29"/>
      <c r="YV27" s="29"/>
      <c r="YW27" s="29"/>
      <c r="YX27" s="29"/>
      <c r="YY27" s="29"/>
      <c r="YZ27" s="29"/>
      <c r="ZA27" s="29"/>
      <c r="ZB27" s="29"/>
      <c r="ZC27" s="29"/>
      <c r="ZD27" s="29"/>
      <c r="ZE27" s="29"/>
      <c r="ZF27" s="29"/>
      <c r="ZG27" s="29"/>
      <c r="ZH27" s="29"/>
      <c r="ZI27" s="29"/>
      <c r="ZJ27" s="29"/>
      <c r="ZK27" s="29"/>
      <c r="ZL27" s="29"/>
      <c r="ZM27" s="29"/>
      <c r="ZN27" s="29"/>
      <c r="ZO27" s="29"/>
      <c r="ZP27" s="29"/>
      <c r="ZQ27" s="29"/>
      <c r="ZR27" s="29"/>
      <c r="ZS27" s="29"/>
      <c r="ZT27" s="29"/>
      <c r="ZU27" s="29"/>
      <c r="ZV27" s="29"/>
      <c r="ZW27" s="29"/>
      <c r="ZX27" s="29"/>
      <c r="ZY27" s="29"/>
      <c r="ZZ27" s="29"/>
      <c r="AAA27" s="29"/>
      <c r="AAB27" s="29"/>
      <c r="AAC27" s="29"/>
      <c r="AAD27" s="29"/>
      <c r="AAE27" s="29"/>
      <c r="AAF27" s="29"/>
      <c r="AAG27" s="29"/>
      <c r="AAH27" s="29"/>
      <c r="AAI27" s="29"/>
      <c r="AAJ27" s="29"/>
      <c r="AAK27" s="29"/>
      <c r="AAL27" s="29"/>
      <c r="AAM27" s="29"/>
      <c r="AAN27" s="29"/>
      <c r="AAO27" s="29"/>
      <c r="AAP27" s="29"/>
      <c r="AAQ27" s="29"/>
      <c r="AAR27" s="29"/>
      <c r="AAS27" s="29"/>
      <c r="AAT27" s="29"/>
      <c r="AAU27" s="29"/>
      <c r="AAV27" s="29"/>
      <c r="AAW27" s="29"/>
      <c r="AAX27" s="29"/>
      <c r="AAY27" s="29"/>
      <c r="AAZ27" s="29"/>
      <c r="ABA27" s="29"/>
      <c r="ABB27" s="29"/>
      <c r="ABC27" s="29"/>
      <c r="ABD27" s="29"/>
      <c r="ABE27" s="29"/>
      <c r="ABF27" s="29"/>
      <c r="ABG27" s="29"/>
      <c r="ABH27" s="29"/>
      <c r="ABI27" s="29"/>
      <c r="ABJ27" s="29"/>
      <c r="ABK27" s="29"/>
      <c r="ABL27" s="29"/>
      <c r="ABM27" s="29"/>
      <c r="ABN27" s="29"/>
      <c r="ABO27" s="29"/>
      <c r="ABP27" s="29"/>
      <c r="ABQ27" s="29"/>
      <c r="ABR27" s="29"/>
      <c r="ABS27" s="29"/>
      <c r="ABT27" s="29"/>
      <c r="ABU27" s="29"/>
      <c r="ABV27" s="29"/>
      <c r="ABW27" s="29"/>
      <c r="ABX27" s="29"/>
      <c r="ABY27" s="29"/>
      <c r="ABZ27" s="29"/>
      <c r="ACA27" s="29"/>
      <c r="ACB27" s="29"/>
      <c r="ACC27" s="29"/>
      <c r="ACD27" s="29"/>
      <c r="ACE27" s="29"/>
      <c r="ACF27" s="29"/>
      <c r="ACG27" s="29"/>
      <c r="ACH27" s="29"/>
      <c r="ACI27" s="29"/>
      <c r="ACJ27" s="29"/>
      <c r="ACK27" s="29"/>
      <c r="ACL27" s="29"/>
      <c r="ACM27" s="29"/>
      <c r="ACN27" s="29"/>
      <c r="ACO27" s="29"/>
      <c r="ACP27" s="29"/>
      <c r="ACQ27" s="29"/>
      <c r="ACR27" s="29"/>
      <c r="ACS27" s="29"/>
      <c r="ACT27" s="29"/>
      <c r="ACU27" s="29"/>
      <c r="ACV27" s="29"/>
      <c r="ACW27" s="29"/>
      <c r="ACX27" s="29"/>
      <c r="ACY27" s="29"/>
      <c r="ACZ27" s="29"/>
      <c r="ADA27" s="29"/>
      <c r="ADB27" s="29"/>
      <c r="ADC27" s="29"/>
      <c r="ADD27" s="29"/>
      <c r="ADE27" s="29"/>
      <c r="ADF27" s="29"/>
      <c r="ADG27" s="29"/>
      <c r="ADH27" s="29"/>
      <c r="ADI27" s="29"/>
      <c r="ADJ27" s="29"/>
      <c r="ADK27" s="29"/>
      <c r="ADL27" s="29"/>
      <c r="ADM27" s="29"/>
      <c r="ADN27" s="29"/>
      <c r="ADO27" s="29"/>
    </row>
    <row r="28" spans="1:16384" s="30" customFormat="1" ht="12.75" x14ac:dyDescent="0.25">
      <c r="A28" s="20" t="str">
        <f ca="1">IF(ISERROR(VALUE(SUBSTITUTE(OFFSET(A28,-1,0,1,1),".",""))),"0.1",IF(ISERROR(FIND("`",SUBSTITUTE(OFFSET(A28,-1,0,1,1),".","`",1))),OFFSET(A28,-1,0,1,1)&amp;".1",LEFT(OFFSET(A28,-1,0,1,1),FIND("`",SUBSTITUTE(OFFSET(A28,-1,0,1,1),".","`",1)))&amp;IF(ISERROR(FIND("`",SUBSTITUTE(OFFSET(A28,-1,0,1,1),".","`",2))),VALUE(RIGHT(OFFSET(A28,-1,0,1,1),LEN(OFFSET(A28,-1,0,1,1))-FIND("`",SUBSTITUTE(OFFSET(A28,-1,0,1,1),".","`",1))))+1,VALUE(MID(OFFSET(A28,-1,0,1,1),FIND("`",SUBSTITUTE(OFFSET(A28,-1,0,1,1),".","`",1))+1,(FIND("`",SUBSTITUTE(OFFSET(A28,-1,0,1,1),".","`",2))-FIND("`",SUBSTITUTE(OFFSET(A28,-1,0,1,1),".","`",1))-1)))+1)))</f>
        <v>0.6</v>
      </c>
      <c r="B28" s="74" t="str">
        <f>B$22</f>
        <v>B</v>
      </c>
      <c r="C28" s="28" t="s">
        <v>23</v>
      </c>
      <c r="D28" s="28"/>
      <c r="E28" s="28" t="s">
        <v>31</v>
      </c>
      <c r="F28" s="28"/>
      <c r="G28" s="74"/>
      <c r="H28" s="105">
        <v>2015</v>
      </c>
      <c r="I28" s="63"/>
      <c r="J28" s="64">
        <f>K27+1</f>
        <v>42471</v>
      </c>
      <c r="K28" s="21">
        <f>J28+L28-1</f>
        <v>42498</v>
      </c>
      <c r="L28" s="22">
        <f t="shared" si="712"/>
        <v>28</v>
      </c>
      <c r="M28" s="52">
        <v>4</v>
      </c>
      <c r="N28" s="53">
        <v>0</v>
      </c>
      <c r="O28" s="22">
        <f t="shared" si="706"/>
        <v>20</v>
      </c>
      <c r="P28" s="23">
        <f t="shared" si="707"/>
        <v>0</v>
      </c>
      <c r="Q28" s="22">
        <f t="shared" si="708"/>
        <v>28</v>
      </c>
      <c r="R28" s="29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B28" s="107"/>
      <c r="DC28" s="107"/>
      <c r="DD28" s="107"/>
      <c r="DE28" s="107"/>
      <c r="DF28" s="107"/>
      <c r="DG28" s="107"/>
      <c r="DH28" s="107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7"/>
      <c r="DX28" s="107"/>
      <c r="DY28" s="107"/>
      <c r="DZ28" s="107"/>
      <c r="EA28" s="107"/>
      <c r="EB28" s="107"/>
      <c r="EC28" s="107"/>
      <c r="ED28" s="107"/>
      <c r="EE28" s="107"/>
      <c r="EF28" s="107"/>
      <c r="EG28" s="107"/>
      <c r="EH28" s="107"/>
      <c r="EI28" s="107"/>
      <c r="EJ28" s="107"/>
      <c r="EK28" s="107"/>
      <c r="EL28" s="107"/>
      <c r="EM28" s="107"/>
      <c r="EN28" s="107"/>
      <c r="EO28" s="107"/>
      <c r="EP28" s="107"/>
      <c r="EQ28" s="107"/>
      <c r="ER28" s="107"/>
      <c r="ES28" s="107"/>
      <c r="ET28" s="107"/>
      <c r="EU28" s="107"/>
      <c r="EV28" s="107"/>
      <c r="EW28" s="107"/>
      <c r="EX28" s="107"/>
      <c r="EY28" s="107"/>
      <c r="EZ28" s="107"/>
      <c r="FA28" s="107"/>
      <c r="FB28" s="107"/>
      <c r="FC28" s="107"/>
      <c r="FD28" s="107"/>
      <c r="FE28" s="107"/>
      <c r="FF28" s="107"/>
      <c r="FG28" s="107"/>
      <c r="FH28" s="107"/>
      <c r="FI28" s="107"/>
      <c r="FJ28" s="107"/>
      <c r="FK28" s="107"/>
      <c r="FL28" s="107"/>
      <c r="FM28" s="107"/>
      <c r="FN28" s="107"/>
      <c r="FO28" s="107"/>
      <c r="FP28" s="107"/>
      <c r="FQ28" s="107"/>
      <c r="FR28" s="107"/>
      <c r="FS28" s="107"/>
      <c r="FT28" s="107"/>
      <c r="FU28" s="107"/>
      <c r="FV28" s="107"/>
      <c r="FW28" s="107"/>
      <c r="FX28" s="107"/>
      <c r="FY28" s="107"/>
      <c r="FZ28" s="107"/>
      <c r="GA28" s="107"/>
      <c r="GB28" s="107"/>
      <c r="GC28" s="107"/>
      <c r="GD28" s="107"/>
      <c r="GE28" s="107"/>
      <c r="GF28" s="107"/>
      <c r="GG28" s="107"/>
      <c r="GH28" s="107"/>
      <c r="GI28" s="107"/>
      <c r="GJ28" s="107"/>
      <c r="GK28" s="107"/>
      <c r="GL28" s="107"/>
      <c r="GM28" s="107"/>
      <c r="GN28" s="107"/>
      <c r="GO28" s="107"/>
      <c r="GP28" s="107"/>
      <c r="GQ28" s="107"/>
      <c r="GR28" s="107"/>
      <c r="GS28" s="107"/>
      <c r="GT28" s="107"/>
      <c r="GU28" s="107"/>
      <c r="GV28" s="107"/>
      <c r="GW28" s="107"/>
      <c r="GX28" s="107"/>
      <c r="GY28" s="107"/>
      <c r="GZ28" s="107"/>
      <c r="HA28" s="107"/>
      <c r="HB28" s="107"/>
      <c r="HC28" s="107"/>
      <c r="HD28" s="107"/>
      <c r="HE28" s="107"/>
      <c r="HF28" s="107"/>
      <c r="HG28" s="107"/>
      <c r="HH28" s="107"/>
      <c r="HI28" s="107"/>
      <c r="HJ28" s="107"/>
      <c r="HK28" s="107"/>
      <c r="HL28" s="107"/>
      <c r="HM28" s="107"/>
      <c r="HN28" s="107"/>
      <c r="HO28" s="107"/>
      <c r="HP28" s="107"/>
      <c r="HQ28" s="107"/>
      <c r="HR28" s="107"/>
      <c r="HS28" s="107"/>
      <c r="HT28" s="107"/>
      <c r="HU28" s="107"/>
      <c r="HV28" s="107"/>
      <c r="HW28" s="107"/>
      <c r="HX28" s="107"/>
      <c r="HY28" s="107"/>
      <c r="HZ28" s="107"/>
      <c r="IA28" s="107"/>
      <c r="IB28" s="107"/>
      <c r="IC28" s="107"/>
      <c r="ID28" s="107"/>
      <c r="IE28" s="107"/>
      <c r="IF28" s="107"/>
      <c r="IG28" s="107"/>
      <c r="IH28" s="107"/>
      <c r="II28" s="107"/>
      <c r="IJ28" s="107"/>
      <c r="IK28" s="107"/>
      <c r="IL28" s="107"/>
      <c r="IM28" s="107"/>
      <c r="IN28" s="107"/>
      <c r="IO28" s="107"/>
      <c r="IP28" s="107"/>
      <c r="IQ28" s="107"/>
      <c r="IR28" s="107"/>
      <c r="IS28" s="107"/>
      <c r="IT28" s="107"/>
      <c r="IU28" s="107"/>
      <c r="IV28" s="107"/>
      <c r="IW28" s="107"/>
      <c r="IX28" s="107"/>
      <c r="IY28" s="107"/>
      <c r="IZ28" s="107"/>
      <c r="JA28" s="107"/>
      <c r="JB28" s="107"/>
      <c r="JC28" s="107"/>
      <c r="JD28" s="107"/>
      <c r="JE28" s="107"/>
      <c r="JF28" s="107"/>
      <c r="JG28" s="107"/>
      <c r="JH28" s="107"/>
      <c r="JI28" s="107"/>
      <c r="JJ28" s="107"/>
      <c r="JK28" s="107"/>
      <c r="JL28" s="107"/>
      <c r="JM28" s="107"/>
      <c r="JN28" s="107"/>
      <c r="JO28" s="107"/>
      <c r="JP28" s="107"/>
      <c r="JQ28" s="107"/>
      <c r="JR28" s="107"/>
      <c r="JS28" s="107"/>
      <c r="JT28" s="107"/>
      <c r="JU28" s="107"/>
      <c r="JV28" s="107"/>
      <c r="JW28" s="107"/>
      <c r="JX28" s="107"/>
      <c r="JY28" s="107"/>
      <c r="JZ28" s="107"/>
      <c r="KA28" s="107"/>
      <c r="KB28" s="107"/>
      <c r="KC28" s="107"/>
      <c r="KD28" s="107"/>
      <c r="KE28" s="107"/>
      <c r="KF28" s="107"/>
      <c r="KG28" s="107"/>
      <c r="KH28" s="107"/>
      <c r="KI28" s="107"/>
      <c r="KJ28" s="107"/>
      <c r="KK28" s="107"/>
      <c r="KL28" s="107"/>
      <c r="KM28" s="107"/>
      <c r="KN28" s="107"/>
      <c r="KO28" s="107"/>
      <c r="KP28" s="107"/>
      <c r="KQ28" s="107"/>
      <c r="KR28" s="107"/>
      <c r="KS28" s="107"/>
      <c r="KT28" s="107"/>
      <c r="KU28" s="107"/>
      <c r="KV28" s="107"/>
      <c r="KW28" s="107"/>
      <c r="KX28" s="107"/>
      <c r="KY28" s="107"/>
      <c r="KZ28" s="107"/>
      <c r="LA28" s="107"/>
      <c r="LB28" s="107"/>
      <c r="LC28" s="107"/>
      <c r="LD28" s="107"/>
      <c r="LE28" s="107"/>
      <c r="LF28" s="107"/>
      <c r="LG28" s="107"/>
      <c r="LH28" s="107"/>
      <c r="LI28" s="107"/>
      <c r="LJ28" s="107"/>
      <c r="LK28" s="107"/>
      <c r="LL28" s="107"/>
      <c r="LM28" s="107"/>
      <c r="LN28" s="107"/>
      <c r="LO28" s="107"/>
      <c r="LP28" s="107"/>
      <c r="LQ28" s="107"/>
      <c r="LR28" s="107"/>
      <c r="LS28" s="107"/>
      <c r="LT28" s="107"/>
      <c r="LU28" s="107"/>
      <c r="LV28" s="107"/>
      <c r="LW28" s="107"/>
      <c r="LX28" s="107"/>
      <c r="LY28" s="107"/>
      <c r="LZ28" s="107"/>
      <c r="MA28" s="107"/>
      <c r="MB28" s="107"/>
      <c r="MC28" s="107"/>
      <c r="MD28" s="107"/>
      <c r="ME28" s="107"/>
      <c r="MF28" s="107"/>
      <c r="MG28" s="107"/>
      <c r="MH28" s="107"/>
      <c r="MI28" s="107"/>
      <c r="MJ28" s="107"/>
      <c r="MK28" s="107"/>
      <c r="ML28" s="107"/>
      <c r="MM28" s="107"/>
      <c r="MN28" s="107"/>
      <c r="MO28" s="107"/>
      <c r="MP28" s="107"/>
      <c r="MQ28" s="107"/>
      <c r="MR28" s="107"/>
      <c r="MS28" s="107"/>
      <c r="MT28" s="107"/>
      <c r="MU28" s="107"/>
      <c r="MV28" s="107"/>
      <c r="MW28" s="107"/>
      <c r="MX28" s="107"/>
      <c r="MY28" s="107"/>
      <c r="MZ28" s="107"/>
      <c r="NA28" s="107"/>
      <c r="NB28" s="107"/>
      <c r="NC28" s="107"/>
      <c r="ND28" s="107"/>
      <c r="NE28" s="107"/>
      <c r="NF28" s="107"/>
      <c r="NG28" s="107"/>
      <c r="NH28" s="107"/>
      <c r="NI28" s="107"/>
      <c r="NJ28" s="107"/>
      <c r="NK28" s="107"/>
      <c r="NL28" s="107"/>
      <c r="NM28" s="107"/>
      <c r="NN28" s="107"/>
      <c r="NO28" s="107"/>
      <c r="NP28" s="107"/>
      <c r="NQ28" s="107"/>
      <c r="NR28" s="107"/>
      <c r="NS28" s="107"/>
      <c r="NT28" s="107"/>
      <c r="NU28" s="107"/>
      <c r="NV28" s="107"/>
      <c r="NW28" s="107"/>
      <c r="NX28" s="107"/>
      <c r="NY28" s="107"/>
      <c r="NZ28" s="107"/>
      <c r="OA28" s="107"/>
      <c r="OB28" s="107"/>
      <c r="OC28" s="107"/>
      <c r="OD28" s="107"/>
      <c r="OE28" s="107"/>
      <c r="OF28" s="107"/>
      <c r="OG28" s="107"/>
      <c r="OH28" s="107"/>
      <c r="OI28" s="107"/>
      <c r="OJ28" s="107"/>
      <c r="OK28" s="107"/>
      <c r="OL28" s="107"/>
      <c r="OM28" s="107"/>
      <c r="ON28" s="107"/>
      <c r="OO28" s="107"/>
      <c r="OP28" s="107"/>
      <c r="OQ28" s="107"/>
      <c r="OR28" s="107"/>
      <c r="OS28" s="107"/>
      <c r="OT28" s="107"/>
      <c r="OU28" s="107"/>
      <c r="OV28" s="107"/>
      <c r="OW28" s="107"/>
      <c r="OX28" s="107"/>
      <c r="OY28" s="107"/>
      <c r="OZ28" s="107"/>
      <c r="PA28" s="107"/>
      <c r="PB28" s="107"/>
      <c r="PC28" s="107"/>
      <c r="PD28" s="107"/>
      <c r="PE28" s="107"/>
      <c r="PF28" s="107"/>
      <c r="PG28" s="107"/>
      <c r="PH28" s="107"/>
      <c r="PI28" s="107"/>
      <c r="PJ28" s="107"/>
      <c r="PK28" s="107"/>
      <c r="PL28" s="107"/>
      <c r="PM28" s="107"/>
      <c r="PN28" s="107"/>
      <c r="PO28" s="107"/>
      <c r="PP28" s="107"/>
      <c r="PQ28" s="107"/>
      <c r="PR28" s="107"/>
      <c r="PS28" s="107"/>
      <c r="PT28" s="107"/>
      <c r="PU28" s="107"/>
      <c r="PV28" s="107"/>
      <c r="PW28" s="107"/>
      <c r="PX28" s="107"/>
      <c r="PY28" s="107"/>
      <c r="PZ28" s="107"/>
      <c r="QA28" s="107"/>
      <c r="QB28" s="107"/>
      <c r="QC28" s="107"/>
      <c r="QD28" s="107"/>
      <c r="QE28" s="107"/>
      <c r="QF28" s="107"/>
      <c r="QG28" s="107"/>
      <c r="QH28" s="107"/>
      <c r="QI28" s="107"/>
      <c r="QJ28" s="107"/>
      <c r="QK28" s="107"/>
      <c r="QL28" s="107"/>
      <c r="QM28" s="107"/>
      <c r="QN28" s="107"/>
      <c r="QO28" s="107"/>
      <c r="QP28" s="107"/>
      <c r="QQ28" s="107"/>
      <c r="QR28" s="107"/>
      <c r="QS28" s="107"/>
      <c r="QT28" s="107"/>
      <c r="QU28" s="107"/>
      <c r="QV28" s="107"/>
      <c r="QW28" s="107"/>
      <c r="QX28" s="107"/>
      <c r="QY28" s="107"/>
      <c r="QZ28" s="107"/>
      <c r="RA28" s="107"/>
      <c r="RB28" s="107"/>
      <c r="RC28" s="107"/>
      <c r="RD28" s="107"/>
      <c r="RE28" s="107"/>
      <c r="RF28" s="107"/>
      <c r="RG28" s="107"/>
      <c r="RH28" s="107"/>
      <c r="RI28" s="107"/>
      <c r="RJ28" s="107"/>
      <c r="RK28" s="107"/>
      <c r="RL28" s="107"/>
      <c r="RM28" s="107"/>
      <c r="RN28" s="107"/>
      <c r="RO28" s="107"/>
      <c r="RP28" s="107"/>
      <c r="RQ28" s="107"/>
      <c r="RR28" s="107"/>
      <c r="RS28" s="107"/>
      <c r="RT28" s="107"/>
      <c r="RU28" s="107"/>
      <c r="RV28" s="107"/>
      <c r="RW28" s="107"/>
      <c r="RX28" s="107"/>
      <c r="RY28" s="107"/>
      <c r="RZ28" s="107"/>
      <c r="SA28" s="107"/>
      <c r="SB28" s="107"/>
      <c r="SC28" s="107"/>
      <c r="SD28" s="107"/>
      <c r="SE28" s="107"/>
      <c r="SF28" s="107"/>
      <c r="SG28" s="107"/>
      <c r="SH28" s="107"/>
      <c r="SI28" s="107"/>
      <c r="SJ28" s="107"/>
      <c r="SK28" s="107"/>
      <c r="SL28" s="107"/>
      <c r="SM28" s="107"/>
      <c r="SN28" s="107"/>
      <c r="SO28" s="107"/>
      <c r="SP28" s="107"/>
      <c r="SQ28" s="107"/>
      <c r="SR28" s="107"/>
      <c r="SS28" s="107"/>
      <c r="ST28" s="107"/>
      <c r="SU28" s="107"/>
      <c r="SV28" s="107"/>
      <c r="SW28" s="107"/>
      <c r="SX28" s="107"/>
      <c r="SY28" s="107"/>
      <c r="SZ28" s="107"/>
      <c r="TA28" s="107"/>
      <c r="TB28" s="107"/>
      <c r="TC28" s="107"/>
      <c r="TD28" s="107"/>
      <c r="TE28" s="107"/>
      <c r="TF28" s="107"/>
      <c r="TG28" s="107"/>
      <c r="TH28" s="107"/>
      <c r="TI28" s="107"/>
      <c r="TJ28" s="107"/>
      <c r="TK28" s="107"/>
      <c r="TL28" s="107"/>
      <c r="TM28" s="107"/>
      <c r="TN28" s="107"/>
      <c r="TO28" s="107"/>
      <c r="TP28" s="107"/>
      <c r="TQ28" s="107"/>
      <c r="TR28" s="107"/>
      <c r="TS28" s="107"/>
      <c r="TT28" s="107"/>
      <c r="TU28" s="107"/>
      <c r="TV28" s="107"/>
      <c r="TW28" s="107"/>
      <c r="TX28" s="107"/>
      <c r="TY28" s="107"/>
      <c r="TZ28" s="107"/>
      <c r="UA28" s="107"/>
      <c r="UB28" s="107"/>
      <c r="UC28" s="107"/>
      <c r="UD28" s="107"/>
      <c r="UE28" s="107"/>
      <c r="UF28" s="107"/>
      <c r="UG28" s="107"/>
      <c r="UH28" s="107"/>
      <c r="UI28" s="107"/>
      <c r="UJ28" s="107"/>
      <c r="UK28" s="107"/>
      <c r="UL28" s="107"/>
      <c r="UM28" s="107"/>
      <c r="UN28" s="107"/>
      <c r="UO28" s="107"/>
      <c r="UP28" s="107"/>
      <c r="UQ28" s="107"/>
      <c r="UR28" s="107"/>
      <c r="US28" s="107"/>
      <c r="UT28" s="107"/>
      <c r="UU28" s="107"/>
      <c r="UV28" s="107"/>
      <c r="UW28" s="107"/>
      <c r="UX28" s="107"/>
      <c r="UY28" s="107"/>
      <c r="UZ28" s="107"/>
      <c r="VA28" s="107"/>
      <c r="VB28" s="107"/>
      <c r="VC28" s="107"/>
      <c r="VD28" s="107"/>
      <c r="VE28" s="107"/>
      <c r="VF28" s="107"/>
      <c r="VG28" s="107"/>
      <c r="VH28" s="107"/>
      <c r="VI28" s="107"/>
      <c r="VJ28" s="107"/>
      <c r="VK28" s="107"/>
      <c r="VL28" s="107"/>
      <c r="VM28" s="107"/>
      <c r="VN28" s="107"/>
      <c r="VO28" s="107"/>
      <c r="VP28" s="107"/>
      <c r="VQ28" s="107"/>
      <c r="VR28" s="107"/>
      <c r="VS28" s="107"/>
      <c r="VT28" s="107"/>
      <c r="VU28" s="107"/>
      <c r="VV28" s="107"/>
      <c r="VW28" s="107"/>
      <c r="VX28" s="107"/>
      <c r="VY28" s="107"/>
      <c r="VZ28" s="107"/>
      <c r="WA28" s="107"/>
      <c r="WB28" s="107"/>
      <c r="WC28" s="107"/>
      <c r="WD28" s="107"/>
      <c r="WE28" s="107"/>
      <c r="WF28" s="107"/>
      <c r="WG28" s="107"/>
      <c r="WH28" s="107"/>
      <c r="WI28" s="107"/>
      <c r="WJ28" s="107"/>
      <c r="WK28" s="107"/>
      <c r="WL28" s="107"/>
      <c r="WM28" s="107"/>
      <c r="WN28" s="107"/>
      <c r="WO28" s="107"/>
      <c r="WP28" s="107"/>
      <c r="WQ28" s="107"/>
      <c r="WR28" s="107"/>
      <c r="WS28" s="107"/>
      <c r="WT28" s="107"/>
      <c r="WU28" s="107"/>
      <c r="WV28" s="107"/>
      <c r="WW28" s="107"/>
      <c r="WX28" s="107"/>
      <c r="WY28" s="107"/>
      <c r="WZ28" s="107"/>
      <c r="XA28" s="107"/>
      <c r="XB28" s="107"/>
      <c r="XC28" s="107"/>
      <c r="XD28" s="107"/>
      <c r="XE28" s="107"/>
      <c r="XF28" s="107"/>
      <c r="XG28" s="107"/>
      <c r="XH28" s="107"/>
      <c r="XI28" s="107"/>
      <c r="XJ28" s="107"/>
      <c r="XK28" s="107"/>
      <c r="XL28" s="107"/>
      <c r="XM28" s="107"/>
      <c r="XN28" s="107"/>
      <c r="XO28" s="107"/>
      <c r="XP28" s="107"/>
      <c r="XQ28" s="107"/>
      <c r="XR28" s="107"/>
      <c r="XS28" s="107"/>
      <c r="XT28" s="107"/>
      <c r="XU28" s="107"/>
      <c r="XV28" s="107"/>
      <c r="XW28" s="107"/>
      <c r="XX28" s="107"/>
      <c r="XY28" s="107"/>
      <c r="XZ28" s="107"/>
      <c r="YA28" s="107"/>
      <c r="YB28" s="107"/>
      <c r="YC28" s="107"/>
      <c r="YD28" s="107"/>
      <c r="YE28" s="107"/>
      <c r="YF28" s="107"/>
      <c r="YG28" s="107"/>
      <c r="YH28" s="107"/>
      <c r="YI28" s="107"/>
      <c r="YJ28" s="107"/>
      <c r="YK28" s="107"/>
      <c r="YL28" s="107"/>
      <c r="YM28" s="107"/>
      <c r="YN28" s="107"/>
      <c r="YO28" s="107"/>
      <c r="YP28" s="107"/>
      <c r="YQ28" s="107"/>
      <c r="YR28" s="107"/>
      <c r="YS28" s="107"/>
      <c r="YT28" s="107"/>
      <c r="YU28" s="107"/>
      <c r="YV28" s="107"/>
      <c r="YW28" s="107"/>
      <c r="YX28" s="107"/>
      <c r="YY28" s="107"/>
      <c r="YZ28" s="107"/>
      <c r="ZA28" s="107"/>
      <c r="ZB28" s="107"/>
      <c r="ZC28" s="107"/>
      <c r="ZD28" s="107"/>
      <c r="ZE28" s="107"/>
      <c r="ZF28" s="107"/>
      <c r="ZG28" s="107"/>
      <c r="ZH28" s="107"/>
      <c r="ZI28" s="107"/>
      <c r="ZJ28" s="107"/>
      <c r="ZK28" s="107"/>
      <c r="ZL28" s="107"/>
      <c r="ZM28" s="107"/>
      <c r="ZN28" s="107"/>
      <c r="ZO28" s="107"/>
      <c r="ZP28" s="107"/>
      <c r="ZQ28" s="107"/>
      <c r="ZR28" s="107"/>
      <c r="ZS28" s="107"/>
      <c r="ZT28" s="107"/>
      <c r="ZU28" s="107"/>
      <c r="ZV28" s="107"/>
      <c r="ZW28" s="107"/>
      <c r="ZX28" s="107"/>
      <c r="ZY28" s="107"/>
      <c r="ZZ28" s="107"/>
      <c r="AAA28" s="107"/>
      <c r="AAB28" s="107"/>
      <c r="AAC28" s="107"/>
      <c r="AAD28" s="107"/>
      <c r="AAE28" s="107"/>
      <c r="AAF28" s="107"/>
      <c r="AAG28" s="107"/>
      <c r="AAH28" s="107"/>
      <c r="AAI28" s="107"/>
      <c r="AAJ28" s="107"/>
      <c r="AAK28" s="107"/>
      <c r="AAL28" s="107"/>
      <c r="AAM28" s="107"/>
      <c r="AAN28" s="107"/>
      <c r="AAO28" s="107"/>
      <c r="AAP28" s="107"/>
      <c r="AAQ28" s="107"/>
      <c r="AAR28" s="107"/>
      <c r="AAS28" s="107"/>
      <c r="AAT28" s="107"/>
      <c r="AAU28" s="107"/>
      <c r="AAV28" s="107"/>
      <c r="AAW28" s="107"/>
      <c r="AAX28" s="107"/>
      <c r="AAY28" s="107"/>
      <c r="AAZ28" s="107"/>
      <c r="ABA28" s="107"/>
      <c r="ABB28" s="107"/>
      <c r="ABC28" s="107"/>
      <c r="ABD28" s="107"/>
      <c r="ABE28" s="107"/>
      <c r="ABF28" s="107"/>
      <c r="ABG28" s="107"/>
      <c r="ABH28" s="107"/>
      <c r="ABI28" s="107"/>
      <c r="ABJ28" s="107"/>
      <c r="ABK28" s="107"/>
      <c r="ABL28" s="107"/>
      <c r="ABM28" s="107"/>
      <c r="ABN28" s="107"/>
      <c r="ABO28" s="107"/>
      <c r="ABP28" s="107"/>
      <c r="ABQ28" s="107"/>
      <c r="ABR28" s="107"/>
      <c r="ABS28" s="107"/>
      <c r="ABT28" s="107"/>
      <c r="ABU28" s="107"/>
      <c r="ABV28" s="107"/>
      <c r="ABW28" s="107"/>
      <c r="ABX28" s="107"/>
      <c r="ABY28" s="107"/>
      <c r="ABZ28" s="107"/>
      <c r="ACA28" s="107"/>
      <c r="ACB28" s="107"/>
      <c r="ACC28" s="107"/>
      <c r="ACD28" s="107"/>
      <c r="ACE28" s="107"/>
      <c r="ACF28" s="107"/>
      <c r="ACG28" s="107"/>
      <c r="ACH28" s="107"/>
      <c r="ACI28" s="107"/>
      <c r="ACJ28" s="107"/>
      <c r="ACK28" s="107"/>
      <c r="ACL28" s="107"/>
      <c r="ACM28" s="107"/>
      <c r="ACN28" s="107"/>
      <c r="ACO28" s="107"/>
      <c r="ACP28" s="107"/>
      <c r="ACQ28" s="107"/>
      <c r="ACR28" s="107"/>
      <c r="ACS28" s="107"/>
      <c r="ACT28" s="107"/>
      <c r="ACU28" s="107"/>
      <c r="ACV28" s="107"/>
      <c r="ACW28" s="107"/>
      <c r="ACX28" s="107"/>
      <c r="ACY28" s="107"/>
      <c r="ACZ28" s="107"/>
      <c r="ADA28" s="107"/>
      <c r="ADB28" s="107"/>
      <c r="ADC28" s="107"/>
      <c r="ADD28" s="107"/>
      <c r="ADE28" s="107"/>
      <c r="ADF28" s="107"/>
      <c r="ADG28" s="107"/>
      <c r="ADH28" s="107"/>
      <c r="ADI28" s="107"/>
      <c r="ADJ28" s="107"/>
      <c r="ADK28" s="107"/>
      <c r="ADL28" s="107"/>
      <c r="ADM28" s="107"/>
      <c r="ADN28" s="107"/>
      <c r="ADO28" s="107"/>
      <c r="ADP28" s="108"/>
      <c r="ADQ28" s="108"/>
      <c r="ADR28" s="108"/>
      <c r="ADS28" s="108"/>
      <c r="ADT28" s="108"/>
      <c r="ADU28" s="108"/>
      <c r="ADV28" s="108"/>
      <c r="ADW28" s="108"/>
      <c r="ADX28" s="108"/>
      <c r="ADY28" s="108"/>
      <c r="ADZ28" s="108"/>
      <c r="AEA28" s="108"/>
      <c r="AEB28" s="108"/>
      <c r="AEC28" s="108"/>
      <c r="AED28" s="108"/>
      <c r="AEE28" s="108"/>
      <c r="AEF28" s="108"/>
      <c r="AEG28" s="108"/>
      <c r="AEH28" s="108"/>
      <c r="AEI28" s="108"/>
      <c r="AEJ28" s="108"/>
      <c r="AEK28" s="108"/>
      <c r="AEL28" s="108"/>
      <c r="AEM28" s="108"/>
      <c r="AEN28" s="108"/>
      <c r="AEO28" s="108"/>
      <c r="AEP28" s="108"/>
      <c r="AEQ28" s="108"/>
      <c r="AER28" s="108"/>
      <c r="AES28" s="108"/>
      <c r="AET28" s="108"/>
      <c r="AEU28" s="108"/>
      <c r="AEV28" s="108"/>
      <c r="AEW28" s="108"/>
      <c r="AEX28" s="108"/>
      <c r="AEY28" s="108"/>
      <c r="AEZ28" s="108"/>
      <c r="AFA28" s="108"/>
      <c r="AFB28" s="108"/>
      <c r="AFC28" s="108"/>
      <c r="AFD28" s="108"/>
      <c r="AFE28" s="108"/>
      <c r="AFF28" s="108"/>
      <c r="AFG28" s="108"/>
      <c r="AFH28" s="108"/>
      <c r="AFI28" s="108"/>
      <c r="AFJ28" s="108"/>
      <c r="AFK28" s="108"/>
      <c r="AFL28" s="108"/>
      <c r="AFM28" s="108"/>
      <c r="AFN28" s="108"/>
      <c r="AFO28" s="108"/>
      <c r="AFP28" s="108"/>
      <c r="AFQ28" s="108"/>
      <c r="AFR28" s="108"/>
      <c r="AFS28" s="108"/>
      <c r="AFT28" s="108"/>
      <c r="AFU28" s="108"/>
      <c r="AFV28" s="108"/>
      <c r="AFW28" s="108"/>
      <c r="AFX28" s="108"/>
      <c r="AFY28" s="108"/>
      <c r="AFZ28" s="108"/>
      <c r="AGA28" s="108"/>
      <c r="AGB28" s="108"/>
      <c r="AGC28" s="108"/>
      <c r="AGD28" s="108"/>
      <c r="AGE28" s="108"/>
      <c r="AGF28" s="108"/>
      <c r="AGG28" s="108"/>
      <c r="AGH28" s="108"/>
      <c r="AGI28" s="108"/>
      <c r="AGJ28" s="108"/>
      <c r="AGK28" s="108"/>
      <c r="AGL28" s="108"/>
      <c r="AGM28" s="108"/>
      <c r="AGN28" s="108"/>
      <c r="AGO28" s="108"/>
      <c r="AGP28" s="108"/>
      <c r="AGQ28" s="108"/>
      <c r="AGR28" s="108"/>
      <c r="AGS28" s="108"/>
      <c r="AGT28" s="108"/>
      <c r="AGU28" s="108"/>
      <c r="AGV28" s="108"/>
      <c r="AGW28" s="108"/>
      <c r="AGX28" s="108"/>
      <c r="AGY28" s="108"/>
      <c r="AGZ28" s="108"/>
      <c r="AHA28" s="108"/>
      <c r="AHB28" s="108"/>
      <c r="AHC28" s="108"/>
      <c r="AHD28" s="108"/>
      <c r="AHE28" s="108"/>
      <c r="AHF28" s="108"/>
      <c r="AHG28" s="108"/>
      <c r="AHH28" s="108"/>
      <c r="AHI28" s="108"/>
      <c r="AHJ28" s="108"/>
      <c r="AHK28" s="108"/>
      <c r="AHL28" s="108"/>
      <c r="AHM28" s="108"/>
      <c r="AHN28" s="108"/>
      <c r="AHO28" s="108"/>
      <c r="AHP28" s="108"/>
      <c r="AHQ28" s="108"/>
      <c r="AHR28" s="108"/>
      <c r="AHS28" s="108"/>
      <c r="AHT28" s="108"/>
      <c r="AHU28" s="108"/>
      <c r="AHV28" s="108"/>
      <c r="AHW28" s="108"/>
      <c r="AHX28" s="108"/>
      <c r="AHY28" s="108"/>
      <c r="AHZ28" s="108"/>
      <c r="AIA28" s="108"/>
      <c r="AIB28" s="108"/>
      <c r="AIC28" s="108"/>
      <c r="AID28" s="108"/>
      <c r="AIE28" s="108"/>
      <c r="AIF28" s="108"/>
      <c r="AIG28" s="108"/>
      <c r="AIH28" s="108"/>
      <c r="AII28" s="108"/>
      <c r="AIJ28" s="108"/>
      <c r="AIK28" s="108"/>
      <c r="AIL28" s="108"/>
      <c r="AIM28" s="108"/>
      <c r="AIN28" s="108"/>
      <c r="AIO28" s="108"/>
      <c r="AIP28" s="108"/>
      <c r="AIQ28" s="108"/>
      <c r="AIR28" s="108"/>
      <c r="AIS28" s="108"/>
      <c r="AIT28" s="108"/>
      <c r="AIU28" s="108"/>
      <c r="AIV28" s="108"/>
      <c r="AIW28" s="108"/>
      <c r="AIX28" s="108"/>
      <c r="AIY28" s="108"/>
      <c r="AIZ28" s="108"/>
      <c r="AJA28" s="108"/>
      <c r="AJB28" s="108"/>
      <c r="AJC28" s="108"/>
      <c r="AJD28" s="108"/>
      <c r="AJE28" s="108"/>
      <c r="AJF28" s="108"/>
      <c r="AJG28" s="108"/>
      <c r="AJH28" s="108"/>
      <c r="AJI28" s="108"/>
      <c r="AJJ28" s="108"/>
      <c r="AJK28" s="108"/>
      <c r="AJL28" s="108"/>
      <c r="AJM28" s="108"/>
      <c r="AJN28" s="108"/>
      <c r="AJO28" s="108"/>
      <c r="AJP28" s="108"/>
      <c r="AJQ28" s="108"/>
      <c r="AJR28" s="108"/>
      <c r="AJS28" s="108"/>
      <c r="AJT28" s="108"/>
      <c r="AJU28" s="108"/>
      <c r="AJV28" s="108"/>
      <c r="AJW28" s="108"/>
      <c r="AJX28" s="108"/>
      <c r="AJY28" s="108"/>
      <c r="AJZ28" s="108"/>
      <c r="AKA28" s="108"/>
      <c r="AKB28" s="108"/>
      <c r="AKC28" s="108"/>
      <c r="AKD28" s="108"/>
      <c r="AKE28" s="108"/>
      <c r="AKF28" s="108"/>
      <c r="AKG28" s="108"/>
      <c r="AKH28" s="108"/>
      <c r="AKI28" s="108"/>
      <c r="AKJ28" s="108"/>
      <c r="AKK28" s="108"/>
      <c r="AKL28" s="108"/>
      <c r="AKM28" s="108"/>
      <c r="AKN28" s="108"/>
      <c r="AKO28" s="108"/>
      <c r="AKP28" s="108"/>
      <c r="AKQ28" s="108"/>
      <c r="AKR28" s="108"/>
      <c r="AKS28" s="108"/>
      <c r="AKT28" s="108"/>
      <c r="AKU28" s="108"/>
      <c r="AKV28" s="108"/>
      <c r="AKW28" s="108"/>
      <c r="AKX28" s="108"/>
      <c r="AKY28" s="108"/>
      <c r="AKZ28" s="108"/>
      <c r="ALA28" s="108"/>
      <c r="ALB28" s="108"/>
      <c r="ALC28" s="108"/>
      <c r="ALD28" s="108"/>
      <c r="ALE28" s="108"/>
      <c r="ALF28" s="108"/>
      <c r="ALG28" s="108"/>
      <c r="ALH28" s="108"/>
      <c r="ALI28" s="108"/>
      <c r="ALJ28" s="108"/>
      <c r="ALK28" s="108"/>
      <c r="ALL28" s="108"/>
      <c r="ALM28" s="108"/>
      <c r="ALN28" s="108"/>
      <c r="ALO28" s="108"/>
      <c r="ALP28" s="108"/>
      <c r="ALQ28" s="108"/>
      <c r="ALR28" s="108"/>
      <c r="ALS28" s="108"/>
      <c r="ALT28" s="108"/>
      <c r="ALU28" s="108"/>
      <c r="ALV28" s="108"/>
      <c r="ALW28" s="108"/>
      <c r="ALX28" s="108"/>
      <c r="ALY28" s="108"/>
      <c r="ALZ28" s="108"/>
      <c r="AMA28" s="108"/>
      <c r="AMB28" s="108"/>
      <c r="AMC28" s="108"/>
      <c r="AMD28" s="108"/>
      <c r="AME28" s="108"/>
      <c r="AMF28" s="108"/>
      <c r="AMG28" s="108"/>
      <c r="AMH28" s="108"/>
      <c r="AMI28" s="108"/>
      <c r="AMJ28" s="108"/>
      <c r="AMK28" s="108"/>
      <c r="AML28" s="108"/>
      <c r="AMM28" s="108"/>
      <c r="AMN28" s="108"/>
      <c r="AMO28" s="108"/>
      <c r="AMP28" s="108"/>
      <c r="AMQ28" s="108"/>
      <c r="AMR28" s="108"/>
      <c r="AMS28" s="108"/>
      <c r="AMT28" s="108"/>
      <c r="AMU28" s="108"/>
      <c r="AMV28" s="108"/>
      <c r="AMW28" s="108"/>
      <c r="AMX28" s="108"/>
      <c r="AMY28" s="108"/>
      <c r="AMZ28" s="108"/>
      <c r="ANA28" s="108"/>
      <c r="ANB28" s="108"/>
      <c r="ANC28" s="108"/>
      <c r="AND28" s="108"/>
      <c r="ANE28" s="108"/>
      <c r="ANF28" s="108"/>
      <c r="ANG28" s="108"/>
      <c r="ANH28" s="108"/>
      <c r="ANI28" s="108"/>
      <c r="ANJ28" s="108"/>
      <c r="ANK28" s="108"/>
      <c r="ANL28" s="108"/>
      <c r="ANM28" s="108"/>
      <c r="ANN28" s="108"/>
      <c r="ANO28" s="108"/>
      <c r="ANP28" s="108"/>
      <c r="ANQ28" s="108"/>
      <c r="ANR28" s="108"/>
      <c r="ANS28" s="108"/>
      <c r="ANT28" s="108"/>
      <c r="ANU28" s="108"/>
      <c r="ANV28" s="108"/>
      <c r="ANW28" s="108"/>
      <c r="ANX28" s="108"/>
      <c r="ANY28" s="108"/>
      <c r="ANZ28" s="108"/>
      <c r="AOA28" s="108"/>
      <c r="AOB28" s="108"/>
      <c r="AOC28" s="108"/>
      <c r="AOD28" s="108"/>
      <c r="AOE28" s="108"/>
      <c r="AOF28" s="108"/>
      <c r="AOG28" s="108"/>
      <c r="AOH28" s="108"/>
      <c r="AOI28" s="108"/>
      <c r="AOJ28" s="108"/>
      <c r="AOK28" s="108"/>
      <c r="AOL28" s="108"/>
      <c r="AOM28" s="108"/>
      <c r="AON28" s="108"/>
      <c r="AOO28" s="108"/>
      <c r="AOP28" s="108"/>
      <c r="AOQ28" s="108"/>
      <c r="AOR28" s="108"/>
      <c r="AOS28" s="108"/>
      <c r="AOT28" s="108"/>
      <c r="AOU28" s="108"/>
      <c r="AOV28" s="108"/>
      <c r="AOW28" s="108"/>
      <c r="AOX28" s="108"/>
      <c r="AOY28" s="108"/>
      <c r="AOZ28" s="108"/>
      <c r="APA28" s="108"/>
      <c r="APB28" s="108"/>
      <c r="APC28" s="108"/>
      <c r="APD28" s="108"/>
      <c r="APE28" s="108"/>
      <c r="APF28" s="108"/>
      <c r="APG28" s="108"/>
      <c r="APH28" s="108"/>
      <c r="API28" s="108"/>
      <c r="APJ28" s="108"/>
      <c r="APK28" s="108"/>
      <c r="APL28" s="108"/>
      <c r="APM28" s="108"/>
      <c r="APN28" s="108"/>
      <c r="APO28" s="108"/>
      <c r="APP28" s="108"/>
      <c r="APQ28" s="108"/>
      <c r="APR28" s="108"/>
      <c r="APS28" s="108"/>
      <c r="APT28" s="108"/>
      <c r="APU28" s="108"/>
      <c r="APV28" s="108"/>
      <c r="APW28" s="108"/>
      <c r="APX28" s="108"/>
      <c r="APY28" s="108"/>
      <c r="APZ28" s="108"/>
      <c r="AQA28" s="108"/>
      <c r="AQB28" s="108"/>
      <c r="AQC28" s="108"/>
      <c r="AQD28" s="108"/>
      <c r="AQE28" s="108"/>
      <c r="AQF28" s="108"/>
      <c r="AQG28" s="108"/>
      <c r="AQH28" s="108"/>
      <c r="AQI28" s="108"/>
      <c r="AQJ28" s="108"/>
      <c r="AQK28" s="108"/>
      <c r="AQL28" s="108"/>
      <c r="AQM28" s="108"/>
      <c r="AQN28" s="108"/>
      <c r="AQO28" s="108"/>
      <c r="AQP28" s="108"/>
      <c r="AQQ28" s="108"/>
      <c r="AQR28" s="108"/>
      <c r="AQS28" s="108"/>
      <c r="AQT28" s="108"/>
      <c r="AQU28" s="108"/>
      <c r="AQV28" s="108"/>
      <c r="AQW28" s="108"/>
      <c r="AQX28" s="108"/>
      <c r="AQY28" s="108"/>
      <c r="AQZ28" s="108"/>
      <c r="ARA28" s="108"/>
      <c r="ARB28" s="108"/>
      <c r="ARC28" s="108"/>
      <c r="ARD28" s="108"/>
      <c r="ARE28" s="108"/>
      <c r="ARF28" s="108"/>
      <c r="ARG28" s="108"/>
      <c r="ARH28" s="108"/>
      <c r="ARI28" s="108"/>
      <c r="ARJ28" s="108"/>
      <c r="ARK28" s="108"/>
      <c r="ARL28" s="108"/>
      <c r="ARM28" s="108"/>
      <c r="ARN28" s="108"/>
      <c r="ARO28" s="108"/>
      <c r="ARP28" s="108"/>
      <c r="ARQ28" s="108"/>
      <c r="ARR28" s="108"/>
      <c r="ARS28" s="108"/>
      <c r="ART28" s="108"/>
      <c r="ARU28" s="108"/>
      <c r="ARV28" s="108"/>
      <c r="ARW28" s="108"/>
      <c r="ARX28" s="108"/>
      <c r="ARY28" s="108"/>
      <c r="ARZ28" s="108"/>
      <c r="ASA28" s="108"/>
      <c r="ASB28" s="108"/>
      <c r="ASC28" s="108"/>
      <c r="ASD28" s="108"/>
      <c r="ASE28" s="108"/>
      <c r="ASF28" s="108"/>
      <c r="ASG28" s="108"/>
      <c r="ASH28" s="108"/>
      <c r="ASI28" s="108"/>
      <c r="ASJ28" s="108"/>
      <c r="ASK28" s="108"/>
      <c r="ASL28" s="108"/>
      <c r="ASM28" s="108"/>
      <c r="ASN28" s="108"/>
      <c r="ASO28" s="108"/>
      <c r="ASP28" s="108"/>
      <c r="ASQ28" s="108"/>
      <c r="ASR28" s="108"/>
      <c r="ASS28" s="108"/>
      <c r="AST28" s="108"/>
      <c r="ASU28" s="108"/>
      <c r="ASV28" s="108"/>
      <c r="ASW28" s="108"/>
      <c r="ASX28" s="108"/>
      <c r="ASY28" s="108"/>
      <c r="ASZ28" s="108"/>
      <c r="ATA28" s="108"/>
      <c r="ATB28" s="108"/>
      <c r="ATC28" s="108"/>
      <c r="ATD28" s="108"/>
      <c r="ATE28" s="108"/>
      <c r="ATF28" s="108"/>
      <c r="ATG28" s="108"/>
      <c r="ATH28" s="108"/>
      <c r="ATI28" s="108"/>
      <c r="ATJ28" s="108"/>
      <c r="ATK28" s="108"/>
      <c r="ATL28" s="108"/>
      <c r="ATM28" s="108"/>
      <c r="ATN28" s="108"/>
      <c r="ATO28" s="108"/>
      <c r="ATP28" s="108"/>
      <c r="ATQ28" s="108"/>
      <c r="ATR28" s="108"/>
      <c r="ATS28" s="108"/>
      <c r="ATT28" s="108"/>
      <c r="ATU28" s="108"/>
      <c r="ATV28" s="108"/>
      <c r="ATW28" s="108"/>
      <c r="ATX28" s="108"/>
      <c r="ATY28" s="108"/>
      <c r="ATZ28" s="108"/>
      <c r="AUA28" s="108"/>
      <c r="AUB28" s="108"/>
      <c r="AUC28" s="108"/>
      <c r="AUD28" s="108"/>
      <c r="AUE28" s="108"/>
      <c r="AUF28" s="108"/>
      <c r="AUG28" s="108"/>
      <c r="AUH28" s="108"/>
      <c r="AUI28" s="108"/>
      <c r="AUJ28" s="108"/>
      <c r="AUK28" s="108"/>
      <c r="AUL28" s="108"/>
      <c r="AUM28" s="108"/>
      <c r="AUN28" s="108"/>
      <c r="AUO28" s="108"/>
      <c r="AUP28" s="108"/>
      <c r="AUQ28" s="108"/>
      <c r="AUR28" s="108"/>
      <c r="AUS28" s="108"/>
      <c r="AUT28" s="108"/>
      <c r="AUU28" s="108"/>
      <c r="AUV28" s="108"/>
      <c r="AUW28" s="108"/>
      <c r="AUX28" s="108"/>
      <c r="AUY28" s="108"/>
      <c r="AUZ28" s="108"/>
      <c r="AVA28" s="108"/>
      <c r="AVB28" s="108"/>
      <c r="AVC28" s="108"/>
      <c r="AVD28" s="108"/>
      <c r="AVE28" s="108"/>
      <c r="AVF28" s="108"/>
      <c r="AVG28" s="108"/>
      <c r="AVH28" s="108"/>
      <c r="AVI28" s="108"/>
      <c r="AVJ28" s="108"/>
      <c r="AVK28" s="108"/>
      <c r="AVL28" s="108"/>
      <c r="AVM28" s="108"/>
      <c r="AVN28" s="108"/>
      <c r="AVO28" s="108"/>
      <c r="AVP28" s="108"/>
      <c r="AVQ28" s="108"/>
      <c r="AVR28" s="108"/>
      <c r="AVS28" s="108"/>
      <c r="AVT28" s="108"/>
      <c r="AVU28" s="108"/>
      <c r="AVV28" s="108"/>
      <c r="AVW28" s="108"/>
      <c r="AVX28" s="108"/>
      <c r="AVY28" s="108"/>
      <c r="AVZ28" s="108"/>
      <c r="AWA28" s="108"/>
      <c r="AWB28" s="108"/>
      <c r="AWC28" s="108"/>
      <c r="AWD28" s="108"/>
      <c r="AWE28" s="108"/>
      <c r="AWF28" s="108"/>
      <c r="AWG28" s="108"/>
      <c r="AWH28" s="108"/>
      <c r="AWI28" s="108"/>
      <c r="AWJ28" s="108"/>
      <c r="AWK28" s="108"/>
      <c r="AWL28" s="108"/>
      <c r="AWM28" s="108"/>
      <c r="AWN28" s="108"/>
      <c r="AWO28" s="108"/>
      <c r="AWP28" s="108"/>
      <c r="AWQ28" s="108"/>
      <c r="AWR28" s="108"/>
      <c r="AWS28" s="108"/>
      <c r="AWT28" s="108"/>
      <c r="AWU28" s="108"/>
      <c r="AWV28" s="108"/>
      <c r="AWW28" s="108"/>
      <c r="AWX28" s="108"/>
      <c r="AWY28" s="108"/>
      <c r="AWZ28" s="108"/>
      <c r="AXA28" s="108"/>
      <c r="AXB28" s="108"/>
      <c r="AXC28" s="108"/>
      <c r="AXD28" s="108"/>
      <c r="AXE28" s="108"/>
      <c r="AXF28" s="108"/>
      <c r="AXG28" s="108"/>
      <c r="AXH28" s="108"/>
      <c r="AXI28" s="108"/>
      <c r="AXJ28" s="108"/>
      <c r="AXK28" s="108"/>
      <c r="AXL28" s="108"/>
      <c r="AXM28" s="108"/>
      <c r="AXN28" s="108"/>
      <c r="AXO28" s="108"/>
      <c r="AXP28" s="108"/>
      <c r="AXQ28" s="108"/>
      <c r="AXR28" s="108"/>
      <c r="AXS28" s="108"/>
      <c r="AXT28" s="108"/>
      <c r="AXU28" s="108"/>
      <c r="AXV28" s="108"/>
      <c r="AXW28" s="108"/>
      <c r="AXX28" s="108"/>
      <c r="AXY28" s="108"/>
      <c r="AXZ28" s="108"/>
      <c r="AYA28" s="108"/>
      <c r="AYB28" s="108"/>
      <c r="AYC28" s="108"/>
      <c r="AYD28" s="108"/>
      <c r="AYE28" s="108"/>
      <c r="AYF28" s="108"/>
      <c r="AYG28" s="108"/>
      <c r="AYH28" s="108"/>
      <c r="AYI28" s="108"/>
      <c r="AYJ28" s="108"/>
      <c r="AYK28" s="108"/>
      <c r="AYL28" s="108"/>
      <c r="AYM28" s="108"/>
      <c r="AYN28" s="108"/>
      <c r="AYO28" s="108"/>
      <c r="AYP28" s="108"/>
      <c r="AYQ28" s="108"/>
      <c r="AYR28" s="108"/>
      <c r="AYS28" s="108"/>
      <c r="AYT28" s="108"/>
      <c r="AYU28" s="108"/>
      <c r="AYV28" s="108"/>
      <c r="AYW28" s="108"/>
      <c r="AYX28" s="108"/>
      <c r="AYY28" s="108"/>
      <c r="AYZ28" s="108"/>
      <c r="AZA28" s="108"/>
      <c r="AZB28" s="108"/>
      <c r="AZC28" s="108"/>
      <c r="AZD28" s="108"/>
      <c r="AZE28" s="108"/>
      <c r="AZF28" s="108"/>
      <c r="AZG28" s="108"/>
      <c r="AZH28" s="108"/>
      <c r="AZI28" s="108"/>
      <c r="AZJ28" s="108"/>
      <c r="AZK28" s="108"/>
      <c r="AZL28" s="108"/>
      <c r="AZM28" s="108"/>
      <c r="AZN28" s="108"/>
      <c r="AZO28" s="108"/>
      <c r="AZP28" s="108"/>
      <c r="AZQ28" s="108"/>
      <c r="AZR28" s="108"/>
      <c r="AZS28" s="108"/>
      <c r="AZT28" s="108"/>
      <c r="AZU28" s="108"/>
      <c r="AZV28" s="108"/>
      <c r="AZW28" s="108"/>
      <c r="AZX28" s="108"/>
      <c r="AZY28" s="108"/>
      <c r="AZZ28" s="108"/>
      <c r="BAA28" s="108"/>
      <c r="BAB28" s="108"/>
      <c r="BAC28" s="108"/>
      <c r="BAD28" s="108"/>
      <c r="BAE28" s="108"/>
      <c r="BAF28" s="108"/>
      <c r="BAG28" s="108"/>
      <c r="BAH28" s="108"/>
      <c r="BAI28" s="108"/>
      <c r="BAJ28" s="108"/>
      <c r="BAK28" s="108"/>
      <c r="BAL28" s="108"/>
      <c r="BAM28" s="108"/>
      <c r="BAN28" s="108"/>
      <c r="BAO28" s="108"/>
      <c r="BAP28" s="108"/>
      <c r="BAQ28" s="108"/>
      <c r="BAR28" s="108"/>
      <c r="BAS28" s="108"/>
      <c r="BAT28" s="108"/>
      <c r="BAU28" s="108"/>
      <c r="BAV28" s="108"/>
      <c r="BAW28" s="108"/>
      <c r="BAX28" s="108"/>
      <c r="BAY28" s="108"/>
      <c r="BAZ28" s="108"/>
      <c r="BBA28" s="108"/>
      <c r="BBB28" s="108"/>
      <c r="BBC28" s="108"/>
      <c r="BBD28" s="108"/>
      <c r="BBE28" s="108"/>
      <c r="BBF28" s="108"/>
      <c r="BBG28" s="108"/>
      <c r="BBH28" s="108"/>
      <c r="BBI28" s="108"/>
      <c r="BBJ28" s="108"/>
      <c r="BBK28" s="108"/>
      <c r="BBL28" s="108"/>
      <c r="BBM28" s="108"/>
      <c r="BBN28" s="108"/>
      <c r="BBO28" s="108"/>
      <c r="BBP28" s="108"/>
      <c r="BBQ28" s="108"/>
      <c r="BBR28" s="108"/>
      <c r="BBS28" s="108"/>
      <c r="BBT28" s="108"/>
      <c r="BBU28" s="108"/>
      <c r="BBV28" s="108"/>
      <c r="BBW28" s="108"/>
      <c r="BBX28" s="108"/>
      <c r="BBY28" s="108"/>
      <c r="BBZ28" s="108"/>
      <c r="BCA28" s="108"/>
      <c r="BCB28" s="108"/>
      <c r="BCC28" s="108"/>
      <c r="BCD28" s="108"/>
      <c r="BCE28" s="108"/>
      <c r="BCF28" s="108"/>
      <c r="BCG28" s="108"/>
      <c r="BCH28" s="108"/>
      <c r="BCI28" s="108"/>
      <c r="BCJ28" s="108"/>
      <c r="BCK28" s="108"/>
      <c r="BCL28" s="108"/>
      <c r="BCM28" s="108"/>
      <c r="BCN28" s="108"/>
      <c r="BCO28" s="108"/>
      <c r="BCP28" s="108"/>
      <c r="BCQ28" s="108"/>
      <c r="BCR28" s="108"/>
      <c r="BCS28" s="108"/>
      <c r="BCT28" s="108"/>
      <c r="BCU28" s="108"/>
      <c r="BCV28" s="108"/>
      <c r="BCW28" s="108"/>
      <c r="BCX28" s="108"/>
      <c r="BCY28" s="108"/>
      <c r="BCZ28" s="108"/>
      <c r="BDA28" s="108"/>
      <c r="BDB28" s="108"/>
      <c r="BDC28" s="108"/>
      <c r="BDD28" s="108"/>
      <c r="BDE28" s="108"/>
      <c r="BDF28" s="108"/>
      <c r="BDG28" s="108"/>
      <c r="BDH28" s="108"/>
      <c r="BDI28" s="108"/>
      <c r="BDJ28" s="108"/>
      <c r="BDK28" s="108"/>
      <c r="BDL28" s="108"/>
      <c r="BDM28" s="108"/>
      <c r="BDN28" s="108"/>
      <c r="BDO28" s="108"/>
      <c r="BDP28" s="108"/>
      <c r="BDQ28" s="108"/>
      <c r="BDR28" s="108"/>
      <c r="BDS28" s="108"/>
      <c r="BDT28" s="108"/>
      <c r="BDU28" s="108"/>
      <c r="BDV28" s="108"/>
      <c r="BDW28" s="108"/>
      <c r="BDX28" s="108"/>
      <c r="BDY28" s="108"/>
      <c r="BDZ28" s="108"/>
      <c r="BEA28" s="108"/>
      <c r="BEB28" s="108"/>
      <c r="BEC28" s="108"/>
      <c r="BED28" s="108"/>
      <c r="BEE28" s="108"/>
      <c r="BEF28" s="108"/>
      <c r="BEG28" s="108"/>
      <c r="BEH28" s="108"/>
      <c r="BEI28" s="108"/>
      <c r="BEJ28" s="108"/>
      <c r="BEK28" s="108"/>
      <c r="BEL28" s="108"/>
      <c r="BEM28" s="108"/>
      <c r="BEN28" s="108"/>
      <c r="BEO28" s="108"/>
      <c r="BEP28" s="108"/>
      <c r="BEQ28" s="108"/>
      <c r="BER28" s="108"/>
      <c r="BES28" s="108"/>
      <c r="BET28" s="108"/>
      <c r="BEU28" s="108"/>
      <c r="BEV28" s="108"/>
      <c r="BEW28" s="108"/>
      <c r="BEX28" s="108"/>
      <c r="BEY28" s="108"/>
      <c r="BEZ28" s="108"/>
      <c r="BFA28" s="108"/>
      <c r="BFB28" s="108"/>
      <c r="BFC28" s="108"/>
      <c r="BFD28" s="108"/>
      <c r="BFE28" s="108"/>
      <c r="BFF28" s="108"/>
      <c r="BFG28" s="108"/>
      <c r="BFH28" s="108"/>
      <c r="BFI28" s="108"/>
      <c r="BFJ28" s="108"/>
      <c r="BFK28" s="108"/>
      <c r="BFL28" s="108"/>
      <c r="BFM28" s="108"/>
      <c r="BFN28" s="108"/>
      <c r="BFO28" s="108"/>
      <c r="BFP28" s="108"/>
      <c r="BFQ28" s="108"/>
      <c r="BFR28" s="108"/>
      <c r="BFS28" s="108"/>
      <c r="BFT28" s="108"/>
      <c r="BFU28" s="108"/>
      <c r="BFV28" s="108"/>
      <c r="BFW28" s="108"/>
      <c r="BFX28" s="108"/>
      <c r="BFY28" s="108"/>
      <c r="BFZ28" s="108"/>
      <c r="BGA28" s="108"/>
      <c r="BGB28" s="108"/>
      <c r="BGC28" s="108"/>
      <c r="BGD28" s="108"/>
      <c r="BGE28" s="108"/>
      <c r="BGF28" s="108"/>
      <c r="BGG28" s="108"/>
      <c r="BGH28" s="108"/>
      <c r="BGI28" s="108"/>
      <c r="BGJ28" s="108"/>
      <c r="BGK28" s="108"/>
      <c r="BGL28" s="108"/>
      <c r="BGM28" s="108"/>
      <c r="BGN28" s="108"/>
      <c r="BGO28" s="108"/>
      <c r="BGP28" s="108"/>
      <c r="BGQ28" s="108"/>
      <c r="BGR28" s="108"/>
      <c r="BGS28" s="108"/>
      <c r="BGT28" s="108"/>
      <c r="BGU28" s="108"/>
      <c r="BGV28" s="108"/>
      <c r="BGW28" s="108"/>
      <c r="BGX28" s="108"/>
      <c r="BGY28" s="108"/>
      <c r="BGZ28" s="108"/>
      <c r="BHA28" s="108"/>
      <c r="BHB28" s="108"/>
      <c r="BHC28" s="108"/>
      <c r="BHD28" s="108"/>
      <c r="BHE28" s="108"/>
      <c r="BHF28" s="108"/>
      <c r="BHG28" s="108"/>
      <c r="BHH28" s="108"/>
      <c r="BHI28" s="108"/>
      <c r="BHJ28" s="108"/>
      <c r="BHK28" s="108"/>
      <c r="BHL28" s="108"/>
      <c r="BHM28" s="108"/>
      <c r="BHN28" s="108"/>
      <c r="BHO28" s="108"/>
      <c r="BHP28" s="108"/>
      <c r="BHQ28" s="108"/>
      <c r="BHR28" s="108"/>
      <c r="BHS28" s="108"/>
      <c r="BHT28" s="108"/>
      <c r="BHU28" s="108"/>
      <c r="BHV28" s="108"/>
      <c r="BHW28" s="108"/>
      <c r="BHX28" s="108"/>
      <c r="BHY28" s="108"/>
      <c r="BHZ28" s="108"/>
      <c r="BIA28" s="108"/>
      <c r="BIB28" s="108"/>
      <c r="BIC28" s="108"/>
      <c r="BID28" s="108"/>
      <c r="BIE28" s="108"/>
      <c r="BIF28" s="108"/>
      <c r="BIG28" s="108"/>
      <c r="BIH28" s="108"/>
      <c r="BII28" s="108"/>
      <c r="BIJ28" s="108"/>
      <c r="BIK28" s="108"/>
      <c r="BIL28" s="108"/>
      <c r="BIM28" s="108"/>
      <c r="BIN28" s="108"/>
      <c r="BIO28" s="108"/>
      <c r="BIP28" s="108"/>
      <c r="BIQ28" s="108"/>
      <c r="BIR28" s="108"/>
      <c r="BIS28" s="108"/>
      <c r="BIT28" s="108"/>
      <c r="BIU28" s="108"/>
      <c r="BIV28" s="108"/>
      <c r="BIW28" s="108"/>
      <c r="BIX28" s="108"/>
      <c r="BIY28" s="108"/>
      <c r="BIZ28" s="108"/>
      <c r="BJA28" s="108"/>
      <c r="BJB28" s="108"/>
      <c r="BJC28" s="108"/>
      <c r="BJD28" s="108"/>
      <c r="BJE28" s="108"/>
      <c r="BJF28" s="108"/>
      <c r="BJG28" s="108"/>
      <c r="BJH28" s="108"/>
      <c r="BJI28" s="108"/>
      <c r="BJJ28" s="108"/>
      <c r="BJK28" s="108"/>
      <c r="BJL28" s="108"/>
      <c r="BJM28" s="108"/>
      <c r="BJN28" s="108"/>
      <c r="BJO28" s="108"/>
      <c r="BJP28" s="108"/>
      <c r="BJQ28" s="108"/>
      <c r="BJR28" s="108"/>
      <c r="BJS28" s="108"/>
      <c r="BJT28" s="108"/>
      <c r="BJU28" s="108"/>
      <c r="BJV28" s="108"/>
      <c r="BJW28" s="108"/>
      <c r="BJX28" s="108"/>
      <c r="BJY28" s="108"/>
      <c r="BJZ28" s="108"/>
      <c r="BKA28" s="108"/>
      <c r="BKB28" s="108"/>
      <c r="BKC28" s="108"/>
      <c r="BKD28" s="108"/>
      <c r="BKE28" s="108"/>
      <c r="BKF28" s="108"/>
      <c r="BKG28" s="108"/>
      <c r="BKH28" s="108"/>
      <c r="BKI28" s="108"/>
      <c r="BKJ28" s="108"/>
      <c r="BKK28" s="108"/>
      <c r="BKL28" s="108"/>
      <c r="BKM28" s="108"/>
      <c r="BKN28" s="108"/>
      <c r="BKO28" s="108"/>
      <c r="BKP28" s="108"/>
      <c r="BKQ28" s="108"/>
      <c r="BKR28" s="108"/>
      <c r="BKS28" s="108"/>
      <c r="BKT28" s="108"/>
      <c r="BKU28" s="108"/>
      <c r="BKV28" s="108"/>
      <c r="BKW28" s="108"/>
      <c r="BKX28" s="108"/>
      <c r="BKY28" s="108"/>
      <c r="BKZ28" s="108"/>
      <c r="BLA28" s="108"/>
      <c r="BLB28" s="108"/>
      <c r="BLC28" s="108"/>
      <c r="BLD28" s="108"/>
      <c r="BLE28" s="108"/>
      <c r="BLF28" s="108"/>
      <c r="BLG28" s="108"/>
      <c r="BLH28" s="108"/>
      <c r="BLI28" s="108"/>
      <c r="BLJ28" s="108"/>
      <c r="BLK28" s="108"/>
      <c r="BLL28" s="108"/>
      <c r="BLM28" s="108"/>
      <c r="BLN28" s="108"/>
      <c r="BLO28" s="108"/>
      <c r="BLP28" s="108"/>
      <c r="BLQ28" s="108"/>
      <c r="BLR28" s="108"/>
      <c r="BLS28" s="108"/>
      <c r="BLT28" s="108"/>
      <c r="BLU28" s="108"/>
      <c r="BLV28" s="108"/>
      <c r="BLW28" s="108"/>
      <c r="BLX28" s="108"/>
      <c r="BLY28" s="108"/>
      <c r="BLZ28" s="108"/>
      <c r="BMA28" s="108"/>
      <c r="BMB28" s="108"/>
      <c r="BMC28" s="108"/>
      <c r="BMD28" s="108"/>
      <c r="BME28" s="108"/>
      <c r="BMF28" s="108"/>
      <c r="BMG28" s="108"/>
      <c r="BMH28" s="108"/>
      <c r="BMI28" s="108"/>
      <c r="BMJ28" s="108"/>
      <c r="BMK28" s="108"/>
      <c r="BML28" s="108"/>
      <c r="BMM28" s="108"/>
      <c r="BMN28" s="108"/>
      <c r="BMO28" s="108"/>
      <c r="BMP28" s="108"/>
      <c r="BMQ28" s="108"/>
      <c r="BMR28" s="108"/>
      <c r="BMS28" s="108"/>
      <c r="BMT28" s="108"/>
      <c r="BMU28" s="108"/>
      <c r="BMV28" s="108"/>
      <c r="BMW28" s="108"/>
      <c r="BMX28" s="108"/>
      <c r="BMY28" s="108"/>
      <c r="BMZ28" s="108"/>
      <c r="BNA28" s="108"/>
      <c r="BNB28" s="108"/>
      <c r="BNC28" s="108"/>
      <c r="BND28" s="108"/>
      <c r="BNE28" s="108"/>
      <c r="BNF28" s="108"/>
      <c r="BNG28" s="108"/>
      <c r="BNH28" s="108"/>
      <c r="BNI28" s="108"/>
      <c r="BNJ28" s="108"/>
      <c r="BNK28" s="108"/>
      <c r="BNL28" s="108"/>
      <c r="BNM28" s="108"/>
      <c r="BNN28" s="108"/>
      <c r="BNO28" s="108"/>
      <c r="BNP28" s="108"/>
      <c r="BNQ28" s="108"/>
      <c r="BNR28" s="108"/>
      <c r="BNS28" s="108"/>
      <c r="BNT28" s="108"/>
      <c r="BNU28" s="108"/>
      <c r="BNV28" s="108"/>
      <c r="BNW28" s="108"/>
      <c r="BNX28" s="108"/>
      <c r="BNY28" s="108"/>
      <c r="BNZ28" s="108"/>
      <c r="BOA28" s="108"/>
      <c r="BOB28" s="108"/>
      <c r="BOC28" s="108"/>
      <c r="BOD28" s="108"/>
      <c r="BOE28" s="108"/>
      <c r="BOF28" s="108"/>
      <c r="BOG28" s="108"/>
      <c r="BOH28" s="108"/>
      <c r="BOI28" s="108"/>
      <c r="BOJ28" s="108"/>
      <c r="BOK28" s="108"/>
      <c r="BOL28" s="108"/>
      <c r="BOM28" s="108"/>
      <c r="BON28" s="108"/>
      <c r="BOO28" s="108"/>
      <c r="BOP28" s="108"/>
      <c r="BOQ28" s="108"/>
      <c r="BOR28" s="108"/>
      <c r="BOS28" s="108"/>
      <c r="BOT28" s="108"/>
      <c r="BOU28" s="108"/>
      <c r="BOV28" s="108"/>
      <c r="BOW28" s="108"/>
      <c r="BOX28" s="108"/>
      <c r="BOY28" s="108"/>
      <c r="BOZ28" s="108"/>
      <c r="BPA28" s="108"/>
      <c r="BPB28" s="108"/>
      <c r="BPC28" s="108"/>
      <c r="BPD28" s="108"/>
      <c r="BPE28" s="108"/>
      <c r="BPF28" s="108"/>
      <c r="BPG28" s="108"/>
      <c r="BPH28" s="108"/>
      <c r="BPI28" s="108"/>
      <c r="BPJ28" s="108"/>
      <c r="BPK28" s="108"/>
      <c r="BPL28" s="108"/>
      <c r="BPM28" s="108"/>
      <c r="BPN28" s="108"/>
      <c r="BPO28" s="108"/>
      <c r="BPP28" s="108"/>
      <c r="BPQ28" s="108"/>
      <c r="BPR28" s="108"/>
      <c r="BPS28" s="108"/>
      <c r="BPT28" s="108"/>
      <c r="BPU28" s="108"/>
      <c r="BPV28" s="108"/>
      <c r="BPW28" s="108"/>
      <c r="BPX28" s="108"/>
      <c r="BPY28" s="108"/>
      <c r="BPZ28" s="108"/>
      <c r="BQA28" s="108"/>
      <c r="BQB28" s="108"/>
      <c r="BQC28" s="108"/>
      <c r="BQD28" s="108"/>
      <c r="BQE28" s="108"/>
      <c r="BQF28" s="108"/>
      <c r="BQG28" s="108"/>
      <c r="BQH28" s="108"/>
      <c r="BQI28" s="108"/>
      <c r="BQJ28" s="108"/>
      <c r="BQK28" s="108"/>
      <c r="BQL28" s="108"/>
      <c r="BQM28" s="108"/>
      <c r="BQN28" s="108"/>
      <c r="BQO28" s="108"/>
      <c r="BQP28" s="108"/>
      <c r="BQQ28" s="108"/>
      <c r="BQR28" s="108"/>
      <c r="BQS28" s="108"/>
      <c r="BQT28" s="108"/>
      <c r="BQU28" s="108"/>
      <c r="BQV28" s="108"/>
      <c r="BQW28" s="108"/>
      <c r="BQX28" s="108"/>
      <c r="BQY28" s="108"/>
      <c r="BQZ28" s="108"/>
      <c r="BRA28" s="108"/>
      <c r="BRB28" s="108"/>
      <c r="BRC28" s="108"/>
      <c r="BRD28" s="108"/>
      <c r="BRE28" s="108"/>
      <c r="BRF28" s="108"/>
      <c r="BRG28" s="108"/>
      <c r="BRH28" s="108"/>
      <c r="BRI28" s="108"/>
      <c r="BRJ28" s="108"/>
      <c r="BRK28" s="108"/>
      <c r="BRL28" s="108"/>
      <c r="BRM28" s="108"/>
      <c r="BRN28" s="108"/>
      <c r="BRO28" s="108"/>
      <c r="BRP28" s="108"/>
      <c r="BRQ28" s="108"/>
      <c r="BRR28" s="108"/>
      <c r="BRS28" s="108"/>
      <c r="BRT28" s="108"/>
      <c r="BRU28" s="108"/>
      <c r="BRV28" s="108"/>
      <c r="BRW28" s="108"/>
      <c r="BRX28" s="108"/>
      <c r="BRY28" s="108"/>
      <c r="BRZ28" s="108"/>
      <c r="BSA28" s="108"/>
      <c r="BSB28" s="108"/>
      <c r="BSC28" s="108"/>
      <c r="BSD28" s="108"/>
      <c r="BSE28" s="108"/>
      <c r="BSF28" s="108"/>
      <c r="BSG28" s="108"/>
      <c r="BSH28" s="108"/>
      <c r="BSI28" s="108"/>
      <c r="BSJ28" s="108"/>
      <c r="BSK28" s="108"/>
      <c r="BSL28" s="108"/>
      <c r="BSM28" s="108"/>
      <c r="BSN28" s="108"/>
      <c r="BSO28" s="108"/>
      <c r="BSP28" s="108"/>
      <c r="BSQ28" s="108"/>
      <c r="BSR28" s="108"/>
      <c r="BSS28" s="108"/>
      <c r="BST28" s="108"/>
      <c r="BSU28" s="108"/>
      <c r="BSV28" s="108"/>
      <c r="BSW28" s="108"/>
      <c r="BSX28" s="108"/>
      <c r="BSY28" s="108"/>
      <c r="BSZ28" s="108"/>
      <c r="BTA28" s="108"/>
      <c r="BTB28" s="108"/>
      <c r="BTC28" s="108"/>
      <c r="BTD28" s="108"/>
      <c r="BTE28" s="108"/>
      <c r="BTF28" s="108"/>
      <c r="BTG28" s="108"/>
      <c r="BTH28" s="108"/>
      <c r="BTI28" s="108"/>
      <c r="BTJ28" s="108"/>
      <c r="BTK28" s="108"/>
      <c r="BTL28" s="108"/>
      <c r="BTM28" s="108"/>
      <c r="BTN28" s="108"/>
      <c r="BTO28" s="108"/>
      <c r="BTP28" s="108"/>
      <c r="BTQ28" s="108"/>
      <c r="BTR28" s="108"/>
      <c r="BTS28" s="108"/>
      <c r="BTT28" s="108"/>
      <c r="BTU28" s="108"/>
      <c r="BTV28" s="108"/>
      <c r="BTW28" s="108"/>
      <c r="BTX28" s="108"/>
      <c r="BTY28" s="108"/>
      <c r="BTZ28" s="108"/>
      <c r="BUA28" s="108"/>
      <c r="BUB28" s="108"/>
      <c r="BUC28" s="108"/>
      <c r="BUD28" s="108"/>
      <c r="BUE28" s="108"/>
      <c r="BUF28" s="108"/>
      <c r="BUG28" s="108"/>
      <c r="BUH28" s="108"/>
      <c r="BUI28" s="108"/>
      <c r="BUJ28" s="108"/>
      <c r="BUK28" s="108"/>
      <c r="BUL28" s="108"/>
      <c r="BUM28" s="108"/>
      <c r="BUN28" s="108"/>
      <c r="BUO28" s="108"/>
      <c r="BUP28" s="108"/>
      <c r="BUQ28" s="108"/>
      <c r="BUR28" s="108"/>
      <c r="BUS28" s="108"/>
      <c r="BUT28" s="108"/>
      <c r="BUU28" s="108"/>
      <c r="BUV28" s="108"/>
      <c r="BUW28" s="108"/>
      <c r="BUX28" s="108"/>
      <c r="BUY28" s="108"/>
      <c r="BUZ28" s="108"/>
      <c r="BVA28" s="108"/>
      <c r="BVB28" s="108"/>
      <c r="BVC28" s="108"/>
      <c r="BVD28" s="108"/>
      <c r="BVE28" s="108"/>
      <c r="BVF28" s="108"/>
      <c r="BVG28" s="108"/>
      <c r="BVH28" s="108"/>
      <c r="BVI28" s="108"/>
      <c r="BVJ28" s="108"/>
      <c r="BVK28" s="108"/>
      <c r="BVL28" s="108"/>
      <c r="BVM28" s="108"/>
      <c r="BVN28" s="108"/>
      <c r="BVO28" s="108"/>
      <c r="BVP28" s="108"/>
      <c r="BVQ28" s="108"/>
      <c r="BVR28" s="108"/>
      <c r="BVS28" s="108"/>
      <c r="BVT28" s="108"/>
      <c r="BVU28" s="108"/>
      <c r="BVV28" s="108"/>
      <c r="BVW28" s="108"/>
      <c r="BVX28" s="108"/>
      <c r="BVY28" s="108"/>
      <c r="BVZ28" s="108"/>
      <c r="BWA28" s="108"/>
      <c r="BWB28" s="108"/>
      <c r="BWC28" s="108"/>
      <c r="BWD28" s="108"/>
      <c r="BWE28" s="108"/>
      <c r="BWF28" s="108"/>
      <c r="BWG28" s="108"/>
      <c r="BWH28" s="108"/>
      <c r="BWI28" s="108"/>
      <c r="BWJ28" s="108"/>
      <c r="BWK28" s="108"/>
      <c r="BWL28" s="108"/>
      <c r="BWM28" s="108"/>
      <c r="BWN28" s="108"/>
      <c r="BWO28" s="108"/>
      <c r="BWP28" s="108"/>
      <c r="BWQ28" s="108"/>
      <c r="BWR28" s="108"/>
      <c r="BWS28" s="108"/>
      <c r="BWT28" s="108"/>
      <c r="BWU28" s="108"/>
      <c r="BWV28" s="108"/>
      <c r="BWW28" s="108"/>
      <c r="BWX28" s="108"/>
      <c r="BWY28" s="108"/>
      <c r="BWZ28" s="108"/>
      <c r="BXA28" s="108"/>
      <c r="BXB28" s="108"/>
      <c r="BXC28" s="108"/>
      <c r="BXD28" s="108"/>
      <c r="BXE28" s="108"/>
      <c r="BXF28" s="108"/>
      <c r="BXG28" s="108"/>
      <c r="BXH28" s="108"/>
      <c r="BXI28" s="108"/>
      <c r="BXJ28" s="108"/>
      <c r="BXK28" s="108"/>
      <c r="BXL28" s="108"/>
      <c r="BXM28" s="108"/>
      <c r="BXN28" s="108"/>
      <c r="BXO28" s="108"/>
      <c r="BXP28" s="108"/>
      <c r="BXQ28" s="108"/>
      <c r="BXR28" s="108"/>
      <c r="BXS28" s="108"/>
      <c r="BXT28" s="108"/>
      <c r="BXU28" s="108"/>
      <c r="BXV28" s="108"/>
      <c r="BXW28" s="108"/>
      <c r="BXX28" s="108"/>
      <c r="BXY28" s="108"/>
      <c r="BXZ28" s="108"/>
      <c r="BYA28" s="108"/>
      <c r="BYB28" s="108"/>
      <c r="BYC28" s="108"/>
      <c r="BYD28" s="108"/>
      <c r="BYE28" s="108"/>
      <c r="BYF28" s="108"/>
      <c r="BYG28" s="108"/>
      <c r="BYH28" s="108"/>
      <c r="BYI28" s="108"/>
      <c r="BYJ28" s="108"/>
      <c r="BYK28" s="108"/>
      <c r="BYL28" s="108"/>
      <c r="BYM28" s="108"/>
      <c r="BYN28" s="108"/>
      <c r="BYO28" s="108"/>
      <c r="BYP28" s="108"/>
      <c r="BYQ28" s="108"/>
      <c r="BYR28" s="108"/>
      <c r="BYS28" s="108"/>
      <c r="BYT28" s="108"/>
      <c r="BYU28" s="108"/>
      <c r="BYV28" s="108"/>
      <c r="BYW28" s="108"/>
      <c r="BYX28" s="108"/>
      <c r="BYY28" s="108"/>
      <c r="BYZ28" s="108"/>
      <c r="BZA28" s="108"/>
      <c r="BZB28" s="108"/>
      <c r="BZC28" s="108"/>
      <c r="BZD28" s="108"/>
      <c r="BZE28" s="108"/>
      <c r="BZF28" s="108"/>
      <c r="BZG28" s="108"/>
      <c r="BZH28" s="108"/>
      <c r="BZI28" s="108"/>
      <c r="BZJ28" s="108"/>
      <c r="BZK28" s="108"/>
      <c r="BZL28" s="108"/>
      <c r="BZM28" s="108"/>
      <c r="BZN28" s="108"/>
      <c r="BZO28" s="108"/>
      <c r="BZP28" s="108"/>
      <c r="BZQ28" s="108"/>
      <c r="BZR28" s="108"/>
      <c r="BZS28" s="108"/>
      <c r="BZT28" s="108"/>
      <c r="BZU28" s="108"/>
      <c r="BZV28" s="108"/>
      <c r="BZW28" s="108"/>
      <c r="BZX28" s="108"/>
      <c r="BZY28" s="108"/>
      <c r="BZZ28" s="108"/>
      <c r="CAA28" s="108"/>
      <c r="CAB28" s="108"/>
      <c r="CAC28" s="108"/>
      <c r="CAD28" s="108"/>
      <c r="CAE28" s="108"/>
      <c r="CAF28" s="108"/>
      <c r="CAG28" s="108"/>
      <c r="CAH28" s="108"/>
      <c r="CAI28" s="108"/>
      <c r="CAJ28" s="108"/>
      <c r="CAK28" s="108"/>
      <c r="CAL28" s="108"/>
      <c r="CAM28" s="108"/>
      <c r="CAN28" s="108"/>
      <c r="CAO28" s="108"/>
      <c r="CAP28" s="108"/>
      <c r="CAQ28" s="108"/>
      <c r="CAR28" s="108"/>
      <c r="CAS28" s="108"/>
      <c r="CAT28" s="108"/>
      <c r="CAU28" s="108"/>
      <c r="CAV28" s="108"/>
      <c r="CAW28" s="108"/>
      <c r="CAX28" s="108"/>
      <c r="CAY28" s="108"/>
      <c r="CAZ28" s="108"/>
      <c r="CBA28" s="108"/>
      <c r="CBB28" s="108"/>
      <c r="CBC28" s="108"/>
      <c r="CBD28" s="108"/>
      <c r="CBE28" s="108"/>
      <c r="CBF28" s="108"/>
      <c r="CBG28" s="108"/>
      <c r="CBH28" s="108"/>
      <c r="CBI28" s="108"/>
      <c r="CBJ28" s="108"/>
      <c r="CBK28" s="108"/>
      <c r="CBL28" s="108"/>
      <c r="CBM28" s="108"/>
      <c r="CBN28" s="108"/>
      <c r="CBO28" s="108"/>
      <c r="CBP28" s="108"/>
      <c r="CBQ28" s="108"/>
      <c r="CBR28" s="108"/>
      <c r="CBS28" s="108"/>
      <c r="CBT28" s="108"/>
      <c r="CBU28" s="108"/>
      <c r="CBV28" s="108"/>
      <c r="CBW28" s="108"/>
      <c r="CBX28" s="108"/>
      <c r="CBY28" s="108"/>
      <c r="CBZ28" s="108"/>
      <c r="CCA28" s="108"/>
      <c r="CCB28" s="108"/>
      <c r="CCC28" s="108"/>
      <c r="CCD28" s="108"/>
      <c r="CCE28" s="108"/>
      <c r="CCF28" s="108"/>
      <c r="CCG28" s="108"/>
      <c r="CCH28" s="108"/>
      <c r="CCI28" s="108"/>
      <c r="CCJ28" s="108"/>
      <c r="CCK28" s="108"/>
      <c r="CCL28" s="108"/>
      <c r="CCM28" s="108"/>
      <c r="CCN28" s="108"/>
      <c r="CCO28" s="108"/>
      <c r="CCP28" s="108"/>
      <c r="CCQ28" s="108"/>
      <c r="CCR28" s="108"/>
      <c r="CCS28" s="108"/>
      <c r="CCT28" s="108"/>
      <c r="CCU28" s="108"/>
      <c r="CCV28" s="108"/>
      <c r="CCW28" s="108"/>
      <c r="CCX28" s="108"/>
      <c r="CCY28" s="108"/>
      <c r="CCZ28" s="108"/>
      <c r="CDA28" s="108"/>
      <c r="CDB28" s="108"/>
      <c r="CDC28" s="108"/>
      <c r="CDD28" s="108"/>
      <c r="CDE28" s="108"/>
      <c r="CDF28" s="108"/>
      <c r="CDG28" s="108"/>
      <c r="CDH28" s="108"/>
      <c r="CDI28" s="108"/>
      <c r="CDJ28" s="108"/>
      <c r="CDK28" s="108"/>
      <c r="CDL28" s="108"/>
      <c r="CDM28" s="108"/>
      <c r="CDN28" s="108"/>
      <c r="CDO28" s="108"/>
      <c r="CDP28" s="108"/>
      <c r="CDQ28" s="108"/>
      <c r="CDR28" s="108"/>
      <c r="CDS28" s="108"/>
      <c r="CDT28" s="108"/>
      <c r="CDU28" s="108"/>
      <c r="CDV28" s="108"/>
      <c r="CDW28" s="108"/>
      <c r="CDX28" s="108"/>
      <c r="CDY28" s="108"/>
      <c r="CDZ28" s="108"/>
      <c r="CEA28" s="108"/>
      <c r="CEB28" s="108"/>
      <c r="CEC28" s="108"/>
      <c r="CED28" s="108"/>
      <c r="CEE28" s="108"/>
      <c r="CEF28" s="108"/>
      <c r="CEG28" s="108"/>
      <c r="CEH28" s="108"/>
      <c r="CEI28" s="108"/>
      <c r="CEJ28" s="108"/>
      <c r="CEK28" s="108"/>
      <c r="CEL28" s="108"/>
      <c r="CEM28" s="108"/>
      <c r="CEN28" s="108"/>
      <c r="CEO28" s="108"/>
      <c r="CEP28" s="108"/>
      <c r="CEQ28" s="108"/>
      <c r="CER28" s="108"/>
      <c r="CES28" s="108"/>
      <c r="CET28" s="108"/>
      <c r="CEU28" s="108"/>
      <c r="CEV28" s="108"/>
      <c r="CEW28" s="108"/>
      <c r="CEX28" s="108"/>
      <c r="CEY28" s="108"/>
      <c r="CEZ28" s="108"/>
      <c r="CFA28" s="108"/>
      <c r="CFB28" s="108"/>
      <c r="CFC28" s="108"/>
      <c r="CFD28" s="108"/>
      <c r="CFE28" s="108"/>
      <c r="CFF28" s="108"/>
      <c r="CFG28" s="108"/>
      <c r="CFH28" s="108"/>
      <c r="CFI28" s="108"/>
      <c r="CFJ28" s="108"/>
      <c r="CFK28" s="108"/>
      <c r="CFL28" s="108"/>
      <c r="CFM28" s="108"/>
      <c r="CFN28" s="108"/>
      <c r="CFO28" s="108"/>
      <c r="CFP28" s="108"/>
      <c r="CFQ28" s="108"/>
      <c r="CFR28" s="108"/>
      <c r="CFS28" s="108"/>
      <c r="CFT28" s="108"/>
      <c r="CFU28" s="108"/>
      <c r="CFV28" s="108"/>
      <c r="CFW28" s="108"/>
      <c r="CFX28" s="108"/>
      <c r="CFY28" s="108"/>
      <c r="CFZ28" s="108"/>
      <c r="CGA28" s="108"/>
      <c r="CGB28" s="108"/>
      <c r="CGC28" s="108"/>
      <c r="CGD28" s="108"/>
      <c r="CGE28" s="108"/>
      <c r="CGF28" s="108"/>
      <c r="CGG28" s="108"/>
      <c r="CGH28" s="108"/>
      <c r="CGI28" s="108"/>
      <c r="CGJ28" s="108"/>
      <c r="CGK28" s="108"/>
      <c r="CGL28" s="108"/>
      <c r="CGM28" s="108"/>
      <c r="CGN28" s="108"/>
      <c r="CGO28" s="108"/>
      <c r="CGP28" s="108"/>
      <c r="CGQ28" s="108"/>
      <c r="CGR28" s="108"/>
      <c r="CGS28" s="108"/>
      <c r="CGT28" s="108"/>
      <c r="CGU28" s="108"/>
      <c r="CGV28" s="108"/>
      <c r="CGW28" s="108"/>
      <c r="CGX28" s="108"/>
      <c r="CGY28" s="108"/>
      <c r="CGZ28" s="108"/>
      <c r="CHA28" s="108"/>
      <c r="CHB28" s="108"/>
      <c r="CHC28" s="108"/>
      <c r="CHD28" s="108"/>
      <c r="CHE28" s="108"/>
      <c r="CHF28" s="108"/>
      <c r="CHG28" s="108"/>
      <c r="CHH28" s="108"/>
      <c r="CHI28" s="108"/>
      <c r="CHJ28" s="108"/>
      <c r="CHK28" s="108"/>
      <c r="CHL28" s="108"/>
      <c r="CHM28" s="108"/>
      <c r="CHN28" s="108"/>
      <c r="CHO28" s="108"/>
      <c r="CHP28" s="108"/>
      <c r="CHQ28" s="108"/>
      <c r="CHR28" s="108"/>
      <c r="CHS28" s="108"/>
      <c r="CHT28" s="108"/>
      <c r="CHU28" s="108"/>
      <c r="CHV28" s="108"/>
      <c r="CHW28" s="108"/>
      <c r="CHX28" s="108"/>
      <c r="CHY28" s="108"/>
      <c r="CHZ28" s="108"/>
      <c r="CIA28" s="108"/>
      <c r="CIB28" s="108"/>
      <c r="CIC28" s="108"/>
      <c r="CID28" s="108"/>
      <c r="CIE28" s="108"/>
      <c r="CIF28" s="108"/>
      <c r="CIG28" s="108"/>
      <c r="CIH28" s="108"/>
      <c r="CII28" s="108"/>
      <c r="CIJ28" s="108"/>
      <c r="CIK28" s="108"/>
      <c r="CIL28" s="108"/>
      <c r="CIM28" s="108"/>
      <c r="CIN28" s="108"/>
      <c r="CIO28" s="108"/>
      <c r="CIP28" s="108"/>
      <c r="CIQ28" s="108"/>
      <c r="CIR28" s="108"/>
      <c r="CIS28" s="108"/>
      <c r="CIT28" s="108"/>
      <c r="CIU28" s="108"/>
      <c r="CIV28" s="108"/>
      <c r="CIW28" s="108"/>
      <c r="CIX28" s="108"/>
      <c r="CIY28" s="108"/>
      <c r="CIZ28" s="108"/>
      <c r="CJA28" s="108"/>
      <c r="CJB28" s="108"/>
      <c r="CJC28" s="108"/>
      <c r="CJD28" s="108"/>
      <c r="CJE28" s="108"/>
      <c r="CJF28" s="108"/>
      <c r="CJG28" s="108"/>
      <c r="CJH28" s="108"/>
      <c r="CJI28" s="108"/>
      <c r="CJJ28" s="108"/>
      <c r="CJK28" s="108"/>
      <c r="CJL28" s="108"/>
      <c r="CJM28" s="108"/>
      <c r="CJN28" s="108"/>
      <c r="CJO28" s="108"/>
      <c r="CJP28" s="108"/>
      <c r="CJQ28" s="108"/>
      <c r="CJR28" s="108"/>
      <c r="CJS28" s="108"/>
      <c r="CJT28" s="108"/>
      <c r="CJU28" s="108"/>
      <c r="CJV28" s="108"/>
      <c r="CJW28" s="108"/>
      <c r="CJX28" s="108"/>
      <c r="CJY28" s="108"/>
      <c r="CJZ28" s="108"/>
      <c r="CKA28" s="108"/>
      <c r="CKB28" s="108"/>
      <c r="CKC28" s="108"/>
      <c r="CKD28" s="108"/>
      <c r="CKE28" s="108"/>
      <c r="CKF28" s="108"/>
      <c r="CKG28" s="108"/>
      <c r="CKH28" s="108"/>
      <c r="CKI28" s="108"/>
      <c r="CKJ28" s="108"/>
      <c r="CKK28" s="108"/>
      <c r="CKL28" s="108"/>
      <c r="CKM28" s="108"/>
      <c r="CKN28" s="108"/>
      <c r="CKO28" s="108"/>
      <c r="CKP28" s="108"/>
      <c r="CKQ28" s="108"/>
      <c r="CKR28" s="108"/>
      <c r="CKS28" s="108"/>
      <c r="CKT28" s="108"/>
      <c r="CKU28" s="108"/>
      <c r="CKV28" s="108"/>
      <c r="CKW28" s="108"/>
      <c r="CKX28" s="108"/>
      <c r="CKY28" s="108"/>
      <c r="CKZ28" s="108"/>
      <c r="CLA28" s="108"/>
      <c r="CLB28" s="108"/>
      <c r="CLC28" s="108"/>
      <c r="CLD28" s="108"/>
      <c r="CLE28" s="108"/>
      <c r="CLF28" s="108"/>
      <c r="CLG28" s="108"/>
      <c r="CLH28" s="108"/>
      <c r="CLI28" s="108"/>
      <c r="CLJ28" s="108"/>
      <c r="CLK28" s="108"/>
      <c r="CLL28" s="108"/>
      <c r="CLM28" s="108"/>
      <c r="CLN28" s="108"/>
      <c r="CLO28" s="108"/>
      <c r="CLP28" s="108"/>
      <c r="CLQ28" s="108"/>
      <c r="CLR28" s="108"/>
      <c r="CLS28" s="108"/>
      <c r="CLT28" s="108"/>
      <c r="CLU28" s="108"/>
      <c r="CLV28" s="108"/>
      <c r="CLW28" s="108"/>
      <c r="CLX28" s="108"/>
      <c r="CLY28" s="108"/>
      <c r="CLZ28" s="108"/>
      <c r="CMA28" s="108"/>
      <c r="CMB28" s="108"/>
      <c r="CMC28" s="108"/>
      <c r="CMD28" s="108"/>
      <c r="CME28" s="108"/>
      <c r="CMF28" s="108"/>
      <c r="CMG28" s="108"/>
      <c r="CMH28" s="108"/>
      <c r="CMI28" s="108"/>
      <c r="CMJ28" s="108"/>
      <c r="CMK28" s="108"/>
      <c r="CML28" s="108"/>
      <c r="CMM28" s="108"/>
      <c r="CMN28" s="108"/>
      <c r="CMO28" s="108"/>
      <c r="CMP28" s="108"/>
      <c r="CMQ28" s="108"/>
      <c r="CMR28" s="108"/>
      <c r="CMS28" s="108"/>
      <c r="CMT28" s="108"/>
      <c r="CMU28" s="108"/>
      <c r="CMV28" s="108"/>
      <c r="CMW28" s="108"/>
      <c r="CMX28" s="108"/>
      <c r="CMY28" s="108"/>
      <c r="CMZ28" s="108"/>
      <c r="CNA28" s="108"/>
      <c r="CNB28" s="108"/>
      <c r="CNC28" s="108"/>
      <c r="CND28" s="108"/>
      <c r="CNE28" s="108"/>
      <c r="CNF28" s="108"/>
      <c r="CNG28" s="108"/>
      <c r="CNH28" s="108"/>
      <c r="CNI28" s="108"/>
      <c r="CNJ28" s="108"/>
      <c r="CNK28" s="108"/>
      <c r="CNL28" s="108"/>
      <c r="CNM28" s="108"/>
      <c r="CNN28" s="108"/>
      <c r="CNO28" s="108"/>
      <c r="CNP28" s="108"/>
      <c r="CNQ28" s="108"/>
      <c r="CNR28" s="108"/>
      <c r="CNS28" s="108"/>
      <c r="CNT28" s="108"/>
      <c r="CNU28" s="108"/>
      <c r="CNV28" s="108"/>
      <c r="CNW28" s="108"/>
      <c r="CNX28" s="108"/>
      <c r="CNY28" s="108"/>
      <c r="CNZ28" s="108"/>
      <c r="COA28" s="108"/>
      <c r="COB28" s="108"/>
      <c r="COC28" s="108"/>
      <c r="COD28" s="108"/>
      <c r="COE28" s="108"/>
      <c r="COF28" s="108"/>
      <c r="COG28" s="108"/>
      <c r="COH28" s="108"/>
      <c r="COI28" s="108"/>
      <c r="COJ28" s="108"/>
      <c r="COK28" s="108"/>
      <c r="COL28" s="108"/>
      <c r="COM28" s="108"/>
      <c r="CON28" s="108"/>
      <c r="COO28" s="108"/>
      <c r="COP28" s="108"/>
      <c r="COQ28" s="108"/>
      <c r="COR28" s="108"/>
      <c r="COS28" s="108"/>
      <c r="COT28" s="108"/>
      <c r="COU28" s="108"/>
      <c r="COV28" s="108"/>
      <c r="COW28" s="108"/>
      <c r="COX28" s="108"/>
      <c r="COY28" s="108"/>
      <c r="COZ28" s="108"/>
      <c r="CPA28" s="108"/>
      <c r="CPB28" s="108"/>
      <c r="CPC28" s="108"/>
      <c r="CPD28" s="108"/>
      <c r="CPE28" s="108"/>
      <c r="CPF28" s="108"/>
      <c r="CPG28" s="108"/>
      <c r="CPH28" s="108"/>
      <c r="CPI28" s="108"/>
      <c r="CPJ28" s="108"/>
      <c r="CPK28" s="108"/>
      <c r="CPL28" s="108"/>
      <c r="CPM28" s="108"/>
      <c r="CPN28" s="108"/>
      <c r="CPO28" s="108"/>
      <c r="CPP28" s="108"/>
      <c r="CPQ28" s="108"/>
      <c r="CPR28" s="108"/>
      <c r="CPS28" s="108"/>
      <c r="CPT28" s="108"/>
      <c r="CPU28" s="108"/>
      <c r="CPV28" s="108"/>
      <c r="CPW28" s="108"/>
      <c r="CPX28" s="108"/>
      <c r="CPY28" s="108"/>
      <c r="CPZ28" s="108"/>
      <c r="CQA28" s="108"/>
      <c r="CQB28" s="108"/>
      <c r="CQC28" s="108"/>
      <c r="CQD28" s="108"/>
      <c r="CQE28" s="108"/>
      <c r="CQF28" s="108"/>
      <c r="CQG28" s="108"/>
      <c r="CQH28" s="108"/>
      <c r="CQI28" s="108"/>
      <c r="CQJ28" s="108"/>
      <c r="CQK28" s="108"/>
      <c r="CQL28" s="108"/>
      <c r="CQM28" s="108"/>
      <c r="CQN28" s="108"/>
      <c r="CQO28" s="108"/>
      <c r="CQP28" s="108"/>
      <c r="CQQ28" s="108"/>
      <c r="CQR28" s="108"/>
      <c r="CQS28" s="108"/>
      <c r="CQT28" s="108"/>
      <c r="CQU28" s="108"/>
      <c r="CQV28" s="108"/>
      <c r="CQW28" s="108"/>
      <c r="CQX28" s="108"/>
      <c r="CQY28" s="108"/>
      <c r="CQZ28" s="108"/>
      <c r="CRA28" s="108"/>
      <c r="CRB28" s="108"/>
      <c r="CRC28" s="108"/>
      <c r="CRD28" s="108"/>
      <c r="CRE28" s="108"/>
      <c r="CRF28" s="108"/>
      <c r="CRG28" s="108"/>
      <c r="CRH28" s="108"/>
      <c r="CRI28" s="108"/>
      <c r="CRJ28" s="108"/>
      <c r="CRK28" s="108"/>
      <c r="CRL28" s="108"/>
      <c r="CRM28" s="108"/>
      <c r="CRN28" s="108"/>
      <c r="CRO28" s="108"/>
      <c r="CRP28" s="108"/>
      <c r="CRQ28" s="108"/>
      <c r="CRR28" s="108"/>
      <c r="CRS28" s="108"/>
      <c r="CRT28" s="108"/>
      <c r="CRU28" s="108"/>
      <c r="CRV28" s="108"/>
      <c r="CRW28" s="108"/>
      <c r="CRX28" s="108"/>
      <c r="CRY28" s="108"/>
      <c r="CRZ28" s="108"/>
      <c r="CSA28" s="108"/>
      <c r="CSB28" s="108"/>
      <c r="CSC28" s="108"/>
      <c r="CSD28" s="108"/>
      <c r="CSE28" s="108"/>
      <c r="CSF28" s="108"/>
      <c r="CSG28" s="108"/>
      <c r="CSH28" s="108"/>
      <c r="CSI28" s="108"/>
      <c r="CSJ28" s="108"/>
      <c r="CSK28" s="108"/>
      <c r="CSL28" s="108"/>
      <c r="CSM28" s="108"/>
      <c r="CSN28" s="108"/>
      <c r="CSO28" s="108"/>
      <c r="CSP28" s="108"/>
      <c r="CSQ28" s="108"/>
      <c r="CSR28" s="108"/>
      <c r="CSS28" s="108"/>
      <c r="CST28" s="108"/>
      <c r="CSU28" s="108"/>
      <c r="CSV28" s="108"/>
      <c r="CSW28" s="108"/>
      <c r="CSX28" s="108"/>
      <c r="CSY28" s="108"/>
      <c r="CSZ28" s="108"/>
      <c r="CTA28" s="108"/>
      <c r="CTB28" s="108"/>
      <c r="CTC28" s="108"/>
      <c r="CTD28" s="108"/>
      <c r="CTE28" s="108"/>
      <c r="CTF28" s="108"/>
      <c r="CTG28" s="108"/>
      <c r="CTH28" s="108"/>
      <c r="CTI28" s="108"/>
      <c r="CTJ28" s="108"/>
      <c r="CTK28" s="108"/>
      <c r="CTL28" s="108"/>
      <c r="CTM28" s="108"/>
      <c r="CTN28" s="108"/>
      <c r="CTO28" s="108"/>
      <c r="CTP28" s="108"/>
      <c r="CTQ28" s="108"/>
      <c r="CTR28" s="108"/>
      <c r="CTS28" s="108"/>
      <c r="CTT28" s="108"/>
      <c r="CTU28" s="108"/>
      <c r="CTV28" s="108"/>
      <c r="CTW28" s="108"/>
      <c r="CTX28" s="108"/>
      <c r="CTY28" s="108"/>
      <c r="CTZ28" s="108"/>
      <c r="CUA28" s="108"/>
      <c r="CUB28" s="108"/>
      <c r="CUC28" s="108"/>
      <c r="CUD28" s="108"/>
      <c r="CUE28" s="108"/>
      <c r="CUF28" s="108"/>
      <c r="CUG28" s="108"/>
      <c r="CUH28" s="108"/>
      <c r="CUI28" s="108"/>
      <c r="CUJ28" s="108"/>
      <c r="CUK28" s="108"/>
      <c r="CUL28" s="108"/>
      <c r="CUM28" s="108"/>
      <c r="CUN28" s="108"/>
      <c r="CUO28" s="108"/>
      <c r="CUP28" s="108"/>
      <c r="CUQ28" s="108"/>
      <c r="CUR28" s="108"/>
      <c r="CUS28" s="108"/>
      <c r="CUT28" s="108"/>
      <c r="CUU28" s="108"/>
      <c r="CUV28" s="108"/>
      <c r="CUW28" s="108"/>
      <c r="CUX28" s="108"/>
      <c r="CUY28" s="108"/>
      <c r="CUZ28" s="108"/>
      <c r="CVA28" s="108"/>
      <c r="CVB28" s="108"/>
      <c r="CVC28" s="108"/>
      <c r="CVD28" s="108"/>
      <c r="CVE28" s="108"/>
      <c r="CVF28" s="108"/>
      <c r="CVG28" s="108"/>
      <c r="CVH28" s="108"/>
      <c r="CVI28" s="108"/>
      <c r="CVJ28" s="108"/>
      <c r="CVK28" s="108"/>
      <c r="CVL28" s="108"/>
      <c r="CVM28" s="108"/>
      <c r="CVN28" s="108"/>
      <c r="CVO28" s="108"/>
      <c r="CVP28" s="108"/>
      <c r="CVQ28" s="108"/>
      <c r="CVR28" s="108"/>
      <c r="CVS28" s="108"/>
      <c r="CVT28" s="108"/>
      <c r="CVU28" s="108"/>
      <c r="CVV28" s="108"/>
      <c r="CVW28" s="108"/>
      <c r="CVX28" s="108"/>
      <c r="CVY28" s="108"/>
      <c r="CVZ28" s="108"/>
      <c r="CWA28" s="108"/>
      <c r="CWB28" s="108"/>
      <c r="CWC28" s="108"/>
      <c r="CWD28" s="108"/>
      <c r="CWE28" s="108"/>
      <c r="CWF28" s="108"/>
      <c r="CWG28" s="108"/>
      <c r="CWH28" s="108"/>
      <c r="CWI28" s="108"/>
      <c r="CWJ28" s="108"/>
      <c r="CWK28" s="108"/>
      <c r="CWL28" s="108"/>
      <c r="CWM28" s="108"/>
      <c r="CWN28" s="108"/>
      <c r="CWO28" s="108"/>
      <c r="CWP28" s="108"/>
      <c r="CWQ28" s="108"/>
      <c r="CWR28" s="108"/>
      <c r="CWS28" s="108"/>
      <c r="CWT28" s="108"/>
      <c r="CWU28" s="108"/>
      <c r="CWV28" s="108"/>
      <c r="CWW28" s="108"/>
      <c r="CWX28" s="108"/>
      <c r="CWY28" s="108"/>
      <c r="CWZ28" s="108"/>
      <c r="CXA28" s="108"/>
      <c r="CXB28" s="108"/>
      <c r="CXC28" s="108"/>
      <c r="CXD28" s="108"/>
      <c r="CXE28" s="108"/>
      <c r="CXF28" s="108"/>
      <c r="CXG28" s="108"/>
      <c r="CXH28" s="108"/>
      <c r="CXI28" s="108"/>
      <c r="CXJ28" s="108"/>
      <c r="CXK28" s="108"/>
      <c r="CXL28" s="108"/>
      <c r="CXM28" s="108"/>
      <c r="CXN28" s="108"/>
      <c r="CXO28" s="108"/>
      <c r="CXP28" s="108"/>
      <c r="CXQ28" s="108"/>
      <c r="CXR28" s="108"/>
      <c r="CXS28" s="108"/>
      <c r="CXT28" s="108"/>
      <c r="CXU28" s="108"/>
      <c r="CXV28" s="108"/>
      <c r="CXW28" s="108"/>
      <c r="CXX28" s="108"/>
      <c r="CXY28" s="108"/>
      <c r="CXZ28" s="108"/>
      <c r="CYA28" s="108"/>
      <c r="CYB28" s="108"/>
      <c r="CYC28" s="108"/>
      <c r="CYD28" s="108"/>
      <c r="CYE28" s="108"/>
      <c r="CYF28" s="108"/>
      <c r="CYG28" s="108"/>
      <c r="CYH28" s="108"/>
      <c r="CYI28" s="108"/>
      <c r="CYJ28" s="108"/>
      <c r="CYK28" s="108"/>
      <c r="CYL28" s="108"/>
      <c r="CYM28" s="108"/>
      <c r="CYN28" s="108"/>
      <c r="CYO28" s="108"/>
      <c r="CYP28" s="108"/>
      <c r="CYQ28" s="108"/>
      <c r="CYR28" s="108"/>
      <c r="CYS28" s="108"/>
      <c r="CYT28" s="108"/>
      <c r="CYU28" s="108"/>
      <c r="CYV28" s="108"/>
      <c r="CYW28" s="108"/>
      <c r="CYX28" s="108"/>
      <c r="CYY28" s="108"/>
      <c r="CYZ28" s="108"/>
      <c r="CZA28" s="108"/>
      <c r="CZB28" s="108"/>
      <c r="CZC28" s="108"/>
      <c r="CZD28" s="108"/>
      <c r="CZE28" s="108"/>
      <c r="CZF28" s="108"/>
      <c r="CZG28" s="108"/>
      <c r="CZH28" s="108"/>
      <c r="CZI28" s="108"/>
      <c r="CZJ28" s="108"/>
      <c r="CZK28" s="108"/>
      <c r="CZL28" s="108"/>
      <c r="CZM28" s="108"/>
      <c r="CZN28" s="108"/>
      <c r="CZO28" s="108"/>
      <c r="CZP28" s="108"/>
      <c r="CZQ28" s="108"/>
      <c r="CZR28" s="108"/>
      <c r="CZS28" s="108"/>
      <c r="CZT28" s="108"/>
      <c r="CZU28" s="108"/>
      <c r="CZV28" s="108"/>
      <c r="CZW28" s="108"/>
      <c r="CZX28" s="108"/>
      <c r="CZY28" s="108"/>
      <c r="CZZ28" s="108"/>
      <c r="DAA28" s="108"/>
      <c r="DAB28" s="108"/>
      <c r="DAC28" s="108"/>
      <c r="DAD28" s="108"/>
      <c r="DAE28" s="108"/>
      <c r="DAF28" s="108"/>
      <c r="DAG28" s="108"/>
      <c r="DAH28" s="108"/>
      <c r="DAI28" s="108"/>
      <c r="DAJ28" s="108"/>
      <c r="DAK28" s="108"/>
      <c r="DAL28" s="108"/>
      <c r="DAM28" s="108"/>
      <c r="DAN28" s="108"/>
      <c r="DAO28" s="108"/>
      <c r="DAP28" s="108"/>
      <c r="DAQ28" s="108"/>
      <c r="DAR28" s="108"/>
      <c r="DAS28" s="108"/>
      <c r="DAT28" s="108"/>
      <c r="DAU28" s="108"/>
      <c r="DAV28" s="108"/>
      <c r="DAW28" s="108"/>
      <c r="DAX28" s="108"/>
      <c r="DAY28" s="108"/>
      <c r="DAZ28" s="108"/>
      <c r="DBA28" s="108"/>
      <c r="DBB28" s="108"/>
      <c r="DBC28" s="108"/>
      <c r="DBD28" s="108"/>
      <c r="DBE28" s="108"/>
      <c r="DBF28" s="108"/>
      <c r="DBG28" s="108"/>
      <c r="DBH28" s="108"/>
      <c r="DBI28" s="108"/>
      <c r="DBJ28" s="108"/>
      <c r="DBK28" s="108"/>
      <c r="DBL28" s="108"/>
      <c r="DBM28" s="108"/>
      <c r="DBN28" s="108"/>
      <c r="DBO28" s="108"/>
      <c r="DBP28" s="108"/>
      <c r="DBQ28" s="108"/>
      <c r="DBR28" s="108"/>
      <c r="DBS28" s="108"/>
      <c r="DBT28" s="108"/>
      <c r="DBU28" s="108"/>
      <c r="DBV28" s="108"/>
      <c r="DBW28" s="108"/>
      <c r="DBX28" s="108"/>
      <c r="DBY28" s="108"/>
      <c r="DBZ28" s="108"/>
      <c r="DCA28" s="108"/>
      <c r="DCB28" s="108"/>
      <c r="DCC28" s="108"/>
      <c r="DCD28" s="108"/>
      <c r="DCE28" s="108"/>
      <c r="DCF28" s="108"/>
      <c r="DCG28" s="108"/>
      <c r="DCH28" s="108"/>
      <c r="DCI28" s="108"/>
      <c r="DCJ28" s="108"/>
      <c r="DCK28" s="108"/>
      <c r="DCL28" s="108"/>
      <c r="DCM28" s="108"/>
      <c r="DCN28" s="108"/>
      <c r="DCO28" s="108"/>
      <c r="DCP28" s="108"/>
      <c r="DCQ28" s="108"/>
      <c r="DCR28" s="108"/>
      <c r="DCS28" s="108"/>
      <c r="DCT28" s="108"/>
      <c r="DCU28" s="108"/>
      <c r="DCV28" s="108"/>
      <c r="DCW28" s="108"/>
      <c r="DCX28" s="108"/>
      <c r="DCY28" s="108"/>
      <c r="DCZ28" s="108"/>
      <c r="DDA28" s="108"/>
      <c r="DDB28" s="108"/>
      <c r="DDC28" s="108"/>
      <c r="DDD28" s="108"/>
      <c r="DDE28" s="108"/>
      <c r="DDF28" s="108"/>
      <c r="DDG28" s="108"/>
      <c r="DDH28" s="108"/>
      <c r="DDI28" s="108"/>
      <c r="DDJ28" s="108"/>
      <c r="DDK28" s="108"/>
      <c r="DDL28" s="108"/>
      <c r="DDM28" s="108"/>
      <c r="DDN28" s="108"/>
      <c r="DDO28" s="108"/>
      <c r="DDP28" s="108"/>
      <c r="DDQ28" s="108"/>
      <c r="DDR28" s="108"/>
      <c r="DDS28" s="108"/>
      <c r="DDT28" s="108"/>
      <c r="DDU28" s="108"/>
      <c r="DDV28" s="108"/>
      <c r="DDW28" s="108"/>
      <c r="DDX28" s="108"/>
      <c r="DDY28" s="108"/>
      <c r="DDZ28" s="108"/>
      <c r="DEA28" s="108"/>
      <c r="DEB28" s="108"/>
      <c r="DEC28" s="108"/>
      <c r="DED28" s="108"/>
      <c r="DEE28" s="108"/>
      <c r="DEF28" s="108"/>
      <c r="DEG28" s="108"/>
      <c r="DEH28" s="108"/>
      <c r="DEI28" s="108"/>
      <c r="DEJ28" s="108"/>
      <c r="DEK28" s="108"/>
      <c r="DEL28" s="108"/>
      <c r="DEM28" s="108"/>
      <c r="DEN28" s="108"/>
      <c r="DEO28" s="108"/>
      <c r="DEP28" s="108"/>
      <c r="DEQ28" s="108"/>
      <c r="DER28" s="108"/>
      <c r="DES28" s="108"/>
      <c r="DET28" s="108"/>
      <c r="DEU28" s="108"/>
      <c r="DEV28" s="108"/>
      <c r="DEW28" s="108"/>
      <c r="DEX28" s="108"/>
      <c r="DEY28" s="108"/>
      <c r="DEZ28" s="108"/>
      <c r="DFA28" s="108"/>
      <c r="DFB28" s="108"/>
      <c r="DFC28" s="108"/>
      <c r="DFD28" s="108"/>
      <c r="DFE28" s="108"/>
      <c r="DFF28" s="108"/>
      <c r="DFG28" s="108"/>
      <c r="DFH28" s="108"/>
      <c r="DFI28" s="108"/>
      <c r="DFJ28" s="108"/>
      <c r="DFK28" s="108"/>
      <c r="DFL28" s="108"/>
      <c r="DFM28" s="108"/>
      <c r="DFN28" s="108"/>
      <c r="DFO28" s="108"/>
      <c r="DFP28" s="108"/>
      <c r="DFQ28" s="108"/>
      <c r="DFR28" s="108"/>
      <c r="DFS28" s="108"/>
      <c r="DFT28" s="108"/>
      <c r="DFU28" s="108"/>
      <c r="DFV28" s="108"/>
      <c r="DFW28" s="108"/>
      <c r="DFX28" s="108"/>
      <c r="DFY28" s="108"/>
      <c r="DFZ28" s="108"/>
      <c r="DGA28" s="108"/>
      <c r="DGB28" s="108"/>
      <c r="DGC28" s="108"/>
      <c r="DGD28" s="108"/>
      <c r="DGE28" s="108"/>
      <c r="DGF28" s="108"/>
      <c r="DGG28" s="108"/>
      <c r="DGH28" s="108"/>
      <c r="DGI28" s="108"/>
      <c r="DGJ28" s="108"/>
      <c r="DGK28" s="108"/>
      <c r="DGL28" s="108"/>
      <c r="DGM28" s="108"/>
      <c r="DGN28" s="108"/>
      <c r="DGO28" s="108"/>
      <c r="DGP28" s="108"/>
      <c r="DGQ28" s="108"/>
      <c r="DGR28" s="108"/>
      <c r="DGS28" s="108"/>
      <c r="DGT28" s="108"/>
      <c r="DGU28" s="108"/>
      <c r="DGV28" s="108"/>
      <c r="DGW28" s="108"/>
      <c r="DGX28" s="108"/>
      <c r="DGY28" s="108"/>
      <c r="DGZ28" s="108"/>
      <c r="DHA28" s="108"/>
      <c r="DHB28" s="108"/>
      <c r="DHC28" s="108"/>
      <c r="DHD28" s="108"/>
      <c r="DHE28" s="108"/>
      <c r="DHF28" s="108"/>
      <c r="DHG28" s="108"/>
      <c r="DHH28" s="108"/>
      <c r="DHI28" s="108"/>
      <c r="DHJ28" s="108"/>
      <c r="DHK28" s="108"/>
      <c r="DHL28" s="108"/>
      <c r="DHM28" s="108"/>
      <c r="DHN28" s="108"/>
      <c r="DHO28" s="108"/>
      <c r="DHP28" s="108"/>
      <c r="DHQ28" s="108"/>
      <c r="DHR28" s="108"/>
      <c r="DHS28" s="108"/>
      <c r="DHT28" s="108"/>
      <c r="DHU28" s="108"/>
      <c r="DHV28" s="108"/>
      <c r="DHW28" s="108"/>
      <c r="DHX28" s="108"/>
      <c r="DHY28" s="108"/>
      <c r="DHZ28" s="108"/>
      <c r="DIA28" s="108"/>
      <c r="DIB28" s="108"/>
      <c r="DIC28" s="108"/>
      <c r="DID28" s="108"/>
      <c r="DIE28" s="108"/>
      <c r="DIF28" s="108"/>
      <c r="DIG28" s="108"/>
      <c r="DIH28" s="108"/>
      <c r="DII28" s="108"/>
      <c r="DIJ28" s="108"/>
      <c r="DIK28" s="108"/>
      <c r="DIL28" s="108"/>
      <c r="DIM28" s="108"/>
      <c r="DIN28" s="108"/>
      <c r="DIO28" s="108"/>
      <c r="DIP28" s="108"/>
      <c r="DIQ28" s="108"/>
      <c r="DIR28" s="108"/>
      <c r="DIS28" s="108"/>
      <c r="DIT28" s="108"/>
      <c r="DIU28" s="108"/>
      <c r="DIV28" s="108"/>
      <c r="DIW28" s="108"/>
      <c r="DIX28" s="108"/>
      <c r="DIY28" s="108"/>
      <c r="DIZ28" s="108"/>
      <c r="DJA28" s="108"/>
      <c r="DJB28" s="108"/>
      <c r="DJC28" s="108"/>
      <c r="DJD28" s="108"/>
      <c r="DJE28" s="108"/>
      <c r="DJF28" s="108"/>
      <c r="DJG28" s="108"/>
      <c r="DJH28" s="108"/>
      <c r="DJI28" s="108"/>
      <c r="DJJ28" s="108"/>
      <c r="DJK28" s="108"/>
      <c r="DJL28" s="108"/>
      <c r="DJM28" s="108"/>
      <c r="DJN28" s="108"/>
      <c r="DJO28" s="108"/>
      <c r="DJP28" s="108"/>
      <c r="DJQ28" s="108"/>
      <c r="DJR28" s="108"/>
      <c r="DJS28" s="108"/>
      <c r="DJT28" s="108"/>
      <c r="DJU28" s="108"/>
      <c r="DJV28" s="108"/>
      <c r="DJW28" s="108"/>
      <c r="DJX28" s="108"/>
      <c r="DJY28" s="108"/>
      <c r="DJZ28" s="108"/>
      <c r="DKA28" s="108"/>
      <c r="DKB28" s="108"/>
      <c r="DKC28" s="108"/>
      <c r="DKD28" s="108"/>
      <c r="DKE28" s="108"/>
      <c r="DKF28" s="108"/>
      <c r="DKG28" s="108"/>
      <c r="DKH28" s="108"/>
      <c r="DKI28" s="108"/>
      <c r="DKJ28" s="108"/>
      <c r="DKK28" s="108"/>
      <c r="DKL28" s="108"/>
      <c r="DKM28" s="108"/>
      <c r="DKN28" s="108"/>
      <c r="DKO28" s="108"/>
      <c r="DKP28" s="108"/>
      <c r="DKQ28" s="108"/>
      <c r="DKR28" s="108"/>
      <c r="DKS28" s="108"/>
      <c r="DKT28" s="108"/>
      <c r="DKU28" s="108"/>
      <c r="DKV28" s="108"/>
      <c r="DKW28" s="108"/>
      <c r="DKX28" s="108"/>
      <c r="DKY28" s="108"/>
      <c r="DKZ28" s="108"/>
      <c r="DLA28" s="108"/>
      <c r="DLB28" s="108"/>
      <c r="DLC28" s="108"/>
      <c r="DLD28" s="108"/>
      <c r="DLE28" s="108"/>
      <c r="DLF28" s="108"/>
      <c r="DLG28" s="108"/>
      <c r="DLH28" s="108"/>
      <c r="DLI28" s="108"/>
      <c r="DLJ28" s="108"/>
      <c r="DLK28" s="108"/>
      <c r="DLL28" s="108"/>
      <c r="DLM28" s="108"/>
      <c r="DLN28" s="108"/>
      <c r="DLO28" s="108"/>
      <c r="DLP28" s="108"/>
      <c r="DLQ28" s="108"/>
      <c r="DLR28" s="108"/>
      <c r="DLS28" s="108"/>
      <c r="DLT28" s="108"/>
      <c r="DLU28" s="108"/>
      <c r="DLV28" s="108"/>
      <c r="DLW28" s="108"/>
      <c r="DLX28" s="108"/>
      <c r="DLY28" s="108"/>
      <c r="DLZ28" s="108"/>
      <c r="DMA28" s="108"/>
      <c r="DMB28" s="108"/>
      <c r="DMC28" s="108"/>
      <c r="DMD28" s="108"/>
      <c r="DME28" s="108"/>
      <c r="DMF28" s="108"/>
      <c r="DMG28" s="108"/>
      <c r="DMH28" s="108"/>
      <c r="DMI28" s="108"/>
      <c r="DMJ28" s="108"/>
      <c r="DMK28" s="108"/>
      <c r="DML28" s="108"/>
      <c r="DMM28" s="108"/>
      <c r="DMN28" s="108"/>
      <c r="DMO28" s="108"/>
      <c r="DMP28" s="108"/>
      <c r="DMQ28" s="108"/>
      <c r="DMR28" s="108"/>
      <c r="DMS28" s="108"/>
      <c r="DMT28" s="108"/>
      <c r="DMU28" s="108"/>
      <c r="DMV28" s="108"/>
      <c r="DMW28" s="108"/>
      <c r="DMX28" s="108"/>
      <c r="DMY28" s="108"/>
      <c r="DMZ28" s="108"/>
      <c r="DNA28" s="108"/>
      <c r="DNB28" s="108"/>
      <c r="DNC28" s="108"/>
      <c r="DND28" s="108"/>
      <c r="DNE28" s="108"/>
      <c r="DNF28" s="108"/>
      <c r="DNG28" s="108"/>
      <c r="DNH28" s="108"/>
      <c r="DNI28" s="108"/>
      <c r="DNJ28" s="108"/>
      <c r="DNK28" s="108"/>
      <c r="DNL28" s="108"/>
      <c r="DNM28" s="108"/>
      <c r="DNN28" s="108"/>
      <c r="DNO28" s="108"/>
      <c r="DNP28" s="108"/>
      <c r="DNQ28" s="108"/>
      <c r="DNR28" s="108"/>
      <c r="DNS28" s="108"/>
      <c r="DNT28" s="108"/>
      <c r="DNU28" s="108"/>
      <c r="DNV28" s="108"/>
      <c r="DNW28" s="108"/>
      <c r="DNX28" s="108"/>
      <c r="DNY28" s="108"/>
      <c r="DNZ28" s="108"/>
      <c r="DOA28" s="108"/>
      <c r="DOB28" s="108"/>
      <c r="DOC28" s="108"/>
      <c r="DOD28" s="108"/>
      <c r="DOE28" s="108"/>
      <c r="DOF28" s="108"/>
      <c r="DOG28" s="108"/>
      <c r="DOH28" s="108"/>
      <c r="DOI28" s="108"/>
      <c r="DOJ28" s="108"/>
      <c r="DOK28" s="108"/>
      <c r="DOL28" s="108"/>
      <c r="DOM28" s="108"/>
      <c r="DON28" s="108"/>
      <c r="DOO28" s="108"/>
      <c r="DOP28" s="108"/>
      <c r="DOQ28" s="108"/>
      <c r="DOR28" s="108"/>
      <c r="DOS28" s="108"/>
      <c r="DOT28" s="108"/>
      <c r="DOU28" s="108"/>
      <c r="DOV28" s="108"/>
      <c r="DOW28" s="108"/>
      <c r="DOX28" s="108"/>
      <c r="DOY28" s="108"/>
      <c r="DOZ28" s="108"/>
      <c r="DPA28" s="108"/>
      <c r="DPB28" s="108"/>
      <c r="DPC28" s="108"/>
      <c r="DPD28" s="108"/>
      <c r="DPE28" s="108"/>
      <c r="DPF28" s="108"/>
      <c r="DPG28" s="108"/>
      <c r="DPH28" s="108"/>
      <c r="DPI28" s="108"/>
      <c r="DPJ28" s="108"/>
      <c r="DPK28" s="108"/>
      <c r="DPL28" s="108"/>
      <c r="DPM28" s="108"/>
      <c r="DPN28" s="108"/>
      <c r="DPO28" s="108"/>
      <c r="DPP28" s="108"/>
      <c r="DPQ28" s="108"/>
      <c r="DPR28" s="108"/>
      <c r="DPS28" s="108"/>
      <c r="DPT28" s="108"/>
      <c r="DPU28" s="108"/>
      <c r="DPV28" s="108"/>
      <c r="DPW28" s="108"/>
      <c r="DPX28" s="108"/>
      <c r="DPY28" s="108"/>
      <c r="DPZ28" s="108"/>
      <c r="DQA28" s="108"/>
      <c r="DQB28" s="108"/>
      <c r="DQC28" s="108"/>
      <c r="DQD28" s="108"/>
      <c r="DQE28" s="108"/>
      <c r="DQF28" s="108"/>
      <c r="DQG28" s="108"/>
      <c r="DQH28" s="108"/>
      <c r="DQI28" s="108"/>
      <c r="DQJ28" s="108"/>
      <c r="DQK28" s="108"/>
      <c r="DQL28" s="108"/>
      <c r="DQM28" s="108"/>
      <c r="DQN28" s="108"/>
      <c r="DQO28" s="108"/>
      <c r="DQP28" s="108"/>
      <c r="DQQ28" s="108"/>
      <c r="DQR28" s="108"/>
      <c r="DQS28" s="108"/>
      <c r="DQT28" s="108"/>
      <c r="DQU28" s="108"/>
      <c r="DQV28" s="108"/>
      <c r="DQW28" s="108"/>
      <c r="DQX28" s="108"/>
      <c r="DQY28" s="108"/>
      <c r="DQZ28" s="108"/>
      <c r="DRA28" s="108"/>
      <c r="DRB28" s="108"/>
      <c r="DRC28" s="108"/>
      <c r="DRD28" s="108"/>
      <c r="DRE28" s="108"/>
      <c r="DRF28" s="108"/>
      <c r="DRG28" s="108"/>
      <c r="DRH28" s="108"/>
      <c r="DRI28" s="108"/>
      <c r="DRJ28" s="108"/>
      <c r="DRK28" s="108"/>
      <c r="DRL28" s="108"/>
      <c r="DRM28" s="108"/>
      <c r="DRN28" s="108"/>
      <c r="DRO28" s="108"/>
      <c r="DRP28" s="108"/>
      <c r="DRQ28" s="108"/>
      <c r="DRR28" s="108"/>
      <c r="DRS28" s="108"/>
      <c r="DRT28" s="108"/>
      <c r="DRU28" s="108"/>
      <c r="DRV28" s="108"/>
      <c r="DRW28" s="108"/>
      <c r="DRX28" s="108"/>
      <c r="DRY28" s="108"/>
      <c r="DRZ28" s="108"/>
      <c r="DSA28" s="108"/>
      <c r="DSB28" s="108"/>
      <c r="DSC28" s="108"/>
      <c r="DSD28" s="108"/>
      <c r="DSE28" s="108"/>
      <c r="DSF28" s="108"/>
      <c r="DSG28" s="108"/>
      <c r="DSH28" s="108"/>
      <c r="DSI28" s="108"/>
      <c r="DSJ28" s="108"/>
      <c r="DSK28" s="108"/>
      <c r="DSL28" s="108"/>
      <c r="DSM28" s="108"/>
      <c r="DSN28" s="108"/>
      <c r="DSO28" s="108"/>
      <c r="DSP28" s="108"/>
      <c r="DSQ28" s="108"/>
      <c r="DSR28" s="108"/>
      <c r="DSS28" s="108"/>
      <c r="DST28" s="108"/>
      <c r="DSU28" s="108"/>
      <c r="DSV28" s="108"/>
      <c r="DSW28" s="108"/>
      <c r="DSX28" s="108"/>
      <c r="DSY28" s="108"/>
      <c r="DSZ28" s="108"/>
      <c r="DTA28" s="108"/>
      <c r="DTB28" s="108"/>
      <c r="DTC28" s="108"/>
      <c r="DTD28" s="108"/>
      <c r="DTE28" s="108"/>
      <c r="DTF28" s="108"/>
      <c r="DTG28" s="108"/>
      <c r="DTH28" s="108"/>
      <c r="DTI28" s="108"/>
      <c r="DTJ28" s="108"/>
      <c r="DTK28" s="108"/>
      <c r="DTL28" s="108"/>
      <c r="DTM28" s="108"/>
      <c r="DTN28" s="108"/>
      <c r="DTO28" s="108"/>
      <c r="DTP28" s="108"/>
      <c r="DTQ28" s="108"/>
      <c r="DTR28" s="108"/>
      <c r="DTS28" s="108"/>
      <c r="DTT28" s="108"/>
      <c r="DTU28" s="108"/>
      <c r="DTV28" s="108"/>
      <c r="DTW28" s="108"/>
      <c r="DTX28" s="108"/>
      <c r="DTY28" s="108"/>
      <c r="DTZ28" s="108"/>
      <c r="DUA28" s="108"/>
      <c r="DUB28" s="108"/>
      <c r="DUC28" s="108"/>
      <c r="DUD28" s="108"/>
      <c r="DUE28" s="108"/>
      <c r="DUF28" s="108"/>
      <c r="DUG28" s="108"/>
      <c r="DUH28" s="108"/>
      <c r="DUI28" s="108"/>
      <c r="DUJ28" s="108"/>
      <c r="DUK28" s="108"/>
      <c r="DUL28" s="108"/>
      <c r="DUM28" s="108"/>
      <c r="DUN28" s="108"/>
      <c r="DUO28" s="108"/>
      <c r="DUP28" s="108"/>
      <c r="DUQ28" s="108"/>
      <c r="DUR28" s="108"/>
      <c r="DUS28" s="108"/>
      <c r="DUT28" s="108"/>
      <c r="DUU28" s="108"/>
      <c r="DUV28" s="108"/>
      <c r="DUW28" s="108"/>
      <c r="DUX28" s="108"/>
      <c r="DUY28" s="108"/>
      <c r="DUZ28" s="108"/>
      <c r="DVA28" s="108"/>
      <c r="DVB28" s="108"/>
      <c r="DVC28" s="108"/>
      <c r="DVD28" s="108"/>
      <c r="DVE28" s="108"/>
      <c r="DVF28" s="108"/>
      <c r="DVG28" s="108"/>
      <c r="DVH28" s="108"/>
      <c r="DVI28" s="108"/>
      <c r="DVJ28" s="108"/>
      <c r="DVK28" s="108"/>
      <c r="DVL28" s="108"/>
      <c r="DVM28" s="108"/>
      <c r="DVN28" s="108"/>
      <c r="DVO28" s="108"/>
      <c r="DVP28" s="108"/>
      <c r="DVQ28" s="108"/>
      <c r="DVR28" s="108"/>
      <c r="DVS28" s="108"/>
      <c r="DVT28" s="108"/>
      <c r="DVU28" s="108"/>
      <c r="DVV28" s="108"/>
      <c r="DVW28" s="108"/>
      <c r="DVX28" s="108"/>
      <c r="DVY28" s="108"/>
      <c r="DVZ28" s="108"/>
      <c r="DWA28" s="108"/>
      <c r="DWB28" s="108"/>
      <c r="DWC28" s="108"/>
      <c r="DWD28" s="108"/>
      <c r="DWE28" s="108"/>
      <c r="DWF28" s="108"/>
      <c r="DWG28" s="108"/>
      <c r="DWH28" s="108"/>
      <c r="DWI28" s="108"/>
      <c r="DWJ28" s="108"/>
      <c r="DWK28" s="108"/>
      <c r="DWL28" s="108"/>
      <c r="DWM28" s="108"/>
      <c r="DWN28" s="108"/>
      <c r="DWO28" s="108"/>
      <c r="DWP28" s="108"/>
      <c r="DWQ28" s="108"/>
      <c r="DWR28" s="108"/>
      <c r="DWS28" s="108"/>
      <c r="DWT28" s="108"/>
      <c r="DWU28" s="108"/>
      <c r="DWV28" s="108"/>
      <c r="DWW28" s="108"/>
      <c r="DWX28" s="108"/>
      <c r="DWY28" s="108"/>
      <c r="DWZ28" s="108"/>
      <c r="DXA28" s="108"/>
      <c r="DXB28" s="108"/>
      <c r="DXC28" s="108"/>
      <c r="DXD28" s="108"/>
      <c r="DXE28" s="108"/>
      <c r="DXF28" s="108"/>
      <c r="DXG28" s="108"/>
      <c r="DXH28" s="108"/>
      <c r="DXI28" s="108"/>
      <c r="DXJ28" s="108"/>
      <c r="DXK28" s="108"/>
      <c r="DXL28" s="108"/>
      <c r="DXM28" s="108"/>
      <c r="DXN28" s="108"/>
      <c r="DXO28" s="108"/>
      <c r="DXP28" s="108"/>
      <c r="DXQ28" s="108"/>
      <c r="DXR28" s="108"/>
      <c r="DXS28" s="108"/>
      <c r="DXT28" s="108"/>
      <c r="DXU28" s="108"/>
      <c r="DXV28" s="108"/>
      <c r="DXW28" s="108"/>
      <c r="DXX28" s="108"/>
      <c r="DXY28" s="108"/>
      <c r="DXZ28" s="108"/>
      <c r="DYA28" s="108"/>
      <c r="DYB28" s="108"/>
      <c r="DYC28" s="108"/>
      <c r="DYD28" s="108"/>
      <c r="DYE28" s="108"/>
      <c r="DYF28" s="108"/>
      <c r="DYG28" s="108"/>
      <c r="DYH28" s="108"/>
      <c r="DYI28" s="108"/>
      <c r="DYJ28" s="108"/>
      <c r="DYK28" s="108"/>
      <c r="DYL28" s="108"/>
      <c r="DYM28" s="108"/>
      <c r="DYN28" s="108"/>
      <c r="DYO28" s="108"/>
      <c r="DYP28" s="108"/>
      <c r="DYQ28" s="108"/>
      <c r="DYR28" s="108"/>
      <c r="DYS28" s="108"/>
      <c r="DYT28" s="108"/>
      <c r="DYU28" s="108"/>
      <c r="DYV28" s="108"/>
      <c r="DYW28" s="108"/>
      <c r="DYX28" s="108"/>
      <c r="DYY28" s="108"/>
      <c r="DYZ28" s="108"/>
      <c r="DZA28" s="108"/>
      <c r="DZB28" s="108"/>
      <c r="DZC28" s="108"/>
      <c r="DZD28" s="108"/>
      <c r="DZE28" s="108"/>
      <c r="DZF28" s="108"/>
      <c r="DZG28" s="108"/>
      <c r="DZH28" s="108"/>
      <c r="DZI28" s="108"/>
      <c r="DZJ28" s="108"/>
      <c r="DZK28" s="108"/>
      <c r="DZL28" s="108"/>
      <c r="DZM28" s="108"/>
      <c r="DZN28" s="108"/>
      <c r="DZO28" s="108"/>
      <c r="DZP28" s="108"/>
      <c r="DZQ28" s="108"/>
      <c r="DZR28" s="108"/>
      <c r="DZS28" s="108"/>
      <c r="DZT28" s="108"/>
      <c r="DZU28" s="108"/>
      <c r="DZV28" s="108"/>
      <c r="DZW28" s="108"/>
      <c r="DZX28" s="108"/>
      <c r="DZY28" s="108"/>
      <c r="DZZ28" s="108"/>
      <c r="EAA28" s="108"/>
      <c r="EAB28" s="108"/>
      <c r="EAC28" s="108"/>
      <c r="EAD28" s="108"/>
      <c r="EAE28" s="108"/>
      <c r="EAF28" s="108"/>
      <c r="EAG28" s="108"/>
      <c r="EAH28" s="108"/>
      <c r="EAI28" s="108"/>
      <c r="EAJ28" s="108"/>
      <c r="EAK28" s="108"/>
      <c r="EAL28" s="108"/>
      <c r="EAM28" s="108"/>
      <c r="EAN28" s="108"/>
      <c r="EAO28" s="108"/>
      <c r="EAP28" s="108"/>
      <c r="EAQ28" s="108"/>
      <c r="EAR28" s="108"/>
      <c r="EAS28" s="108"/>
      <c r="EAT28" s="108"/>
      <c r="EAU28" s="108"/>
      <c r="EAV28" s="108"/>
      <c r="EAW28" s="108"/>
      <c r="EAX28" s="108"/>
      <c r="EAY28" s="108"/>
      <c r="EAZ28" s="108"/>
      <c r="EBA28" s="108"/>
      <c r="EBB28" s="108"/>
      <c r="EBC28" s="108"/>
      <c r="EBD28" s="108"/>
      <c r="EBE28" s="108"/>
      <c r="EBF28" s="108"/>
      <c r="EBG28" s="108"/>
      <c r="EBH28" s="108"/>
      <c r="EBI28" s="108"/>
      <c r="EBJ28" s="108"/>
      <c r="EBK28" s="108"/>
      <c r="EBL28" s="108"/>
      <c r="EBM28" s="108"/>
      <c r="EBN28" s="108"/>
      <c r="EBO28" s="108"/>
      <c r="EBP28" s="108"/>
      <c r="EBQ28" s="108"/>
      <c r="EBR28" s="108"/>
      <c r="EBS28" s="108"/>
      <c r="EBT28" s="108"/>
      <c r="EBU28" s="108"/>
      <c r="EBV28" s="108"/>
      <c r="EBW28" s="108"/>
      <c r="EBX28" s="108"/>
      <c r="EBY28" s="108"/>
      <c r="EBZ28" s="108"/>
      <c r="ECA28" s="108"/>
      <c r="ECB28" s="108"/>
      <c r="ECC28" s="108"/>
      <c r="ECD28" s="108"/>
      <c r="ECE28" s="108"/>
      <c r="ECF28" s="108"/>
      <c r="ECG28" s="108"/>
      <c r="ECH28" s="108"/>
      <c r="ECI28" s="108"/>
      <c r="ECJ28" s="108"/>
      <c r="ECK28" s="108"/>
      <c r="ECL28" s="108"/>
      <c r="ECM28" s="108"/>
      <c r="ECN28" s="108"/>
      <c r="ECO28" s="108"/>
      <c r="ECP28" s="108"/>
      <c r="ECQ28" s="108"/>
      <c r="ECR28" s="108"/>
      <c r="ECS28" s="108"/>
      <c r="ECT28" s="108"/>
      <c r="ECU28" s="108"/>
      <c r="ECV28" s="108"/>
      <c r="ECW28" s="108"/>
      <c r="ECX28" s="108"/>
      <c r="ECY28" s="108"/>
      <c r="ECZ28" s="108"/>
      <c r="EDA28" s="108"/>
      <c r="EDB28" s="108"/>
      <c r="EDC28" s="108"/>
      <c r="EDD28" s="108"/>
      <c r="EDE28" s="108"/>
      <c r="EDF28" s="108"/>
      <c r="EDG28" s="108"/>
      <c r="EDH28" s="108"/>
      <c r="EDI28" s="108"/>
      <c r="EDJ28" s="108"/>
      <c r="EDK28" s="108"/>
      <c r="EDL28" s="108"/>
      <c r="EDM28" s="108"/>
      <c r="EDN28" s="108"/>
      <c r="EDO28" s="108"/>
      <c r="EDP28" s="108"/>
      <c r="EDQ28" s="108"/>
      <c r="EDR28" s="108"/>
      <c r="EDS28" s="108"/>
      <c r="EDT28" s="108"/>
      <c r="EDU28" s="108"/>
      <c r="EDV28" s="108"/>
      <c r="EDW28" s="108"/>
      <c r="EDX28" s="108"/>
      <c r="EDY28" s="108"/>
      <c r="EDZ28" s="108"/>
      <c r="EEA28" s="108"/>
      <c r="EEB28" s="108"/>
      <c r="EEC28" s="108"/>
      <c r="EED28" s="108"/>
      <c r="EEE28" s="108"/>
      <c r="EEF28" s="108"/>
      <c r="EEG28" s="108"/>
      <c r="EEH28" s="108"/>
      <c r="EEI28" s="108"/>
      <c r="EEJ28" s="108"/>
      <c r="EEK28" s="108"/>
      <c r="EEL28" s="108"/>
      <c r="EEM28" s="108"/>
      <c r="EEN28" s="108"/>
      <c r="EEO28" s="108"/>
      <c r="EEP28" s="108"/>
      <c r="EEQ28" s="108"/>
      <c r="EER28" s="108"/>
      <c r="EES28" s="108"/>
      <c r="EET28" s="108"/>
      <c r="EEU28" s="108"/>
      <c r="EEV28" s="108"/>
      <c r="EEW28" s="108"/>
      <c r="EEX28" s="108"/>
      <c r="EEY28" s="108"/>
      <c r="EEZ28" s="108"/>
      <c r="EFA28" s="108"/>
      <c r="EFB28" s="108"/>
      <c r="EFC28" s="108"/>
      <c r="EFD28" s="108"/>
      <c r="EFE28" s="108"/>
      <c r="EFF28" s="108"/>
      <c r="EFG28" s="108"/>
      <c r="EFH28" s="108"/>
      <c r="EFI28" s="108"/>
      <c r="EFJ28" s="108"/>
      <c r="EFK28" s="108"/>
      <c r="EFL28" s="108"/>
      <c r="EFM28" s="108"/>
      <c r="EFN28" s="108"/>
      <c r="EFO28" s="108"/>
      <c r="EFP28" s="108"/>
      <c r="EFQ28" s="108"/>
      <c r="EFR28" s="108"/>
      <c r="EFS28" s="108"/>
      <c r="EFT28" s="108"/>
      <c r="EFU28" s="108"/>
      <c r="EFV28" s="108"/>
      <c r="EFW28" s="108"/>
      <c r="EFX28" s="108"/>
      <c r="EFY28" s="108"/>
      <c r="EFZ28" s="108"/>
      <c r="EGA28" s="108"/>
      <c r="EGB28" s="108"/>
      <c r="EGC28" s="108"/>
      <c r="EGD28" s="108"/>
      <c r="EGE28" s="108"/>
      <c r="EGF28" s="108"/>
      <c r="EGG28" s="108"/>
      <c r="EGH28" s="108"/>
      <c r="EGI28" s="108"/>
      <c r="EGJ28" s="108"/>
      <c r="EGK28" s="108"/>
      <c r="EGL28" s="108"/>
      <c r="EGM28" s="108"/>
      <c r="EGN28" s="108"/>
      <c r="EGO28" s="108"/>
      <c r="EGP28" s="108"/>
      <c r="EGQ28" s="108"/>
      <c r="EGR28" s="108"/>
      <c r="EGS28" s="108"/>
      <c r="EGT28" s="108"/>
      <c r="EGU28" s="108"/>
      <c r="EGV28" s="108"/>
      <c r="EGW28" s="108"/>
      <c r="EGX28" s="108"/>
      <c r="EGY28" s="108"/>
      <c r="EGZ28" s="108"/>
      <c r="EHA28" s="108"/>
      <c r="EHB28" s="108"/>
      <c r="EHC28" s="108"/>
      <c r="EHD28" s="108"/>
      <c r="EHE28" s="108"/>
      <c r="EHF28" s="108"/>
      <c r="EHG28" s="108"/>
      <c r="EHH28" s="108"/>
      <c r="EHI28" s="108"/>
      <c r="EHJ28" s="108"/>
      <c r="EHK28" s="108"/>
      <c r="EHL28" s="108"/>
      <c r="EHM28" s="108"/>
      <c r="EHN28" s="108"/>
      <c r="EHO28" s="108"/>
      <c r="EHP28" s="108"/>
      <c r="EHQ28" s="108"/>
      <c r="EHR28" s="108"/>
      <c r="EHS28" s="108"/>
      <c r="EHT28" s="108"/>
      <c r="EHU28" s="108"/>
      <c r="EHV28" s="108"/>
      <c r="EHW28" s="108"/>
      <c r="EHX28" s="108"/>
      <c r="EHY28" s="108"/>
      <c r="EHZ28" s="108"/>
      <c r="EIA28" s="108"/>
      <c r="EIB28" s="108"/>
      <c r="EIC28" s="108"/>
      <c r="EID28" s="108"/>
      <c r="EIE28" s="108"/>
      <c r="EIF28" s="108"/>
      <c r="EIG28" s="108"/>
      <c r="EIH28" s="108"/>
      <c r="EII28" s="108"/>
      <c r="EIJ28" s="108"/>
      <c r="EIK28" s="108"/>
      <c r="EIL28" s="108"/>
      <c r="EIM28" s="108"/>
      <c r="EIN28" s="108"/>
      <c r="EIO28" s="108"/>
      <c r="EIP28" s="108"/>
      <c r="EIQ28" s="108"/>
      <c r="EIR28" s="108"/>
      <c r="EIS28" s="108"/>
      <c r="EIT28" s="108"/>
      <c r="EIU28" s="108"/>
      <c r="EIV28" s="108"/>
      <c r="EIW28" s="108"/>
      <c r="EIX28" s="108"/>
      <c r="EIY28" s="108"/>
      <c r="EIZ28" s="108"/>
      <c r="EJA28" s="108"/>
      <c r="EJB28" s="108"/>
      <c r="EJC28" s="108"/>
      <c r="EJD28" s="108"/>
      <c r="EJE28" s="108"/>
      <c r="EJF28" s="108"/>
      <c r="EJG28" s="108"/>
      <c r="EJH28" s="108"/>
      <c r="EJI28" s="108"/>
      <c r="EJJ28" s="108"/>
      <c r="EJK28" s="108"/>
      <c r="EJL28" s="108"/>
      <c r="EJM28" s="108"/>
      <c r="EJN28" s="108"/>
      <c r="EJO28" s="108"/>
      <c r="EJP28" s="108"/>
      <c r="EJQ28" s="108"/>
      <c r="EJR28" s="108"/>
      <c r="EJS28" s="108"/>
      <c r="EJT28" s="108"/>
      <c r="EJU28" s="108"/>
      <c r="EJV28" s="108"/>
      <c r="EJW28" s="108"/>
      <c r="EJX28" s="108"/>
      <c r="EJY28" s="108"/>
      <c r="EJZ28" s="108"/>
      <c r="EKA28" s="108"/>
      <c r="EKB28" s="108"/>
      <c r="EKC28" s="108"/>
      <c r="EKD28" s="108"/>
      <c r="EKE28" s="108"/>
      <c r="EKF28" s="108"/>
      <c r="EKG28" s="108"/>
      <c r="EKH28" s="108"/>
      <c r="EKI28" s="108"/>
      <c r="EKJ28" s="108"/>
      <c r="EKK28" s="108"/>
      <c r="EKL28" s="108"/>
      <c r="EKM28" s="108"/>
      <c r="EKN28" s="108"/>
      <c r="EKO28" s="108"/>
      <c r="EKP28" s="108"/>
      <c r="EKQ28" s="108"/>
      <c r="EKR28" s="108"/>
      <c r="EKS28" s="108"/>
      <c r="EKT28" s="108"/>
      <c r="EKU28" s="108"/>
      <c r="EKV28" s="108"/>
      <c r="EKW28" s="108"/>
      <c r="EKX28" s="108"/>
      <c r="EKY28" s="108"/>
      <c r="EKZ28" s="108"/>
      <c r="ELA28" s="108"/>
      <c r="ELB28" s="108"/>
      <c r="ELC28" s="108"/>
      <c r="ELD28" s="108"/>
      <c r="ELE28" s="108"/>
      <c r="ELF28" s="108"/>
      <c r="ELG28" s="108"/>
      <c r="ELH28" s="108"/>
      <c r="ELI28" s="108"/>
      <c r="ELJ28" s="108"/>
      <c r="ELK28" s="108"/>
      <c r="ELL28" s="108"/>
      <c r="ELM28" s="108"/>
      <c r="ELN28" s="108"/>
      <c r="ELO28" s="108"/>
      <c r="ELP28" s="108"/>
      <c r="ELQ28" s="108"/>
      <c r="ELR28" s="108"/>
      <c r="ELS28" s="108"/>
      <c r="ELT28" s="108"/>
      <c r="ELU28" s="108"/>
      <c r="ELV28" s="108"/>
      <c r="ELW28" s="108"/>
      <c r="ELX28" s="108"/>
      <c r="ELY28" s="108"/>
      <c r="ELZ28" s="108"/>
      <c r="EMA28" s="108"/>
      <c r="EMB28" s="108"/>
      <c r="EMC28" s="108"/>
      <c r="EMD28" s="108"/>
      <c r="EME28" s="108"/>
      <c r="EMF28" s="108"/>
      <c r="EMG28" s="108"/>
      <c r="EMH28" s="108"/>
      <c r="EMI28" s="108"/>
      <c r="EMJ28" s="108"/>
      <c r="EMK28" s="108"/>
      <c r="EML28" s="108"/>
      <c r="EMM28" s="108"/>
      <c r="EMN28" s="108"/>
      <c r="EMO28" s="108"/>
      <c r="EMP28" s="108"/>
      <c r="EMQ28" s="108"/>
      <c r="EMR28" s="108"/>
      <c r="EMS28" s="108"/>
      <c r="EMT28" s="108"/>
      <c r="EMU28" s="108"/>
      <c r="EMV28" s="108"/>
      <c r="EMW28" s="108"/>
      <c r="EMX28" s="108"/>
      <c r="EMY28" s="108"/>
      <c r="EMZ28" s="108"/>
      <c r="ENA28" s="108"/>
      <c r="ENB28" s="108"/>
      <c r="ENC28" s="108"/>
      <c r="END28" s="108"/>
      <c r="ENE28" s="108"/>
      <c r="ENF28" s="108"/>
      <c r="ENG28" s="108"/>
      <c r="ENH28" s="108"/>
      <c r="ENI28" s="108"/>
      <c r="ENJ28" s="108"/>
      <c r="ENK28" s="108"/>
      <c r="ENL28" s="108"/>
      <c r="ENM28" s="108"/>
      <c r="ENN28" s="108"/>
      <c r="ENO28" s="108"/>
      <c r="ENP28" s="108"/>
      <c r="ENQ28" s="108"/>
      <c r="ENR28" s="108"/>
      <c r="ENS28" s="108"/>
      <c r="ENT28" s="108"/>
      <c r="ENU28" s="108"/>
      <c r="ENV28" s="108"/>
      <c r="ENW28" s="108"/>
      <c r="ENX28" s="108"/>
      <c r="ENY28" s="108"/>
      <c r="ENZ28" s="108"/>
      <c r="EOA28" s="108"/>
      <c r="EOB28" s="108"/>
      <c r="EOC28" s="108"/>
      <c r="EOD28" s="108"/>
      <c r="EOE28" s="108"/>
      <c r="EOF28" s="108"/>
      <c r="EOG28" s="108"/>
      <c r="EOH28" s="108"/>
      <c r="EOI28" s="108"/>
      <c r="EOJ28" s="108"/>
      <c r="EOK28" s="108"/>
      <c r="EOL28" s="108"/>
      <c r="EOM28" s="108"/>
      <c r="EON28" s="108"/>
      <c r="EOO28" s="108"/>
      <c r="EOP28" s="108"/>
      <c r="EOQ28" s="108"/>
      <c r="EOR28" s="108"/>
      <c r="EOS28" s="108"/>
      <c r="EOT28" s="108"/>
      <c r="EOU28" s="108"/>
      <c r="EOV28" s="108"/>
      <c r="EOW28" s="108"/>
      <c r="EOX28" s="108"/>
      <c r="EOY28" s="108"/>
      <c r="EOZ28" s="108"/>
      <c r="EPA28" s="108"/>
      <c r="EPB28" s="108"/>
      <c r="EPC28" s="108"/>
      <c r="EPD28" s="108"/>
      <c r="EPE28" s="108"/>
      <c r="EPF28" s="108"/>
      <c r="EPG28" s="108"/>
      <c r="EPH28" s="108"/>
      <c r="EPI28" s="108"/>
      <c r="EPJ28" s="108"/>
      <c r="EPK28" s="108"/>
      <c r="EPL28" s="108"/>
      <c r="EPM28" s="108"/>
      <c r="EPN28" s="108"/>
      <c r="EPO28" s="108"/>
      <c r="EPP28" s="108"/>
      <c r="EPQ28" s="108"/>
      <c r="EPR28" s="108"/>
      <c r="EPS28" s="108"/>
      <c r="EPT28" s="108"/>
      <c r="EPU28" s="108"/>
      <c r="EPV28" s="108"/>
      <c r="EPW28" s="108"/>
      <c r="EPX28" s="108"/>
      <c r="EPY28" s="108"/>
      <c r="EPZ28" s="108"/>
      <c r="EQA28" s="108"/>
      <c r="EQB28" s="108"/>
      <c r="EQC28" s="108"/>
      <c r="EQD28" s="108"/>
      <c r="EQE28" s="108"/>
      <c r="EQF28" s="108"/>
      <c r="EQG28" s="108"/>
      <c r="EQH28" s="108"/>
      <c r="EQI28" s="108"/>
      <c r="EQJ28" s="108"/>
      <c r="EQK28" s="108"/>
      <c r="EQL28" s="108"/>
      <c r="EQM28" s="108"/>
      <c r="EQN28" s="108"/>
      <c r="EQO28" s="108"/>
      <c r="EQP28" s="108"/>
      <c r="EQQ28" s="108"/>
      <c r="EQR28" s="108"/>
      <c r="EQS28" s="108"/>
      <c r="EQT28" s="108"/>
      <c r="EQU28" s="108"/>
      <c r="EQV28" s="108"/>
      <c r="EQW28" s="108"/>
      <c r="EQX28" s="108"/>
      <c r="EQY28" s="108"/>
      <c r="EQZ28" s="108"/>
      <c r="ERA28" s="108"/>
      <c r="ERB28" s="108"/>
      <c r="ERC28" s="108"/>
      <c r="ERD28" s="108"/>
      <c r="ERE28" s="108"/>
      <c r="ERF28" s="108"/>
      <c r="ERG28" s="108"/>
      <c r="ERH28" s="108"/>
      <c r="ERI28" s="108"/>
      <c r="ERJ28" s="108"/>
      <c r="ERK28" s="108"/>
      <c r="ERL28" s="108"/>
      <c r="ERM28" s="108"/>
      <c r="ERN28" s="108"/>
      <c r="ERO28" s="108"/>
      <c r="ERP28" s="108"/>
      <c r="ERQ28" s="108"/>
      <c r="ERR28" s="108"/>
      <c r="ERS28" s="108"/>
      <c r="ERT28" s="108"/>
      <c r="ERU28" s="108"/>
      <c r="ERV28" s="108"/>
      <c r="ERW28" s="108"/>
      <c r="ERX28" s="108"/>
      <c r="ERY28" s="108"/>
      <c r="ERZ28" s="108"/>
      <c r="ESA28" s="108"/>
      <c r="ESB28" s="108"/>
      <c r="ESC28" s="108"/>
      <c r="ESD28" s="108"/>
      <c r="ESE28" s="108"/>
      <c r="ESF28" s="108"/>
      <c r="ESG28" s="108"/>
      <c r="ESH28" s="108"/>
      <c r="ESI28" s="108"/>
      <c r="ESJ28" s="108"/>
      <c r="ESK28" s="108"/>
      <c r="ESL28" s="108"/>
      <c r="ESM28" s="108"/>
      <c r="ESN28" s="108"/>
      <c r="ESO28" s="108"/>
      <c r="ESP28" s="108"/>
      <c r="ESQ28" s="108"/>
      <c r="ESR28" s="108"/>
      <c r="ESS28" s="108"/>
      <c r="EST28" s="108"/>
      <c r="ESU28" s="108"/>
      <c r="ESV28" s="108"/>
      <c r="ESW28" s="108"/>
      <c r="ESX28" s="108"/>
      <c r="ESY28" s="108"/>
      <c r="ESZ28" s="108"/>
      <c r="ETA28" s="108"/>
      <c r="ETB28" s="108"/>
      <c r="ETC28" s="108"/>
      <c r="ETD28" s="108"/>
      <c r="ETE28" s="108"/>
      <c r="ETF28" s="108"/>
      <c r="ETG28" s="108"/>
      <c r="ETH28" s="108"/>
      <c r="ETI28" s="108"/>
      <c r="ETJ28" s="108"/>
      <c r="ETK28" s="108"/>
      <c r="ETL28" s="108"/>
      <c r="ETM28" s="108"/>
      <c r="ETN28" s="108"/>
      <c r="ETO28" s="108"/>
      <c r="ETP28" s="108"/>
      <c r="ETQ28" s="108"/>
      <c r="ETR28" s="108"/>
      <c r="ETS28" s="108"/>
      <c r="ETT28" s="108"/>
      <c r="ETU28" s="108"/>
      <c r="ETV28" s="108"/>
      <c r="ETW28" s="108"/>
      <c r="ETX28" s="108"/>
      <c r="ETY28" s="108"/>
      <c r="ETZ28" s="108"/>
      <c r="EUA28" s="108"/>
      <c r="EUB28" s="108"/>
      <c r="EUC28" s="108"/>
      <c r="EUD28" s="108"/>
      <c r="EUE28" s="108"/>
      <c r="EUF28" s="108"/>
      <c r="EUG28" s="108"/>
      <c r="EUH28" s="108"/>
      <c r="EUI28" s="108"/>
      <c r="EUJ28" s="108"/>
      <c r="EUK28" s="108"/>
      <c r="EUL28" s="108"/>
      <c r="EUM28" s="108"/>
      <c r="EUN28" s="108"/>
      <c r="EUO28" s="108"/>
      <c r="EUP28" s="108"/>
      <c r="EUQ28" s="108"/>
      <c r="EUR28" s="108"/>
      <c r="EUS28" s="108"/>
      <c r="EUT28" s="108"/>
      <c r="EUU28" s="108"/>
      <c r="EUV28" s="108"/>
      <c r="EUW28" s="108"/>
      <c r="EUX28" s="108"/>
      <c r="EUY28" s="108"/>
      <c r="EUZ28" s="108"/>
      <c r="EVA28" s="108"/>
      <c r="EVB28" s="108"/>
      <c r="EVC28" s="108"/>
      <c r="EVD28" s="108"/>
      <c r="EVE28" s="108"/>
      <c r="EVF28" s="108"/>
      <c r="EVG28" s="108"/>
      <c r="EVH28" s="108"/>
      <c r="EVI28" s="108"/>
      <c r="EVJ28" s="108"/>
      <c r="EVK28" s="108"/>
      <c r="EVL28" s="108"/>
      <c r="EVM28" s="108"/>
      <c r="EVN28" s="108"/>
      <c r="EVO28" s="108"/>
      <c r="EVP28" s="108"/>
      <c r="EVQ28" s="108"/>
      <c r="EVR28" s="108"/>
      <c r="EVS28" s="108"/>
      <c r="EVT28" s="108"/>
      <c r="EVU28" s="108"/>
      <c r="EVV28" s="108"/>
      <c r="EVW28" s="108"/>
      <c r="EVX28" s="108"/>
      <c r="EVY28" s="108"/>
      <c r="EVZ28" s="108"/>
      <c r="EWA28" s="108"/>
      <c r="EWB28" s="108"/>
      <c r="EWC28" s="108"/>
      <c r="EWD28" s="108"/>
      <c r="EWE28" s="108"/>
      <c r="EWF28" s="108"/>
      <c r="EWG28" s="108"/>
      <c r="EWH28" s="108"/>
      <c r="EWI28" s="108"/>
      <c r="EWJ28" s="108"/>
      <c r="EWK28" s="108"/>
      <c r="EWL28" s="108"/>
      <c r="EWM28" s="108"/>
      <c r="EWN28" s="108"/>
      <c r="EWO28" s="108"/>
      <c r="EWP28" s="108"/>
      <c r="EWQ28" s="108"/>
      <c r="EWR28" s="108"/>
      <c r="EWS28" s="108"/>
      <c r="EWT28" s="108"/>
      <c r="EWU28" s="108"/>
      <c r="EWV28" s="108"/>
      <c r="EWW28" s="108"/>
      <c r="EWX28" s="108"/>
      <c r="EWY28" s="108"/>
      <c r="EWZ28" s="108"/>
      <c r="EXA28" s="108"/>
      <c r="EXB28" s="108"/>
      <c r="EXC28" s="108"/>
      <c r="EXD28" s="108"/>
      <c r="EXE28" s="108"/>
      <c r="EXF28" s="108"/>
      <c r="EXG28" s="108"/>
      <c r="EXH28" s="108"/>
      <c r="EXI28" s="108"/>
      <c r="EXJ28" s="108"/>
      <c r="EXK28" s="108"/>
      <c r="EXL28" s="108"/>
      <c r="EXM28" s="108"/>
      <c r="EXN28" s="108"/>
      <c r="EXO28" s="108"/>
      <c r="EXP28" s="108"/>
      <c r="EXQ28" s="108"/>
      <c r="EXR28" s="108"/>
      <c r="EXS28" s="108"/>
      <c r="EXT28" s="108"/>
      <c r="EXU28" s="108"/>
      <c r="EXV28" s="108"/>
      <c r="EXW28" s="108"/>
      <c r="EXX28" s="108"/>
      <c r="EXY28" s="108"/>
      <c r="EXZ28" s="108"/>
      <c r="EYA28" s="108"/>
      <c r="EYB28" s="108"/>
      <c r="EYC28" s="108"/>
      <c r="EYD28" s="108"/>
      <c r="EYE28" s="108"/>
      <c r="EYF28" s="108"/>
      <c r="EYG28" s="108"/>
      <c r="EYH28" s="108"/>
      <c r="EYI28" s="108"/>
      <c r="EYJ28" s="108"/>
      <c r="EYK28" s="108"/>
      <c r="EYL28" s="108"/>
      <c r="EYM28" s="108"/>
      <c r="EYN28" s="108"/>
      <c r="EYO28" s="108"/>
      <c r="EYP28" s="108"/>
      <c r="EYQ28" s="108"/>
      <c r="EYR28" s="108"/>
      <c r="EYS28" s="108"/>
      <c r="EYT28" s="108"/>
      <c r="EYU28" s="108"/>
      <c r="EYV28" s="108"/>
      <c r="EYW28" s="108"/>
      <c r="EYX28" s="108"/>
      <c r="EYY28" s="108"/>
      <c r="EYZ28" s="108"/>
      <c r="EZA28" s="108"/>
      <c r="EZB28" s="108"/>
      <c r="EZC28" s="108"/>
      <c r="EZD28" s="108"/>
      <c r="EZE28" s="108"/>
      <c r="EZF28" s="108"/>
      <c r="EZG28" s="108"/>
      <c r="EZH28" s="108"/>
      <c r="EZI28" s="108"/>
      <c r="EZJ28" s="108"/>
      <c r="EZK28" s="108"/>
      <c r="EZL28" s="108"/>
      <c r="EZM28" s="108"/>
      <c r="EZN28" s="108"/>
      <c r="EZO28" s="108"/>
      <c r="EZP28" s="108"/>
      <c r="EZQ28" s="108"/>
      <c r="EZR28" s="108"/>
      <c r="EZS28" s="108"/>
      <c r="EZT28" s="108"/>
      <c r="EZU28" s="108"/>
      <c r="EZV28" s="108"/>
      <c r="EZW28" s="108"/>
      <c r="EZX28" s="108"/>
      <c r="EZY28" s="108"/>
      <c r="EZZ28" s="108"/>
      <c r="FAA28" s="108"/>
      <c r="FAB28" s="108"/>
      <c r="FAC28" s="108"/>
      <c r="FAD28" s="108"/>
      <c r="FAE28" s="108"/>
      <c r="FAF28" s="108"/>
      <c r="FAG28" s="108"/>
      <c r="FAH28" s="108"/>
      <c r="FAI28" s="108"/>
      <c r="FAJ28" s="108"/>
      <c r="FAK28" s="108"/>
      <c r="FAL28" s="108"/>
      <c r="FAM28" s="108"/>
      <c r="FAN28" s="108"/>
      <c r="FAO28" s="108"/>
      <c r="FAP28" s="108"/>
      <c r="FAQ28" s="108"/>
      <c r="FAR28" s="108"/>
      <c r="FAS28" s="108"/>
      <c r="FAT28" s="108"/>
      <c r="FAU28" s="108"/>
      <c r="FAV28" s="108"/>
      <c r="FAW28" s="108"/>
      <c r="FAX28" s="108"/>
      <c r="FAY28" s="108"/>
      <c r="FAZ28" s="108"/>
      <c r="FBA28" s="108"/>
      <c r="FBB28" s="108"/>
      <c r="FBC28" s="108"/>
      <c r="FBD28" s="108"/>
      <c r="FBE28" s="108"/>
      <c r="FBF28" s="108"/>
      <c r="FBG28" s="108"/>
      <c r="FBH28" s="108"/>
      <c r="FBI28" s="108"/>
      <c r="FBJ28" s="108"/>
      <c r="FBK28" s="108"/>
      <c r="FBL28" s="108"/>
      <c r="FBM28" s="108"/>
      <c r="FBN28" s="108"/>
      <c r="FBO28" s="108"/>
      <c r="FBP28" s="108"/>
      <c r="FBQ28" s="108"/>
      <c r="FBR28" s="108"/>
      <c r="FBS28" s="108"/>
      <c r="FBT28" s="108"/>
      <c r="FBU28" s="108"/>
      <c r="FBV28" s="108"/>
      <c r="FBW28" s="108"/>
      <c r="FBX28" s="108"/>
      <c r="FBY28" s="108"/>
      <c r="FBZ28" s="108"/>
      <c r="FCA28" s="108"/>
      <c r="FCB28" s="108"/>
      <c r="FCC28" s="108"/>
      <c r="FCD28" s="108"/>
      <c r="FCE28" s="108"/>
      <c r="FCF28" s="108"/>
      <c r="FCG28" s="108"/>
      <c r="FCH28" s="108"/>
      <c r="FCI28" s="108"/>
      <c r="FCJ28" s="108"/>
      <c r="FCK28" s="108"/>
      <c r="FCL28" s="108"/>
      <c r="FCM28" s="108"/>
      <c r="FCN28" s="108"/>
      <c r="FCO28" s="108"/>
      <c r="FCP28" s="108"/>
      <c r="FCQ28" s="108"/>
      <c r="FCR28" s="108"/>
      <c r="FCS28" s="108"/>
      <c r="FCT28" s="108"/>
      <c r="FCU28" s="108"/>
      <c r="FCV28" s="108"/>
      <c r="FCW28" s="108"/>
      <c r="FCX28" s="108"/>
      <c r="FCY28" s="108"/>
      <c r="FCZ28" s="108"/>
      <c r="FDA28" s="108"/>
      <c r="FDB28" s="108"/>
      <c r="FDC28" s="108"/>
      <c r="FDD28" s="108"/>
      <c r="FDE28" s="108"/>
      <c r="FDF28" s="108"/>
      <c r="FDG28" s="108"/>
      <c r="FDH28" s="108"/>
      <c r="FDI28" s="108"/>
      <c r="FDJ28" s="108"/>
      <c r="FDK28" s="108"/>
      <c r="FDL28" s="108"/>
      <c r="FDM28" s="108"/>
      <c r="FDN28" s="108"/>
      <c r="FDO28" s="108"/>
      <c r="FDP28" s="108"/>
      <c r="FDQ28" s="108"/>
      <c r="FDR28" s="108"/>
      <c r="FDS28" s="108"/>
      <c r="FDT28" s="108"/>
      <c r="FDU28" s="108"/>
      <c r="FDV28" s="108"/>
      <c r="FDW28" s="108"/>
      <c r="FDX28" s="108"/>
      <c r="FDY28" s="108"/>
      <c r="FDZ28" s="108"/>
      <c r="FEA28" s="108"/>
      <c r="FEB28" s="108"/>
      <c r="FEC28" s="108"/>
      <c r="FED28" s="108"/>
      <c r="FEE28" s="108"/>
      <c r="FEF28" s="108"/>
      <c r="FEG28" s="108"/>
      <c r="FEH28" s="108"/>
      <c r="FEI28" s="108"/>
      <c r="FEJ28" s="108"/>
      <c r="FEK28" s="108"/>
      <c r="FEL28" s="108"/>
      <c r="FEM28" s="108"/>
      <c r="FEN28" s="108"/>
      <c r="FEO28" s="108"/>
      <c r="FEP28" s="108"/>
      <c r="FEQ28" s="108"/>
      <c r="FER28" s="108"/>
      <c r="FES28" s="108"/>
      <c r="FET28" s="108"/>
      <c r="FEU28" s="108"/>
      <c r="FEV28" s="108"/>
      <c r="FEW28" s="108"/>
      <c r="FEX28" s="108"/>
      <c r="FEY28" s="108"/>
      <c r="FEZ28" s="108"/>
      <c r="FFA28" s="108"/>
      <c r="FFB28" s="108"/>
      <c r="FFC28" s="108"/>
      <c r="FFD28" s="108"/>
      <c r="FFE28" s="108"/>
      <c r="FFF28" s="108"/>
      <c r="FFG28" s="108"/>
      <c r="FFH28" s="108"/>
      <c r="FFI28" s="108"/>
      <c r="FFJ28" s="108"/>
      <c r="FFK28" s="108"/>
      <c r="FFL28" s="108"/>
      <c r="FFM28" s="108"/>
      <c r="FFN28" s="108"/>
      <c r="FFO28" s="108"/>
      <c r="FFP28" s="108"/>
      <c r="FFQ28" s="108"/>
      <c r="FFR28" s="108"/>
      <c r="FFS28" s="108"/>
      <c r="FFT28" s="108"/>
      <c r="FFU28" s="108"/>
      <c r="FFV28" s="108"/>
      <c r="FFW28" s="108"/>
      <c r="FFX28" s="108"/>
      <c r="FFY28" s="108"/>
      <c r="FFZ28" s="108"/>
      <c r="FGA28" s="108"/>
      <c r="FGB28" s="108"/>
      <c r="FGC28" s="108"/>
      <c r="FGD28" s="108"/>
      <c r="FGE28" s="108"/>
      <c r="FGF28" s="108"/>
      <c r="FGG28" s="108"/>
      <c r="FGH28" s="108"/>
      <c r="FGI28" s="108"/>
      <c r="FGJ28" s="108"/>
      <c r="FGK28" s="108"/>
      <c r="FGL28" s="108"/>
      <c r="FGM28" s="108"/>
      <c r="FGN28" s="108"/>
      <c r="FGO28" s="108"/>
      <c r="FGP28" s="108"/>
      <c r="FGQ28" s="108"/>
      <c r="FGR28" s="108"/>
      <c r="FGS28" s="108"/>
      <c r="FGT28" s="108"/>
      <c r="FGU28" s="108"/>
      <c r="FGV28" s="108"/>
      <c r="FGW28" s="108"/>
      <c r="FGX28" s="108"/>
      <c r="FGY28" s="108"/>
      <c r="FGZ28" s="108"/>
      <c r="FHA28" s="108"/>
      <c r="FHB28" s="108"/>
      <c r="FHC28" s="108"/>
      <c r="FHD28" s="108"/>
      <c r="FHE28" s="108"/>
      <c r="FHF28" s="108"/>
      <c r="FHG28" s="108"/>
      <c r="FHH28" s="108"/>
      <c r="FHI28" s="108"/>
      <c r="FHJ28" s="108"/>
      <c r="FHK28" s="108"/>
      <c r="FHL28" s="108"/>
      <c r="FHM28" s="108"/>
      <c r="FHN28" s="108"/>
      <c r="FHO28" s="108"/>
      <c r="FHP28" s="108"/>
      <c r="FHQ28" s="108"/>
      <c r="FHR28" s="108"/>
      <c r="FHS28" s="108"/>
      <c r="FHT28" s="108"/>
      <c r="FHU28" s="108"/>
      <c r="FHV28" s="108"/>
      <c r="FHW28" s="108"/>
      <c r="FHX28" s="108"/>
      <c r="FHY28" s="108"/>
      <c r="FHZ28" s="108"/>
      <c r="FIA28" s="108"/>
      <c r="FIB28" s="108"/>
      <c r="FIC28" s="108"/>
      <c r="FID28" s="108"/>
      <c r="FIE28" s="108"/>
      <c r="FIF28" s="108"/>
      <c r="FIG28" s="108"/>
      <c r="FIH28" s="108"/>
      <c r="FII28" s="108"/>
      <c r="FIJ28" s="108"/>
      <c r="FIK28" s="108"/>
      <c r="FIL28" s="108"/>
      <c r="FIM28" s="108"/>
      <c r="FIN28" s="108"/>
      <c r="FIO28" s="108"/>
      <c r="FIP28" s="108"/>
      <c r="FIQ28" s="108"/>
      <c r="FIR28" s="108"/>
      <c r="FIS28" s="108"/>
      <c r="FIT28" s="108"/>
      <c r="FIU28" s="108"/>
      <c r="FIV28" s="108"/>
      <c r="FIW28" s="108"/>
      <c r="FIX28" s="108"/>
      <c r="FIY28" s="108"/>
      <c r="FIZ28" s="108"/>
      <c r="FJA28" s="108"/>
      <c r="FJB28" s="108"/>
      <c r="FJC28" s="108"/>
      <c r="FJD28" s="108"/>
      <c r="FJE28" s="108"/>
      <c r="FJF28" s="108"/>
      <c r="FJG28" s="108"/>
      <c r="FJH28" s="108"/>
      <c r="FJI28" s="108"/>
      <c r="FJJ28" s="108"/>
      <c r="FJK28" s="108"/>
      <c r="FJL28" s="108"/>
      <c r="FJM28" s="108"/>
      <c r="FJN28" s="108"/>
      <c r="FJO28" s="108"/>
      <c r="FJP28" s="108"/>
      <c r="FJQ28" s="108"/>
      <c r="FJR28" s="108"/>
      <c r="FJS28" s="108"/>
      <c r="FJT28" s="108"/>
      <c r="FJU28" s="108"/>
      <c r="FJV28" s="108"/>
      <c r="FJW28" s="108"/>
      <c r="FJX28" s="108"/>
      <c r="FJY28" s="108"/>
      <c r="FJZ28" s="108"/>
      <c r="FKA28" s="108"/>
      <c r="FKB28" s="108"/>
      <c r="FKC28" s="108"/>
      <c r="FKD28" s="108"/>
      <c r="FKE28" s="108"/>
      <c r="FKF28" s="108"/>
      <c r="FKG28" s="108"/>
      <c r="FKH28" s="108"/>
      <c r="FKI28" s="108"/>
      <c r="FKJ28" s="108"/>
      <c r="FKK28" s="108"/>
      <c r="FKL28" s="108"/>
      <c r="FKM28" s="108"/>
      <c r="FKN28" s="108"/>
      <c r="FKO28" s="108"/>
      <c r="FKP28" s="108"/>
      <c r="FKQ28" s="108"/>
      <c r="FKR28" s="108"/>
      <c r="FKS28" s="108"/>
      <c r="FKT28" s="108"/>
      <c r="FKU28" s="108"/>
      <c r="FKV28" s="108"/>
      <c r="FKW28" s="108"/>
      <c r="FKX28" s="108"/>
      <c r="FKY28" s="108"/>
      <c r="FKZ28" s="108"/>
      <c r="FLA28" s="108"/>
      <c r="FLB28" s="108"/>
      <c r="FLC28" s="108"/>
      <c r="FLD28" s="108"/>
      <c r="FLE28" s="108"/>
      <c r="FLF28" s="108"/>
      <c r="FLG28" s="108"/>
      <c r="FLH28" s="108"/>
      <c r="FLI28" s="108"/>
      <c r="FLJ28" s="108"/>
      <c r="FLK28" s="108"/>
      <c r="FLL28" s="108"/>
      <c r="FLM28" s="108"/>
      <c r="FLN28" s="108"/>
      <c r="FLO28" s="108"/>
      <c r="FLP28" s="108"/>
      <c r="FLQ28" s="108"/>
      <c r="FLR28" s="108"/>
      <c r="FLS28" s="108"/>
      <c r="FLT28" s="108"/>
      <c r="FLU28" s="108"/>
      <c r="FLV28" s="108"/>
      <c r="FLW28" s="108"/>
      <c r="FLX28" s="108"/>
      <c r="FLY28" s="108"/>
      <c r="FLZ28" s="108"/>
      <c r="FMA28" s="108"/>
      <c r="FMB28" s="108"/>
      <c r="FMC28" s="108"/>
      <c r="FMD28" s="108"/>
      <c r="FME28" s="108"/>
      <c r="FMF28" s="108"/>
      <c r="FMG28" s="108"/>
      <c r="FMH28" s="108"/>
      <c r="FMI28" s="108"/>
      <c r="FMJ28" s="108"/>
      <c r="FMK28" s="108"/>
      <c r="FML28" s="108"/>
      <c r="FMM28" s="108"/>
      <c r="FMN28" s="108"/>
      <c r="FMO28" s="108"/>
      <c r="FMP28" s="108"/>
      <c r="FMQ28" s="108"/>
      <c r="FMR28" s="108"/>
      <c r="FMS28" s="108"/>
      <c r="FMT28" s="108"/>
      <c r="FMU28" s="108"/>
      <c r="FMV28" s="108"/>
      <c r="FMW28" s="108"/>
      <c r="FMX28" s="108"/>
      <c r="FMY28" s="108"/>
      <c r="FMZ28" s="108"/>
      <c r="FNA28" s="108"/>
      <c r="FNB28" s="108"/>
      <c r="FNC28" s="108"/>
      <c r="FND28" s="108"/>
      <c r="FNE28" s="108"/>
      <c r="FNF28" s="108"/>
      <c r="FNG28" s="108"/>
      <c r="FNH28" s="108"/>
      <c r="FNI28" s="108"/>
      <c r="FNJ28" s="108"/>
      <c r="FNK28" s="108"/>
      <c r="FNL28" s="108"/>
      <c r="FNM28" s="108"/>
      <c r="FNN28" s="108"/>
      <c r="FNO28" s="108"/>
      <c r="FNP28" s="108"/>
      <c r="FNQ28" s="108"/>
      <c r="FNR28" s="108"/>
      <c r="FNS28" s="108"/>
      <c r="FNT28" s="108"/>
      <c r="FNU28" s="108"/>
      <c r="FNV28" s="108"/>
      <c r="FNW28" s="108"/>
      <c r="FNX28" s="108"/>
      <c r="FNY28" s="108"/>
      <c r="FNZ28" s="108"/>
      <c r="FOA28" s="108"/>
      <c r="FOB28" s="108"/>
      <c r="FOC28" s="108"/>
      <c r="FOD28" s="108"/>
      <c r="FOE28" s="108"/>
      <c r="FOF28" s="108"/>
      <c r="FOG28" s="108"/>
      <c r="FOH28" s="108"/>
      <c r="FOI28" s="108"/>
      <c r="FOJ28" s="108"/>
      <c r="FOK28" s="108"/>
      <c r="FOL28" s="108"/>
      <c r="FOM28" s="108"/>
      <c r="FON28" s="108"/>
      <c r="FOO28" s="108"/>
      <c r="FOP28" s="108"/>
      <c r="FOQ28" s="108"/>
      <c r="FOR28" s="108"/>
      <c r="FOS28" s="108"/>
      <c r="FOT28" s="108"/>
      <c r="FOU28" s="108"/>
      <c r="FOV28" s="108"/>
      <c r="FOW28" s="108"/>
      <c r="FOX28" s="108"/>
      <c r="FOY28" s="108"/>
      <c r="FOZ28" s="108"/>
      <c r="FPA28" s="108"/>
      <c r="FPB28" s="108"/>
      <c r="FPC28" s="108"/>
      <c r="FPD28" s="108"/>
      <c r="FPE28" s="108"/>
      <c r="FPF28" s="108"/>
      <c r="FPG28" s="108"/>
      <c r="FPH28" s="108"/>
      <c r="FPI28" s="108"/>
      <c r="FPJ28" s="108"/>
      <c r="FPK28" s="108"/>
      <c r="FPL28" s="108"/>
      <c r="FPM28" s="108"/>
      <c r="FPN28" s="108"/>
      <c r="FPO28" s="108"/>
      <c r="FPP28" s="108"/>
      <c r="FPQ28" s="108"/>
      <c r="FPR28" s="108"/>
      <c r="FPS28" s="108"/>
      <c r="FPT28" s="108"/>
      <c r="FPU28" s="108"/>
      <c r="FPV28" s="108"/>
      <c r="FPW28" s="108"/>
      <c r="FPX28" s="108"/>
      <c r="FPY28" s="108"/>
      <c r="FPZ28" s="108"/>
      <c r="FQA28" s="108"/>
      <c r="FQB28" s="108"/>
      <c r="FQC28" s="108"/>
      <c r="FQD28" s="108"/>
      <c r="FQE28" s="108"/>
      <c r="FQF28" s="108"/>
      <c r="FQG28" s="108"/>
      <c r="FQH28" s="108"/>
      <c r="FQI28" s="108"/>
      <c r="FQJ28" s="108"/>
      <c r="FQK28" s="108"/>
      <c r="FQL28" s="108"/>
      <c r="FQM28" s="108"/>
      <c r="FQN28" s="108"/>
      <c r="FQO28" s="108"/>
      <c r="FQP28" s="108"/>
      <c r="FQQ28" s="108"/>
      <c r="FQR28" s="108"/>
      <c r="FQS28" s="108"/>
      <c r="FQT28" s="108"/>
      <c r="FQU28" s="108"/>
      <c r="FQV28" s="108"/>
      <c r="FQW28" s="108"/>
      <c r="FQX28" s="108"/>
      <c r="FQY28" s="108"/>
      <c r="FQZ28" s="108"/>
      <c r="FRA28" s="108"/>
      <c r="FRB28" s="108"/>
      <c r="FRC28" s="108"/>
      <c r="FRD28" s="108"/>
      <c r="FRE28" s="108"/>
      <c r="FRF28" s="108"/>
      <c r="FRG28" s="108"/>
      <c r="FRH28" s="108"/>
      <c r="FRI28" s="108"/>
      <c r="FRJ28" s="108"/>
      <c r="FRK28" s="108"/>
      <c r="FRL28" s="108"/>
      <c r="FRM28" s="108"/>
      <c r="FRN28" s="108"/>
      <c r="FRO28" s="108"/>
      <c r="FRP28" s="108"/>
      <c r="FRQ28" s="108"/>
      <c r="FRR28" s="108"/>
      <c r="FRS28" s="108"/>
      <c r="FRT28" s="108"/>
      <c r="FRU28" s="108"/>
      <c r="FRV28" s="108"/>
      <c r="FRW28" s="108"/>
      <c r="FRX28" s="108"/>
      <c r="FRY28" s="108"/>
      <c r="FRZ28" s="108"/>
      <c r="FSA28" s="108"/>
      <c r="FSB28" s="108"/>
      <c r="FSC28" s="108"/>
      <c r="FSD28" s="108"/>
      <c r="FSE28" s="108"/>
      <c r="FSF28" s="108"/>
      <c r="FSG28" s="108"/>
      <c r="FSH28" s="108"/>
      <c r="FSI28" s="108"/>
      <c r="FSJ28" s="108"/>
      <c r="FSK28" s="108"/>
      <c r="FSL28" s="108"/>
      <c r="FSM28" s="108"/>
      <c r="FSN28" s="108"/>
      <c r="FSO28" s="108"/>
      <c r="FSP28" s="108"/>
      <c r="FSQ28" s="108"/>
      <c r="FSR28" s="108"/>
      <c r="FSS28" s="108"/>
      <c r="FST28" s="108"/>
      <c r="FSU28" s="108"/>
      <c r="FSV28" s="108"/>
      <c r="FSW28" s="108"/>
      <c r="FSX28" s="108"/>
      <c r="FSY28" s="108"/>
      <c r="FSZ28" s="108"/>
      <c r="FTA28" s="108"/>
      <c r="FTB28" s="108"/>
      <c r="FTC28" s="108"/>
      <c r="FTD28" s="108"/>
      <c r="FTE28" s="108"/>
      <c r="FTF28" s="108"/>
      <c r="FTG28" s="108"/>
      <c r="FTH28" s="108"/>
      <c r="FTI28" s="108"/>
      <c r="FTJ28" s="108"/>
      <c r="FTK28" s="108"/>
      <c r="FTL28" s="108"/>
      <c r="FTM28" s="108"/>
      <c r="FTN28" s="108"/>
      <c r="FTO28" s="108"/>
      <c r="FTP28" s="108"/>
      <c r="FTQ28" s="108"/>
      <c r="FTR28" s="108"/>
      <c r="FTS28" s="108"/>
      <c r="FTT28" s="108"/>
      <c r="FTU28" s="108"/>
      <c r="FTV28" s="108"/>
      <c r="FTW28" s="108"/>
      <c r="FTX28" s="108"/>
      <c r="FTY28" s="108"/>
      <c r="FTZ28" s="108"/>
      <c r="FUA28" s="108"/>
      <c r="FUB28" s="108"/>
      <c r="FUC28" s="108"/>
      <c r="FUD28" s="108"/>
      <c r="FUE28" s="108"/>
      <c r="FUF28" s="108"/>
      <c r="FUG28" s="108"/>
      <c r="FUH28" s="108"/>
      <c r="FUI28" s="108"/>
      <c r="FUJ28" s="108"/>
      <c r="FUK28" s="108"/>
      <c r="FUL28" s="108"/>
      <c r="FUM28" s="108"/>
      <c r="FUN28" s="108"/>
      <c r="FUO28" s="108"/>
      <c r="FUP28" s="108"/>
      <c r="FUQ28" s="108"/>
      <c r="FUR28" s="108"/>
      <c r="FUS28" s="108"/>
      <c r="FUT28" s="108"/>
      <c r="FUU28" s="108"/>
      <c r="FUV28" s="108"/>
      <c r="FUW28" s="108"/>
      <c r="FUX28" s="108"/>
      <c r="FUY28" s="108"/>
      <c r="FUZ28" s="108"/>
      <c r="FVA28" s="108"/>
      <c r="FVB28" s="108"/>
      <c r="FVC28" s="108"/>
      <c r="FVD28" s="108"/>
      <c r="FVE28" s="108"/>
      <c r="FVF28" s="108"/>
      <c r="FVG28" s="108"/>
      <c r="FVH28" s="108"/>
      <c r="FVI28" s="108"/>
      <c r="FVJ28" s="108"/>
      <c r="FVK28" s="108"/>
      <c r="FVL28" s="108"/>
      <c r="FVM28" s="108"/>
      <c r="FVN28" s="108"/>
      <c r="FVO28" s="108"/>
      <c r="FVP28" s="108"/>
      <c r="FVQ28" s="108"/>
      <c r="FVR28" s="108"/>
      <c r="FVS28" s="108"/>
      <c r="FVT28" s="108"/>
      <c r="FVU28" s="108"/>
      <c r="FVV28" s="108"/>
      <c r="FVW28" s="108"/>
      <c r="FVX28" s="108"/>
      <c r="FVY28" s="108"/>
      <c r="FVZ28" s="108"/>
      <c r="FWA28" s="108"/>
      <c r="FWB28" s="108"/>
      <c r="FWC28" s="108"/>
      <c r="FWD28" s="108"/>
      <c r="FWE28" s="108"/>
      <c r="FWF28" s="108"/>
      <c r="FWG28" s="108"/>
      <c r="FWH28" s="108"/>
      <c r="FWI28" s="108"/>
      <c r="FWJ28" s="108"/>
      <c r="FWK28" s="108"/>
      <c r="FWL28" s="108"/>
      <c r="FWM28" s="108"/>
      <c r="FWN28" s="108"/>
      <c r="FWO28" s="108"/>
      <c r="FWP28" s="108"/>
      <c r="FWQ28" s="108"/>
      <c r="FWR28" s="108"/>
      <c r="FWS28" s="108"/>
      <c r="FWT28" s="108"/>
      <c r="FWU28" s="108"/>
      <c r="FWV28" s="108"/>
      <c r="FWW28" s="108"/>
      <c r="FWX28" s="108"/>
      <c r="FWY28" s="108"/>
      <c r="FWZ28" s="108"/>
      <c r="FXA28" s="108"/>
      <c r="FXB28" s="108"/>
      <c r="FXC28" s="108"/>
      <c r="FXD28" s="108"/>
      <c r="FXE28" s="108"/>
      <c r="FXF28" s="108"/>
      <c r="FXG28" s="108"/>
      <c r="FXH28" s="108"/>
      <c r="FXI28" s="108"/>
      <c r="FXJ28" s="108"/>
      <c r="FXK28" s="108"/>
      <c r="FXL28" s="108"/>
      <c r="FXM28" s="108"/>
      <c r="FXN28" s="108"/>
      <c r="FXO28" s="108"/>
      <c r="FXP28" s="108"/>
      <c r="FXQ28" s="108"/>
      <c r="FXR28" s="108"/>
      <c r="FXS28" s="108"/>
      <c r="FXT28" s="108"/>
      <c r="FXU28" s="108"/>
      <c r="FXV28" s="108"/>
      <c r="FXW28" s="108"/>
      <c r="FXX28" s="108"/>
      <c r="FXY28" s="108"/>
      <c r="FXZ28" s="108"/>
      <c r="FYA28" s="108"/>
      <c r="FYB28" s="108"/>
      <c r="FYC28" s="108"/>
      <c r="FYD28" s="108"/>
      <c r="FYE28" s="108"/>
      <c r="FYF28" s="108"/>
      <c r="FYG28" s="108"/>
      <c r="FYH28" s="108"/>
      <c r="FYI28" s="108"/>
      <c r="FYJ28" s="108"/>
      <c r="FYK28" s="108"/>
      <c r="FYL28" s="108"/>
      <c r="FYM28" s="108"/>
      <c r="FYN28" s="108"/>
      <c r="FYO28" s="108"/>
      <c r="FYP28" s="108"/>
      <c r="FYQ28" s="108"/>
      <c r="FYR28" s="108"/>
      <c r="FYS28" s="108"/>
      <c r="FYT28" s="108"/>
      <c r="FYU28" s="108"/>
      <c r="FYV28" s="108"/>
      <c r="FYW28" s="108"/>
      <c r="FYX28" s="108"/>
      <c r="FYY28" s="108"/>
      <c r="FYZ28" s="108"/>
      <c r="FZA28" s="108"/>
      <c r="FZB28" s="108"/>
      <c r="FZC28" s="108"/>
      <c r="FZD28" s="108"/>
      <c r="FZE28" s="108"/>
      <c r="FZF28" s="108"/>
      <c r="FZG28" s="108"/>
      <c r="FZH28" s="108"/>
      <c r="FZI28" s="108"/>
      <c r="FZJ28" s="108"/>
      <c r="FZK28" s="108"/>
      <c r="FZL28" s="108"/>
      <c r="FZM28" s="108"/>
      <c r="FZN28" s="108"/>
      <c r="FZO28" s="108"/>
      <c r="FZP28" s="108"/>
      <c r="FZQ28" s="108"/>
      <c r="FZR28" s="108"/>
      <c r="FZS28" s="108"/>
      <c r="FZT28" s="108"/>
      <c r="FZU28" s="108"/>
      <c r="FZV28" s="108"/>
      <c r="FZW28" s="108"/>
      <c r="FZX28" s="108"/>
      <c r="FZY28" s="108"/>
      <c r="FZZ28" s="108"/>
      <c r="GAA28" s="108"/>
      <c r="GAB28" s="108"/>
      <c r="GAC28" s="108"/>
      <c r="GAD28" s="108"/>
      <c r="GAE28" s="108"/>
      <c r="GAF28" s="108"/>
      <c r="GAG28" s="108"/>
      <c r="GAH28" s="108"/>
      <c r="GAI28" s="108"/>
      <c r="GAJ28" s="108"/>
      <c r="GAK28" s="108"/>
      <c r="GAL28" s="108"/>
      <c r="GAM28" s="108"/>
      <c r="GAN28" s="108"/>
      <c r="GAO28" s="108"/>
      <c r="GAP28" s="108"/>
      <c r="GAQ28" s="108"/>
      <c r="GAR28" s="108"/>
      <c r="GAS28" s="108"/>
      <c r="GAT28" s="108"/>
      <c r="GAU28" s="108"/>
      <c r="GAV28" s="108"/>
      <c r="GAW28" s="108"/>
      <c r="GAX28" s="108"/>
      <c r="GAY28" s="108"/>
      <c r="GAZ28" s="108"/>
      <c r="GBA28" s="108"/>
      <c r="GBB28" s="108"/>
      <c r="GBC28" s="108"/>
      <c r="GBD28" s="108"/>
      <c r="GBE28" s="108"/>
      <c r="GBF28" s="108"/>
      <c r="GBG28" s="108"/>
      <c r="GBH28" s="108"/>
      <c r="GBI28" s="108"/>
      <c r="GBJ28" s="108"/>
      <c r="GBK28" s="108"/>
      <c r="GBL28" s="108"/>
      <c r="GBM28" s="108"/>
      <c r="GBN28" s="108"/>
      <c r="GBO28" s="108"/>
      <c r="GBP28" s="108"/>
      <c r="GBQ28" s="108"/>
      <c r="GBR28" s="108"/>
      <c r="GBS28" s="108"/>
      <c r="GBT28" s="108"/>
      <c r="GBU28" s="108"/>
      <c r="GBV28" s="108"/>
      <c r="GBW28" s="108"/>
      <c r="GBX28" s="108"/>
      <c r="GBY28" s="108"/>
      <c r="GBZ28" s="108"/>
      <c r="GCA28" s="108"/>
      <c r="GCB28" s="108"/>
      <c r="GCC28" s="108"/>
      <c r="GCD28" s="108"/>
      <c r="GCE28" s="108"/>
      <c r="GCF28" s="108"/>
      <c r="GCG28" s="108"/>
      <c r="GCH28" s="108"/>
      <c r="GCI28" s="108"/>
      <c r="GCJ28" s="108"/>
      <c r="GCK28" s="108"/>
      <c r="GCL28" s="108"/>
      <c r="GCM28" s="108"/>
      <c r="GCN28" s="108"/>
      <c r="GCO28" s="108"/>
      <c r="GCP28" s="108"/>
      <c r="GCQ28" s="108"/>
      <c r="GCR28" s="108"/>
      <c r="GCS28" s="108"/>
      <c r="GCT28" s="108"/>
      <c r="GCU28" s="108"/>
      <c r="GCV28" s="108"/>
      <c r="GCW28" s="108"/>
      <c r="GCX28" s="108"/>
      <c r="GCY28" s="108"/>
      <c r="GCZ28" s="108"/>
      <c r="GDA28" s="108"/>
      <c r="GDB28" s="108"/>
      <c r="GDC28" s="108"/>
      <c r="GDD28" s="108"/>
      <c r="GDE28" s="108"/>
      <c r="GDF28" s="108"/>
      <c r="GDG28" s="108"/>
      <c r="GDH28" s="108"/>
      <c r="GDI28" s="108"/>
      <c r="GDJ28" s="108"/>
      <c r="GDK28" s="108"/>
      <c r="GDL28" s="108"/>
      <c r="GDM28" s="108"/>
      <c r="GDN28" s="108"/>
      <c r="GDO28" s="108"/>
      <c r="GDP28" s="108"/>
      <c r="GDQ28" s="108"/>
      <c r="GDR28" s="108"/>
      <c r="GDS28" s="108"/>
      <c r="GDT28" s="108"/>
      <c r="GDU28" s="108"/>
      <c r="GDV28" s="108"/>
      <c r="GDW28" s="108"/>
      <c r="GDX28" s="108"/>
      <c r="GDY28" s="108"/>
      <c r="GDZ28" s="108"/>
      <c r="GEA28" s="108"/>
      <c r="GEB28" s="108"/>
      <c r="GEC28" s="108"/>
      <c r="GED28" s="108"/>
      <c r="GEE28" s="108"/>
      <c r="GEF28" s="108"/>
      <c r="GEG28" s="108"/>
      <c r="GEH28" s="108"/>
      <c r="GEI28" s="108"/>
      <c r="GEJ28" s="108"/>
      <c r="GEK28" s="108"/>
      <c r="GEL28" s="108"/>
      <c r="GEM28" s="108"/>
      <c r="GEN28" s="108"/>
      <c r="GEO28" s="108"/>
      <c r="GEP28" s="108"/>
      <c r="GEQ28" s="108"/>
      <c r="GER28" s="108"/>
      <c r="GES28" s="108"/>
      <c r="GET28" s="108"/>
      <c r="GEU28" s="108"/>
      <c r="GEV28" s="108"/>
      <c r="GEW28" s="108"/>
      <c r="GEX28" s="108"/>
      <c r="GEY28" s="108"/>
      <c r="GEZ28" s="108"/>
      <c r="GFA28" s="108"/>
      <c r="GFB28" s="108"/>
      <c r="GFC28" s="108"/>
      <c r="GFD28" s="108"/>
      <c r="GFE28" s="108"/>
      <c r="GFF28" s="108"/>
      <c r="GFG28" s="108"/>
      <c r="GFH28" s="108"/>
      <c r="GFI28" s="108"/>
      <c r="GFJ28" s="108"/>
      <c r="GFK28" s="108"/>
      <c r="GFL28" s="108"/>
      <c r="GFM28" s="108"/>
      <c r="GFN28" s="108"/>
      <c r="GFO28" s="108"/>
      <c r="GFP28" s="108"/>
      <c r="GFQ28" s="108"/>
      <c r="GFR28" s="108"/>
      <c r="GFS28" s="108"/>
      <c r="GFT28" s="108"/>
      <c r="GFU28" s="108"/>
      <c r="GFV28" s="108"/>
      <c r="GFW28" s="108"/>
      <c r="GFX28" s="108"/>
      <c r="GFY28" s="108"/>
      <c r="GFZ28" s="108"/>
      <c r="GGA28" s="108"/>
      <c r="GGB28" s="108"/>
      <c r="GGC28" s="108"/>
      <c r="GGD28" s="108"/>
      <c r="GGE28" s="108"/>
      <c r="GGF28" s="108"/>
      <c r="GGG28" s="108"/>
      <c r="GGH28" s="108"/>
      <c r="GGI28" s="108"/>
      <c r="GGJ28" s="108"/>
      <c r="GGK28" s="108"/>
      <c r="GGL28" s="108"/>
      <c r="GGM28" s="108"/>
      <c r="GGN28" s="108"/>
      <c r="GGO28" s="108"/>
      <c r="GGP28" s="108"/>
      <c r="GGQ28" s="108"/>
      <c r="GGR28" s="108"/>
      <c r="GGS28" s="108"/>
      <c r="GGT28" s="108"/>
      <c r="GGU28" s="108"/>
      <c r="GGV28" s="108"/>
      <c r="GGW28" s="108"/>
      <c r="GGX28" s="108"/>
      <c r="GGY28" s="108"/>
      <c r="GGZ28" s="108"/>
      <c r="GHA28" s="108"/>
      <c r="GHB28" s="108"/>
      <c r="GHC28" s="108"/>
      <c r="GHD28" s="108"/>
      <c r="GHE28" s="108"/>
      <c r="GHF28" s="108"/>
      <c r="GHG28" s="108"/>
      <c r="GHH28" s="108"/>
      <c r="GHI28" s="108"/>
      <c r="GHJ28" s="108"/>
      <c r="GHK28" s="108"/>
      <c r="GHL28" s="108"/>
      <c r="GHM28" s="108"/>
      <c r="GHN28" s="108"/>
      <c r="GHO28" s="108"/>
      <c r="GHP28" s="108"/>
      <c r="GHQ28" s="108"/>
      <c r="GHR28" s="108"/>
      <c r="GHS28" s="108"/>
      <c r="GHT28" s="108"/>
      <c r="GHU28" s="108"/>
      <c r="GHV28" s="108"/>
      <c r="GHW28" s="108"/>
      <c r="GHX28" s="108"/>
      <c r="GHY28" s="108"/>
      <c r="GHZ28" s="108"/>
      <c r="GIA28" s="108"/>
      <c r="GIB28" s="108"/>
      <c r="GIC28" s="108"/>
      <c r="GID28" s="108"/>
      <c r="GIE28" s="108"/>
      <c r="GIF28" s="108"/>
      <c r="GIG28" s="108"/>
      <c r="GIH28" s="108"/>
      <c r="GII28" s="108"/>
      <c r="GIJ28" s="108"/>
      <c r="GIK28" s="108"/>
      <c r="GIL28" s="108"/>
      <c r="GIM28" s="108"/>
      <c r="GIN28" s="108"/>
      <c r="GIO28" s="108"/>
      <c r="GIP28" s="108"/>
      <c r="GIQ28" s="108"/>
      <c r="GIR28" s="108"/>
      <c r="GIS28" s="108"/>
      <c r="GIT28" s="108"/>
      <c r="GIU28" s="108"/>
      <c r="GIV28" s="108"/>
      <c r="GIW28" s="108"/>
      <c r="GIX28" s="108"/>
      <c r="GIY28" s="108"/>
      <c r="GIZ28" s="108"/>
      <c r="GJA28" s="108"/>
      <c r="GJB28" s="108"/>
      <c r="GJC28" s="108"/>
      <c r="GJD28" s="108"/>
      <c r="GJE28" s="108"/>
      <c r="GJF28" s="108"/>
      <c r="GJG28" s="108"/>
      <c r="GJH28" s="108"/>
      <c r="GJI28" s="108"/>
      <c r="GJJ28" s="108"/>
      <c r="GJK28" s="108"/>
      <c r="GJL28" s="108"/>
      <c r="GJM28" s="108"/>
      <c r="GJN28" s="108"/>
      <c r="GJO28" s="108"/>
      <c r="GJP28" s="108"/>
      <c r="GJQ28" s="108"/>
      <c r="GJR28" s="108"/>
      <c r="GJS28" s="108"/>
      <c r="GJT28" s="108"/>
      <c r="GJU28" s="108"/>
      <c r="GJV28" s="108"/>
      <c r="GJW28" s="108"/>
      <c r="GJX28" s="108"/>
      <c r="GJY28" s="108"/>
      <c r="GJZ28" s="108"/>
      <c r="GKA28" s="108"/>
      <c r="GKB28" s="108"/>
      <c r="GKC28" s="108"/>
      <c r="GKD28" s="108"/>
      <c r="GKE28" s="108"/>
      <c r="GKF28" s="108"/>
      <c r="GKG28" s="108"/>
      <c r="GKH28" s="108"/>
      <c r="GKI28" s="108"/>
      <c r="GKJ28" s="108"/>
      <c r="GKK28" s="108"/>
      <c r="GKL28" s="108"/>
      <c r="GKM28" s="108"/>
      <c r="GKN28" s="108"/>
      <c r="GKO28" s="108"/>
      <c r="GKP28" s="108"/>
      <c r="GKQ28" s="108"/>
      <c r="GKR28" s="108"/>
      <c r="GKS28" s="108"/>
      <c r="GKT28" s="108"/>
      <c r="GKU28" s="108"/>
      <c r="GKV28" s="108"/>
      <c r="GKW28" s="108"/>
      <c r="GKX28" s="108"/>
      <c r="GKY28" s="108"/>
      <c r="GKZ28" s="108"/>
      <c r="GLA28" s="108"/>
      <c r="GLB28" s="108"/>
      <c r="GLC28" s="108"/>
      <c r="GLD28" s="108"/>
      <c r="GLE28" s="108"/>
      <c r="GLF28" s="108"/>
      <c r="GLG28" s="108"/>
      <c r="GLH28" s="108"/>
      <c r="GLI28" s="108"/>
      <c r="GLJ28" s="108"/>
      <c r="GLK28" s="108"/>
      <c r="GLL28" s="108"/>
      <c r="GLM28" s="108"/>
      <c r="GLN28" s="108"/>
      <c r="GLO28" s="108"/>
      <c r="GLP28" s="108"/>
      <c r="GLQ28" s="108"/>
      <c r="GLR28" s="108"/>
      <c r="GLS28" s="108"/>
      <c r="GLT28" s="108"/>
      <c r="GLU28" s="108"/>
      <c r="GLV28" s="108"/>
      <c r="GLW28" s="108"/>
      <c r="GLX28" s="108"/>
      <c r="GLY28" s="108"/>
      <c r="GLZ28" s="108"/>
      <c r="GMA28" s="108"/>
      <c r="GMB28" s="108"/>
      <c r="GMC28" s="108"/>
      <c r="GMD28" s="108"/>
      <c r="GME28" s="108"/>
      <c r="GMF28" s="108"/>
      <c r="GMG28" s="108"/>
      <c r="GMH28" s="108"/>
      <c r="GMI28" s="108"/>
      <c r="GMJ28" s="108"/>
      <c r="GMK28" s="108"/>
      <c r="GML28" s="108"/>
      <c r="GMM28" s="108"/>
      <c r="GMN28" s="108"/>
      <c r="GMO28" s="108"/>
      <c r="GMP28" s="108"/>
      <c r="GMQ28" s="108"/>
      <c r="GMR28" s="108"/>
      <c r="GMS28" s="108"/>
      <c r="GMT28" s="108"/>
      <c r="GMU28" s="108"/>
      <c r="GMV28" s="108"/>
      <c r="GMW28" s="108"/>
      <c r="GMX28" s="108"/>
      <c r="GMY28" s="108"/>
      <c r="GMZ28" s="108"/>
      <c r="GNA28" s="108"/>
      <c r="GNB28" s="108"/>
      <c r="GNC28" s="108"/>
      <c r="GND28" s="108"/>
      <c r="GNE28" s="108"/>
      <c r="GNF28" s="108"/>
      <c r="GNG28" s="108"/>
      <c r="GNH28" s="108"/>
      <c r="GNI28" s="108"/>
      <c r="GNJ28" s="108"/>
      <c r="GNK28" s="108"/>
      <c r="GNL28" s="108"/>
      <c r="GNM28" s="108"/>
      <c r="GNN28" s="108"/>
      <c r="GNO28" s="108"/>
      <c r="GNP28" s="108"/>
      <c r="GNQ28" s="108"/>
      <c r="GNR28" s="108"/>
      <c r="GNS28" s="108"/>
      <c r="GNT28" s="108"/>
      <c r="GNU28" s="108"/>
      <c r="GNV28" s="108"/>
      <c r="GNW28" s="108"/>
      <c r="GNX28" s="108"/>
      <c r="GNY28" s="108"/>
      <c r="GNZ28" s="108"/>
      <c r="GOA28" s="108"/>
      <c r="GOB28" s="108"/>
      <c r="GOC28" s="108"/>
      <c r="GOD28" s="108"/>
      <c r="GOE28" s="108"/>
      <c r="GOF28" s="108"/>
      <c r="GOG28" s="108"/>
      <c r="GOH28" s="108"/>
      <c r="GOI28" s="108"/>
      <c r="GOJ28" s="108"/>
      <c r="GOK28" s="108"/>
      <c r="GOL28" s="108"/>
      <c r="GOM28" s="108"/>
      <c r="GON28" s="108"/>
      <c r="GOO28" s="108"/>
      <c r="GOP28" s="108"/>
      <c r="GOQ28" s="108"/>
      <c r="GOR28" s="108"/>
      <c r="GOS28" s="108"/>
      <c r="GOT28" s="108"/>
      <c r="GOU28" s="108"/>
      <c r="GOV28" s="108"/>
      <c r="GOW28" s="108"/>
      <c r="GOX28" s="108"/>
      <c r="GOY28" s="108"/>
      <c r="GOZ28" s="108"/>
      <c r="GPA28" s="108"/>
      <c r="GPB28" s="108"/>
      <c r="GPC28" s="108"/>
      <c r="GPD28" s="108"/>
      <c r="GPE28" s="108"/>
      <c r="GPF28" s="108"/>
      <c r="GPG28" s="108"/>
      <c r="GPH28" s="108"/>
      <c r="GPI28" s="108"/>
      <c r="GPJ28" s="108"/>
      <c r="GPK28" s="108"/>
      <c r="GPL28" s="108"/>
      <c r="GPM28" s="108"/>
      <c r="GPN28" s="108"/>
      <c r="GPO28" s="108"/>
      <c r="GPP28" s="108"/>
      <c r="GPQ28" s="108"/>
      <c r="GPR28" s="108"/>
      <c r="GPS28" s="108"/>
      <c r="GPT28" s="108"/>
      <c r="GPU28" s="108"/>
      <c r="GPV28" s="108"/>
      <c r="GPW28" s="108"/>
      <c r="GPX28" s="108"/>
      <c r="GPY28" s="108"/>
      <c r="GPZ28" s="108"/>
      <c r="GQA28" s="108"/>
      <c r="GQB28" s="108"/>
      <c r="GQC28" s="108"/>
      <c r="GQD28" s="108"/>
      <c r="GQE28" s="108"/>
      <c r="GQF28" s="108"/>
      <c r="GQG28" s="108"/>
      <c r="GQH28" s="108"/>
      <c r="GQI28" s="108"/>
      <c r="GQJ28" s="108"/>
      <c r="GQK28" s="108"/>
      <c r="GQL28" s="108"/>
      <c r="GQM28" s="108"/>
      <c r="GQN28" s="108"/>
      <c r="GQO28" s="108"/>
      <c r="GQP28" s="108"/>
      <c r="GQQ28" s="108"/>
      <c r="GQR28" s="108"/>
      <c r="GQS28" s="108"/>
      <c r="GQT28" s="108"/>
      <c r="GQU28" s="108"/>
      <c r="GQV28" s="108"/>
      <c r="GQW28" s="108"/>
      <c r="GQX28" s="108"/>
      <c r="GQY28" s="108"/>
      <c r="GQZ28" s="108"/>
      <c r="GRA28" s="108"/>
      <c r="GRB28" s="108"/>
      <c r="GRC28" s="108"/>
      <c r="GRD28" s="108"/>
      <c r="GRE28" s="108"/>
      <c r="GRF28" s="108"/>
      <c r="GRG28" s="108"/>
      <c r="GRH28" s="108"/>
      <c r="GRI28" s="108"/>
      <c r="GRJ28" s="108"/>
      <c r="GRK28" s="108"/>
      <c r="GRL28" s="108"/>
      <c r="GRM28" s="108"/>
      <c r="GRN28" s="108"/>
      <c r="GRO28" s="108"/>
      <c r="GRP28" s="108"/>
      <c r="GRQ28" s="108"/>
      <c r="GRR28" s="108"/>
      <c r="GRS28" s="108"/>
      <c r="GRT28" s="108"/>
      <c r="GRU28" s="108"/>
      <c r="GRV28" s="108"/>
      <c r="GRW28" s="108"/>
      <c r="GRX28" s="108"/>
      <c r="GRY28" s="108"/>
      <c r="GRZ28" s="108"/>
      <c r="GSA28" s="108"/>
      <c r="GSB28" s="108"/>
      <c r="GSC28" s="108"/>
      <c r="GSD28" s="108"/>
      <c r="GSE28" s="108"/>
      <c r="GSF28" s="108"/>
      <c r="GSG28" s="108"/>
      <c r="GSH28" s="108"/>
      <c r="GSI28" s="108"/>
      <c r="GSJ28" s="108"/>
      <c r="GSK28" s="108"/>
      <c r="GSL28" s="108"/>
      <c r="GSM28" s="108"/>
      <c r="GSN28" s="108"/>
      <c r="GSO28" s="108"/>
      <c r="GSP28" s="108"/>
      <c r="GSQ28" s="108"/>
      <c r="GSR28" s="108"/>
      <c r="GSS28" s="108"/>
      <c r="GST28" s="108"/>
      <c r="GSU28" s="108"/>
      <c r="GSV28" s="108"/>
      <c r="GSW28" s="108"/>
      <c r="GSX28" s="108"/>
      <c r="GSY28" s="108"/>
      <c r="GSZ28" s="108"/>
      <c r="GTA28" s="108"/>
      <c r="GTB28" s="108"/>
      <c r="GTC28" s="108"/>
      <c r="GTD28" s="108"/>
      <c r="GTE28" s="108"/>
      <c r="GTF28" s="108"/>
      <c r="GTG28" s="108"/>
      <c r="GTH28" s="108"/>
      <c r="GTI28" s="108"/>
      <c r="GTJ28" s="108"/>
      <c r="GTK28" s="108"/>
      <c r="GTL28" s="108"/>
      <c r="GTM28" s="108"/>
      <c r="GTN28" s="108"/>
      <c r="GTO28" s="108"/>
      <c r="GTP28" s="108"/>
      <c r="GTQ28" s="108"/>
      <c r="GTR28" s="108"/>
      <c r="GTS28" s="108"/>
      <c r="GTT28" s="108"/>
      <c r="GTU28" s="108"/>
      <c r="GTV28" s="108"/>
      <c r="GTW28" s="108"/>
      <c r="GTX28" s="108"/>
      <c r="GTY28" s="108"/>
      <c r="GTZ28" s="108"/>
      <c r="GUA28" s="108"/>
      <c r="GUB28" s="108"/>
      <c r="GUC28" s="108"/>
      <c r="GUD28" s="108"/>
      <c r="GUE28" s="108"/>
      <c r="GUF28" s="108"/>
      <c r="GUG28" s="108"/>
      <c r="GUH28" s="108"/>
      <c r="GUI28" s="108"/>
      <c r="GUJ28" s="108"/>
      <c r="GUK28" s="108"/>
      <c r="GUL28" s="108"/>
      <c r="GUM28" s="108"/>
      <c r="GUN28" s="108"/>
      <c r="GUO28" s="108"/>
      <c r="GUP28" s="108"/>
      <c r="GUQ28" s="108"/>
      <c r="GUR28" s="108"/>
      <c r="GUS28" s="108"/>
      <c r="GUT28" s="108"/>
      <c r="GUU28" s="108"/>
      <c r="GUV28" s="108"/>
      <c r="GUW28" s="108"/>
      <c r="GUX28" s="108"/>
      <c r="GUY28" s="108"/>
      <c r="GUZ28" s="108"/>
      <c r="GVA28" s="108"/>
      <c r="GVB28" s="108"/>
      <c r="GVC28" s="108"/>
      <c r="GVD28" s="108"/>
      <c r="GVE28" s="108"/>
      <c r="GVF28" s="108"/>
      <c r="GVG28" s="108"/>
      <c r="GVH28" s="108"/>
      <c r="GVI28" s="108"/>
      <c r="GVJ28" s="108"/>
      <c r="GVK28" s="108"/>
      <c r="GVL28" s="108"/>
      <c r="GVM28" s="108"/>
      <c r="GVN28" s="108"/>
      <c r="GVO28" s="108"/>
      <c r="GVP28" s="108"/>
      <c r="GVQ28" s="108"/>
      <c r="GVR28" s="108"/>
      <c r="GVS28" s="108"/>
      <c r="GVT28" s="108"/>
      <c r="GVU28" s="108"/>
      <c r="GVV28" s="108"/>
      <c r="GVW28" s="108"/>
      <c r="GVX28" s="108"/>
      <c r="GVY28" s="108"/>
      <c r="GVZ28" s="108"/>
      <c r="GWA28" s="108"/>
      <c r="GWB28" s="108"/>
      <c r="GWC28" s="108"/>
      <c r="GWD28" s="108"/>
      <c r="GWE28" s="108"/>
      <c r="GWF28" s="108"/>
      <c r="GWG28" s="108"/>
      <c r="GWH28" s="108"/>
      <c r="GWI28" s="108"/>
      <c r="GWJ28" s="108"/>
      <c r="GWK28" s="108"/>
      <c r="GWL28" s="108"/>
      <c r="GWM28" s="108"/>
      <c r="GWN28" s="108"/>
      <c r="GWO28" s="108"/>
      <c r="GWP28" s="108"/>
      <c r="GWQ28" s="108"/>
      <c r="GWR28" s="108"/>
      <c r="GWS28" s="108"/>
      <c r="GWT28" s="108"/>
      <c r="GWU28" s="108"/>
      <c r="GWV28" s="108"/>
      <c r="GWW28" s="108"/>
      <c r="GWX28" s="108"/>
      <c r="GWY28" s="108"/>
      <c r="GWZ28" s="108"/>
      <c r="GXA28" s="108"/>
      <c r="GXB28" s="108"/>
      <c r="GXC28" s="108"/>
      <c r="GXD28" s="108"/>
      <c r="GXE28" s="108"/>
      <c r="GXF28" s="108"/>
      <c r="GXG28" s="108"/>
      <c r="GXH28" s="108"/>
      <c r="GXI28" s="108"/>
      <c r="GXJ28" s="108"/>
      <c r="GXK28" s="108"/>
      <c r="GXL28" s="108"/>
      <c r="GXM28" s="108"/>
      <c r="GXN28" s="108"/>
      <c r="GXO28" s="108"/>
      <c r="GXP28" s="108"/>
      <c r="GXQ28" s="108"/>
      <c r="GXR28" s="108"/>
      <c r="GXS28" s="108"/>
      <c r="GXT28" s="108"/>
      <c r="GXU28" s="108"/>
      <c r="GXV28" s="108"/>
      <c r="GXW28" s="108"/>
      <c r="GXX28" s="108"/>
      <c r="GXY28" s="108"/>
      <c r="GXZ28" s="108"/>
      <c r="GYA28" s="108"/>
      <c r="GYB28" s="108"/>
      <c r="GYC28" s="108"/>
      <c r="GYD28" s="108"/>
      <c r="GYE28" s="108"/>
      <c r="GYF28" s="108"/>
      <c r="GYG28" s="108"/>
      <c r="GYH28" s="108"/>
      <c r="GYI28" s="108"/>
      <c r="GYJ28" s="108"/>
      <c r="GYK28" s="108"/>
      <c r="GYL28" s="108"/>
      <c r="GYM28" s="108"/>
      <c r="GYN28" s="108"/>
      <c r="GYO28" s="108"/>
      <c r="GYP28" s="108"/>
      <c r="GYQ28" s="108"/>
      <c r="GYR28" s="108"/>
      <c r="GYS28" s="108"/>
      <c r="GYT28" s="108"/>
      <c r="GYU28" s="108"/>
      <c r="GYV28" s="108"/>
      <c r="GYW28" s="108"/>
      <c r="GYX28" s="108"/>
      <c r="GYY28" s="108"/>
      <c r="GYZ28" s="108"/>
      <c r="GZA28" s="108"/>
      <c r="GZB28" s="108"/>
      <c r="GZC28" s="108"/>
      <c r="GZD28" s="108"/>
      <c r="GZE28" s="108"/>
      <c r="GZF28" s="108"/>
      <c r="GZG28" s="108"/>
      <c r="GZH28" s="108"/>
      <c r="GZI28" s="108"/>
      <c r="GZJ28" s="108"/>
      <c r="GZK28" s="108"/>
      <c r="GZL28" s="108"/>
      <c r="GZM28" s="108"/>
      <c r="GZN28" s="108"/>
      <c r="GZO28" s="108"/>
      <c r="GZP28" s="108"/>
      <c r="GZQ28" s="108"/>
      <c r="GZR28" s="108"/>
      <c r="GZS28" s="108"/>
      <c r="GZT28" s="108"/>
      <c r="GZU28" s="108"/>
      <c r="GZV28" s="108"/>
      <c r="GZW28" s="108"/>
      <c r="GZX28" s="108"/>
      <c r="GZY28" s="108"/>
      <c r="GZZ28" s="108"/>
      <c r="HAA28" s="108"/>
      <c r="HAB28" s="108"/>
      <c r="HAC28" s="108"/>
      <c r="HAD28" s="108"/>
      <c r="HAE28" s="108"/>
      <c r="HAF28" s="108"/>
      <c r="HAG28" s="108"/>
      <c r="HAH28" s="108"/>
      <c r="HAI28" s="108"/>
      <c r="HAJ28" s="108"/>
      <c r="HAK28" s="108"/>
      <c r="HAL28" s="108"/>
      <c r="HAM28" s="108"/>
      <c r="HAN28" s="108"/>
      <c r="HAO28" s="108"/>
      <c r="HAP28" s="108"/>
      <c r="HAQ28" s="108"/>
      <c r="HAR28" s="108"/>
      <c r="HAS28" s="108"/>
      <c r="HAT28" s="108"/>
      <c r="HAU28" s="108"/>
      <c r="HAV28" s="108"/>
      <c r="HAW28" s="108"/>
      <c r="HAX28" s="108"/>
      <c r="HAY28" s="108"/>
      <c r="HAZ28" s="108"/>
      <c r="HBA28" s="108"/>
      <c r="HBB28" s="108"/>
      <c r="HBC28" s="108"/>
      <c r="HBD28" s="108"/>
      <c r="HBE28" s="108"/>
      <c r="HBF28" s="108"/>
      <c r="HBG28" s="108"/>
      <c r="HBH28" s="108"/>
      <c r="HBI28" s="108"/>
      <c r="HBJ28" s="108"/>
      <c r="HBK28" s="108"/>
      <c r="HBL28" s="108"/>
      <c r="HBM28" s="108"/>
      <c r="HBN28" s="108"/>
      <c r="HBO28" s="108"/>
      <c r="HBP28" s="108"/>
      <c r="HBQ28" s="108"/>
      <c r="HBR28" s="108"/>
      <c r="HBS28" s="108"/>
      <c r="HBT28" s="108"/>
      <c r="HBU28" s="108"/>
      <c r="HBV28" s="108"/>
      <c r="HBW28" s="108"/>
      <c r="HBX28" s="108"/>
      <c r="HBY28" s="108"/>
      <c r="HBZ28" s="108"/>
      <c r="HCA28" s="108"/>
      <c r="HCB28" s="108"/>
      <c r="HCC28" s="108"/>
      <c r="HCD28" s="108"/>
      <c r="HCE28" s="108"/>
      <c r="HCF28" s="108"/>
      <c r="HCG28" s="108"/>
      <c r="HCH28" s="108"/>
      <c r="HCI28" s="108"/>
      <c r="HCJ28" s="108"/>
      <c r="HCK28" s="108"/>
      <c r="HCL28" s="108"/>
      <c r="HCM28" s="108"/>
      <c r="HCN28" s="108"/>
      <c r="HCO28" s="108"/>
      <c r="HCP28" s="108"/>
      <c r="HCQ28" s="108"/>
      <c r="HCR28" s="108"/>
      <c r="HCS28" s="108"/>
      <c r="HCT28" s="108"/>
      <c r="HCU28" s="108"/>
      <c r="HCV28" s="108"/>
      <c r="HCW28" s="108"/>
      <c r="HCX28" s="108"/>
      <c r="HCY28" s="108"/>
      <c r="HCZ28" s="108"/>
      <c r="HDA28" s="108"/>
      <c r="HDB28" s="108"/>
      <c r="HDC28" s="108"/>
      <c r="HDD28" s="108"/>
      <c r="HDE28" s="108"/>
      <c r="HDF28" s="108"/>
      <c r="HDG28" s="108"/>
      <c r="HDH28" s="108"/>
      <c r="HDI28" s="108"/>
      <c r="HDJ28" s="108"/>
      <c r="HDK28" s="108"/>
      <c r="HDL28" s="108"/>
      <c r="HDM28" s="108"/>
      <c r="HDN28" s="108"/>
      <c r="HDO28" s="108"/>
      <c r="HDP28" s="108"/>
      <c r="HDQ28" s="108"/>
      <c r="HDR28" s="108"/>
      <c r="HDS28" s="108"/>
      <c r="HDT28" s="108"/>
      <c r="HDU28" s="108"/>
      <c r="HDV28" s="108"/>
      <c r="HDW28" s="108"/>
      <c r="HDX28" s="108"/>
      <c r="HDY28" s="108"/>
      <c r="HDZ28" s="108"/>
      <c r="HEA28" s="108"/>
      <c r="HEB28" s="108"/>
      <c r="HEC28" s="108"/>
      <c r="HED28" s="108"/>
      <c r="HEE28" s="108"/>
      <c r="HEF28" s="108"/>
      <c r="HEG28" s="108"/>
      <c r="HEH28" s="108"/>
      <c r="HEI28" s="108"/>
      <c r="HEJ28" s="108"/>
      <c r="HEK28" s="108"/>
      <c r="HEL28" s="108"/>
      <c r="HEM28" s="108"/>
      <c r="HEN28" s="108"/>
      <c r="HEO28" s="108"/>
      <c r="HEP28" s="108"/>
      <c r="HEQ28" s="108"/>
      <c r="HER28" s="108"/>
      <c r="HES28" s="108"/>
      <c r="HET28" s="108"/>
      <c r="HEU28" s="108"/>
      <c r="HEV28" s="108"/>
      <c r="HEW28" s="108"/>
      <c r="HEX28" s="108"/>
      <c r="HEY28" s="108"/>
      <c r="HEZ28" s="108"/>
      <c r="HFA28" s="108"/>
      <c r="HFB28" s="108"/>
      <c r="HFC28" s="108"/>
      <c r="HFD28" s="108"/>
      <c r="HFE28" s="108"/>
      <c r="HFF28" s="108"/>
      <c r="HFG28" s="108"/>
      <c r="HFH28" s="108"/>
      <c r="HFI28" s="108"/>
      <c r="HFJ28" s="108"/>
      <c r="HFK28" s="108"/>
      <c r="HFL28" s="108"/>
      <c r="HFM28" s="108"/>
      <c r="HFN28" s="108"/>
      <c r="HFO28" s="108"/>
      <c r="HFP28" s="108"/>
      <c r="HFQ28" s="108"/>
      <c r="HFR28" s="108"/>
      <c r="HFS28" s="108"/>
      <c r="HFT28" s="108"/>
      <c r="HFU28" s="108"/>
      <c r="HFV28" s="108"/>
      <c r="HFW28" s="108"/>
      <c r="HFX28" s="108"/>
      <c r="HFY28" s="108"/>
      <c r="HFZ28" s="108"/>
      <c r="HGA28" s="108"/>
      <c r="HGB28" s="108"/>
      <c r="HGC28" s="108"/>
      <c r="HGD28" s="108"/>
      <c r="HGE28" s="108"/>
      <c r="HGF28" s="108"/>
      <c r="HGG28" s="108"/>
      <c r="HGH28" s="108"/>
      <c r="HGI28" s="108"/>
      <c r="HGJ28" s="108"/>
      <c r="HGK28" s="108"/>
      <c r="HGL28" s="108"/>
      <c r="HGM28" s="108"/>
      <c r="HGN28" s="108"/>
      <c r="HGO28" s="108"/>
      <c r="HGP28" s="108"/>
      <c r="HGQ28" s="108"/>
      <c r="HGR28" s="108"/>
      <c r="HGS28" s="108"/>
      <c r="HGT28" s="108"/>
      <c r="HGU28" s="108"/>
      <c r="HGV28" s="108"/>
      <c r="HGW28" s="108"/>
      <c r="HGX28" s="108"/>
      <c r="HGY28" s="108"/>
      <c r="HGZ28" s="108"/>
      <c r="HHA28" s="108"/>
      <c r="HHB28" s="108"/>
      <c r="HHC28" s="108"/>
      <c r="HHD28" s="108"/>
      <c r="HHE28" s="108"/>
      <c r="HHF28" s="108"/>
      <c r="HHG28" s="108"/>
      <c r="HHH28" s="108"/>
      <c r="HHI28" s="108"/>
      <c r="HHJ28" s="108"/>
      <c r="HHK28" s="108"/>
      <c r="HHL28" s="108"/>
      <c r="HHM28" s="108"/>
      <c r="HHN28" s="108"/>
      <c r="HHO28" s="108"/>
      <c r="HHP28" s="108"/>
      <c r="HHQ28" s="108"/>
      <c r="HHR28" s="108"/>
      <c r="HHS28" s="108"/>
      <c r="HHT28" s="108"/>
      <c r="HHU28" s="108"/>
      <c r="HHV28" s="108"/>
      <c r="HHW28" s="108"/>
      <c r="HHX28" s="108"/>
      <c r="HHY28" s="108"/>
      <c r="HHZ28" s="108"/>
      <c r="HIA28" s="108"/>
      <c r="HIB28" s="108"/>
      <c r="HIC28" s="108"/>
      <c r="HID28" s="108"/>
      <c r="HIE28" s="108"/>
      <c r="HIF28" s="108"/>
      <c r="HIG28" s="108"/>
      <c r="HIH28" s="108"/>
      <c r="HII28" s="108"/>
      <c r="HIJ28" s="108"/>
      <c r="HIK28" s="108"/>
      <c r="HIL28" s="108"/>
      <c r="HIM28" s="108"/>
      <c r="HIN28" s="108"/>
      <c r="HIO28" s="108"/>
      <c r="HIP28" s="108"/>
      <c r="HIQ28" s="108"/>
      <c r="HIR28" s="108"/>
      <c r="HIS28" s="108"/>
      <c r="HIT28" s="108"/>
      <c r="HIU28" s="108"/>
      <c r="HIV28" s="108"/>
      <c r="HIW28" s="108"/>
      <c r="HIX28" s="108"/>
      <c r="HIY28" s="108"/>
      <c r="HIZ28" s="108"/>
      <c r="HJA28" s="108"/>
      <c r="HJB28" s="108"/>
      <c r="HJC28" s="108"/>
      <c r="HJD28" s="108"/>
      <c r="HJE28" s="108"/>
      <c r="HJF28" s="108"/>
      <c r="HJG28" s="108"/>
      <c r="HJH28" s="108"/>
      <c r="HJI28" s="108"/>
      <c r="HJJ28" s="108"/>
      <c r="HJK28" s="108"/>
      <c r="HJL28" s="108"/>
      <c r="HJM28" s="108"/>
      <c r="HJN28" s="108"/>
      <c r="HJO28" s="108"/>
      <c r="HJP28" s="108"/>
      <c r="HJQ28" s="108"/>
      <c r="HJR28" s="108"/>
      <c r="HJS28" s="108"/>
      <c r="HJT28" s="108"/>
      <c r="HJU28" s="108"/>
      <c r="HJV28" s="108"/>
      <c r="HJW28" s="108"/>
      <c r="HJX28" s="108"/>
      <c r="HJY28" s="108"/>
      <c r="HJZ28" s="108"/>
      <c r="HKA28" s="108"/>
      <c r="HKB28" s="108"/>
      <c r="HKC28" s="108"/>
      <c r="HKD28" s="108"/>
      <c r="HKE28" s="108"/>
      <c r="HKF28" s="108"/>
      <c r="HKG28" s="108"/>
      <c r="HKH28" s="108"/>
      <c r="HKI28" s="108"/>
      <c r="HKJ28" s="108"/>
      <c r="HKK28" s="108"/>
      <c r="HKL28" s="108"/>
      <c r="HKM28" s="108"/>
      <c r="HKN28" s="108"/>
      <c r="HKO28" s="108"/>
      <c r="HKP28" s="108"/>
      <c r="HKQ28" s="108"/>
      <c r="HKR28" s="108"/>
      <c r="HKS28" s="108"/>
      <c r="HKT28" s="108"/>
      <c r="HKU28" s="108"/>
      <c r="HKV28" s="108"/>
      <c r="HKW28" s="108"/>
      <c r="HKX28" s="108"/>
      <c r="HKY28" s="108"/>
      <c r="HKZ28" s="108"/>
      <c r="HLA28" s="108"/>
      <c r="HLB28" s="108"/>
      <c r="HLC28" s="108"/>
      <c r="HLD28" s="108"/>
      <c r="HLE28" s="108"/>
      <c r="HLF28" s="108"/>
      <c r="HLG28" s="108"/>
      <c r="HLH28" s="108"/>
      <c r="HLI28" s="108"/>
      <c r="HLJ28" s="108"/>
      <c r="HLK28" s="108"/>
      <c r="HLL28" s="108"/>
      <c r="HLM28" s="108"/>
      <c r="HLN28" s="108"/>
      <c r="HLO28" s="108"/>
      <c r="HLP28" s="108"/>
      <c r="HLQ28" s="108"/>
      <c r="HLR28" s="108"/>
      <c r="HLS28" s="108"/>
      <c r="HLT28" s="108"/>
      <c r="HLU28" s="108"/>
      <c r="HLV28" s="108"/>
      <c r="HLW28" s="108"/>
      <c r="HLX28" s="108"/>
      <c r="HLY28" s="108"/>
      <c r="HLZ28" s="108"/>
      <c r="HMA28" s="108"/>
      <c r="HMB28" s="108"/>
      <c r="HMC28" s="108"/>
      <c r="HMD28" s="108"/>
      <c r="HME28" s="108"/>
      <c r="HMF28" s="108"/>
      <c r="HMG28" s="108"/>
      <c r="HMH28" s="108"/>
      <c r="HMI28" s="108"/>
      <c r="HMJ28" s="108"/>
      <c r="HMK28" s="108"/>
      <c r="HML28" s="108"/>
      <c r="HMM28" s="108"/>
      <c r="HMN28" s="108"/>
      <c r="HMO28" s="108"/>
      <c r="HMP28" s="108"/>
      <c r="HMQ28" s="108"/>
      <c r="HMR28" s="108"/>
      <c r="HMS28" s="108"/>
      <c r="HMT28" s="108"/>
      <c r="HMU28" s="108"/>
      <c r="HMV28" s="108"/>
      <c r="HMW28" s="108"/>
      <c r="HMX28" s="108"/>
      <c r="HMY28" s="108"/>
      <c r="HMZ28" s="108"/>
      <c r="HNA28" s="108"/>
      <c r="HNB28" s="108"/>
      <c r="HNC28" s="108"/>
      <c r="HND28" s="108"/>
      <c r="HNE28" s="108"/>
      <c r="HNF28" s="108"/>
      <c r="HNG28" s="108"/>
      <c r="HNH28" s="108"/>
      <c r="HNI28" s="108"/>
      <c r="HNJ28" s="108"/>
      <c r="HNK28" s="108"/>
      <c r="HNL28" s="108"/>
      <c r="HNM28" s="108"/>
      <c r="HNN28" s="108"/>
      <c r="HNO28" s="108"/>
      <c r="HNP28" s="108"/>
      <c r="HNQ28" s="108"/>
      <c r="HNR28" s="108"/>
      <c r="HNS28" s="108"/>
      <c r="HNT28" s="108"/>
      <c r="HNU28" s="108"/>
      <c r="HNV28" s="108"/>
      <c r="HNW28" s="108"/>
      <c r="HNX28" s="108"/>
      <c r="HNY28" s="108"/>
      <c r="HNZ28" s="108"/>
      <c r="HOA28" s="108"/>
      <c r="HOB28" s="108"/>
      <c r="HOC28" s="108"/>
      <c r="HOD28" s="108"/>
      <c r="HOE28" s="108"/>
      <c r="HOF28" s="108"/>
      <c r="HOG28" s="108"/>
      <c r="HOH28" s="108"/>
      <c r="HOI28" s="108"/>
      <c r="HOJ28" s="108"/>
      <c r="HOK28" s="108"/>
      <c r="HOL28" s="108"/>
      <c r="HOM28" s="108"/>
      <c r="HON28" s="108"/>
      <c r="HOO28" s="108"/>
      <c r="HOP28" s="108"/>
      <c r="HOQ28" s="108"/>
      <c r="HOR28" s="108"/>
      <c r="HOS28" s="108"/>
      <c r="HOT28" s="108"/>
      <c r="HOU28" s="108"/>
      <c r="HOV28" s="108"/>
      <c r="HOW28" s="108"/>
      <c r="HOX28" s="108"/>
      <c r="HOY28" s="108"/>
      <c r="HOZ28" s="108"/>
      <c r="HPA28" s="108"/>
      <c r="HPB28" s="108"/>
      <c r="HPC28" s="108"/>
      <c r="HPD28" s="108"/>
      <c r="HPE28" s="108"/>
      <c r="HPF28" s="108"/>
      <c r="HPG28" s="108"/>
      <c r="HPH28" s="108"/>
      <c r="HPI28" s="108"/>
      <c r="HPJ28" s="108"/>
      <c r="HPK28" s="108"/>
      <c r="HPL28" s="108"/>
      <c r="HPM28" s="108"/>
      <c r="HPN28" s="108"/>
      <c r="HPO28" s="108"/>
      <c r="HPP28" s="108"/>
      <c r="HPQ28" s="108"/>
      <c r="HPR28" s="108"/>
      <c r="HPS28" s="108"/>
      <c r="HPT28" s="108"/>
      <c r="HPU28" s="108"/>
      <c r="HPV28" s="108"/>
      <c r="HPW28" s="108"/>
      <c r="HPX28" s="108"/>
      <c r="HPY28" s="108"/>
      <c r="HPZ28" s="108"/>
      <c r="HQA28" s="108"/>
      <c r="HQB28" s="108"/>
      <c r="HQC28" s="108"/>
      <c r="HQD28" s="108"/>
      <c r="HQE28" s="108"/>
      <c r="HQF28" s="108"/>
      <c r="HQG28" s="108"/>
      <c r="HQH28" s="108"/>
      <c r="HQI28" s="108"/>
      <c r="HQJ28" s="108"/>
      <c r="HQK28" s="108"/>
      <c r="HQL28" s="108"/>
      <c r="HQM28" s="108"/>
      <c r="HQN28" s="108"/>
      <c r="HQO28" s="108"/>
      <c r="HQP28" s="108"/>
      <c r="HQQ28" s="108"/>
      <c r="HQR28" s="108"/>
      <c r="HQS28" s="108"/>
      <c r="HQT28" s="108"/>
      <c r="HQU28" s="108"/>
      <c r="HQV28" s="108"/>
      <c r="HQW28" s="108"/>
      <c r="HQX28" s="108"/>
      <c r="HQY28" s="108"/>
      <c r="HQZ28" s="108"/>
      <c r="HRA28" s="108"/>
      <c r="HRB28" s="108"/>
      <c r="HRC28" s="108"/>
      <c r="HRD28" s="108"/>
      <c r="HRE28" s="108"/>
      <c r="HRF28" s="108"/>
      <c r="HRG28" s="108"/>
      <c r="HRH28" s="108"/>
      <c r="HRI28" s="108"/>
      <c r="HRJ28" s="108"/>
      <c r="HRK28" s="108"/>
      <c r="HRL28" s="108"/>
      <c r="HRM28" s="108"/>
      <c r="HRN28" s="108"/>
      <c r="HRO28" s="108"/>
      <c r="HRP28" s="108"/>
      <c r="HRQ28" s="108"/>
      <c r="HRR28" s="108"/>
      <c r="HRS28" s="108"/>
      <c r="HRT28" s="108"/>
      <c r="HRU28" s="108"/>
      <c r="HRV28" s="108"/>
      <c r="HRW28" s="108"/>
      <c r="HRX28" s="108"/>
      <c r="HRY28" s="108"/>
      <c r="HRZ28" s="108"/>
      <c r="HSA28" s="108"/>
      <c r="HSB28" s="108"/>
      <c r="HSC28" s="108"/>
      <c r="HSD28" s="108"/>
      <c r="HSE28" s="108"/>
      <c r="HSF28" s="108"/>
      <c r="HSG28" s="108"/>
      <c r="HSH28" s="108"/>
      <c r="HSI28" s="108"/>
      <c r="HSJ28" s="108"/>
      <c r="HSK28" s="108"/>
      <c r="HSL28" s="108"/>
      <c r="HSM28" s="108"/>
      <c r="HSN28" s="108"/>
      <c r="HSO28" s="108"/>
      <c r="HSP28" s="108"/>
      <c r="HSQ28" s="108"/>
      <c r="HSR28" s="108"/>
      <c r="HSS28" s="108"/>
      <c r="HST28" s="108"/>
      <c r="HSU28" s="108"/>
      <c r="HSV28" s="108"/>
      <c r="HSW28" s="108"/>
      <c r="HSX28" s="108"/>
      <c r="HSY28" s="108"/>
      <c r="HSZ28" s="108"/>
      <c r="HTA28" s="108"/>
      <c r="HTB28" s="108"/>
      <c r="HTC28" s="108"/>
      <c r="HTD28" s="108"/>
      <c r="HTE28" s="108"/>
      <c r="HTF28" s="108"/>
      <c r="HTG28" s="108"/>
      <c r="HTH28" s="108"/>
      <c r="HTI28" s="108"/>
      <c r="HTJ28" s="108"/>
      <c r="HTK28" s="108"/>
      <c r="HTL28" s="108"/>
      <c r="HTM28" s="108"/>
      <c r="HTN28" s="108"/>
      <c r="HTO28" s="108"/>
      <c r="HTP28" s="108"/>
      <c r="HTQ28" s="108"/>
      <c r="HTR28" s="108"/>
      <c r="HTS28" s="108"/>
      <c r="HTT28" s="108"/>
      <c r="HTU28" s="108"/>
      <c r="HTV28" s="108"/>
      <c r="HTW28" s="108"/>
      <c r="HTX28" s="108"/>
      <c r="HTY28" s="108"/>
      <c r="HTZ28" s="108"/>
      <c r="HUA28" s="108"/>
      <c r="HUB28" s="108"/>
      <c r="HUC28" s="108"/>
      <c r="HUD28" s="108"/>
      <c r="HUE28" s="108"/>
      <c r="HUF28" s="108"/>
      <c r="HUG28" s="108"/>
      <c r="HUH28" s="108"/>
      <c r="HUI28" s="108"/>
      <c r="HUJ28" s="108"/>
      <c r="HUK28" s="108"/>
      <c r="HUL28" s="108"/>
      <c r="HUM28" s="108"/>
      <c r="HUN28" s="108"/>
      <c r="HUO28" s="108"/>
      <c r="HUP28" s="108"/>
      <c r="HUQ28" s="108"/>
      <c r="HUR28" s="108"/>
      <c r="HUS28" s="108"/>
      <c r="HUT28" s="108"/>
      <c r="HUU28" s="108"/>
      <c r="HUV28" s="108"/>
      <c r="HUW28" s="108"/>
      <c r="HUX28" s="108"/>
      <c r="HUY28" s="108"/>
      <c r="HUZ28" s="108"/>
      <c r="HVA28" s="108"/>
      <c r="HVB28" s="108"/>
      <c r="HVC28" s="108"/>
      <c r="HVD28" s="108"/>
      <c r="HVE28" s="108"/>
      <c r="HVF28" s="108"/>
      <c r="HVG28" s="108"/>
      <c r="HVH28" s="108"/>
      <c r="HVI28" s="108"/>
      <c r="HVJ28" s="108"/>
      <c r="HVK28" s="108"/>
      <c r="HVL28" s="108"/>
      <c r="HVM28" s="108"/>
      <c r="HVN28" s="108"/>
      <c r="HVO28" s="108"/>
      <c r="HVP28" s="108"/>
      <c r="HVQ28" s="108"/>
      <c r="HVR28" s="108"/>
      <c r="HVS28" s="108"/>
      <c r="HVT28" s="108"/>
      <c r="HVU28" s="108"/>
      <c r="HVV28" s="108"/>
      <c r="HVW28" s="108"/>
      <c r="HVX28" s="108"/>
      <c r="HVY28" s="108"/>
      <c r="HVZ28" s="108"/>
      <c r="HWA28" s="108"/>
      <c r="HWB28" s="108"/>
      <c r="HWC28" s="108"/>
      <c r="HWD28" s="108"/>
      <c r="HWE28" s="108"/>
      <c r="HWF28" s="108"/>
      <c r="HWG28" s="108"/>
      <c r="HWH28" s="108"/>
      <c r="HWI28" s="108"/>
      <c r="HWJ28" s="108"/>
      <c r="HWK28" s="108"/>
      <c r="HWL28" s="108"/>
      <c r="HWM28" s="108"/>
      <c r="HWN28" s="108"/>
      <c r="HWO28" s="108"/>
      <c r="HWP28" s="108"/>
      <c r="HWQ28" s="108"/>
      <c r="HWR28" s="108"/>
      <c r="HWS28" s="108"/>
      <c r="HWT28" s="108"/>
      <c r="HWU28" s="108"/>
      <c r="HWV28" s="108"/>
      <c r="HWW28" s="108"/>
      <c r="HWX28" s="108"/>
      <c r="HWY28" s="108"/>
      <c r="HWZ28" s="108"/>
      <c r="HXA28" s="108"/>
      <c r="HXB28" s="108"/>
      <c r="HXC28" s="108"/>
      <c r="HXD28" s="108"/>
      <c r="HXE28" s="108"/>
      <c r="HXF28" s="108"/>
      <c r="HXG28" s="108"/>
      <c r="HXH28" s="108"/>
      <c r="HXI28" s="108"/>
      <c r="HXJ28" s="108"/>
      <c r="HXK28" s="108"/>
      <c r="HXL28" s="108"/>
      <c r="HXM28" s="108"/>
      <c r="HXN28" s="108"/>
      <c r="HXO28" s="108"/>
      <c r="HXP28" s="108"/>
      <c r="HXQ28" s="108"/>
      <c r="HXR28" s="108"/>
      <c r="HXS28" s="108"/>
      <c r="HXT28" s="108"/>
      <c r="HXU28" s="108"/>
      <c r="HXV28" s="108"/>
      <c r="HXW28" s="108"/>
      <c r="HXX28" s="108"/>
      <c r="HXY28" s="108"/>
      <c r="HXZ28" s="108"/>
      <c r="HYA28" s="108"/>
      <c r="HYB28" s="108"/>
      <c r="HYC28" s="108"/>
      <c r="HYD28" s="108"/>
      <c r="HYE28" s="108"/>
      <c r="HYF28" s="108"/>
      <c r="HYG28" s="108"/>
      <c r="HYH28" s="108"/>
      <c r="HYI28" s="108"/>
      <c r="HYJ28" s="108"/>
      <c r="HYK28" s="108"/>
      <c r="HYL28" s="108"/>
      <c r="HYM28" s="108"/>
      <c r="HYN28" s="108"/>
      <c r="HYO28" s="108"/>
      <c r="HYP28" s="108"/>
      <c r="HYQ28" s="108"/>
      <c r="HYR28" s="108"/>
      <c r="HYS28" s="108"/>
      <c r="HYT28" s="108"/>
      <c r="HYU28" s="108"/>
      <c r="HYV28" s="108"/>
      <c r="HYW28" s="108"/>
      <c r="HYX28" s="108"/>
      <c r="HYY28" s="108"/>
      <c r="HYZ28" s="108"/>
      <c r="HZA28" s="108"/>
      <c r="HZB28" s="108"/>
      <c r="HZC28" s="108"/>
      <c r="HZD28" s="108"/>
      <c r="HZE28" s="108"/>
      <c r="HZF28" s="108"/>
      <c r="HZG28" s="108"/>
      <c r="HZH28" s="108"/>
      <c r="HZI28" s="108"/>
      <c r="HZJ28" s="108"/>
      <c r="HZK28" s="108"/>
      <c r="HZL28" s="108"/>
      <c r="HZM28" s="108"/>
      <c r="HZN28" s="108"/>
      <c r="HZO28" s="108"/>
      <c r="HZP28" s="108"/>
      <c r="HZQ28" s="108"/>
      <c r="HZR28" s="108"/>
      <c r="HZS28" s="108"/>
      <c r="HZT28" s="108"/>
      <c r="HZU28" s="108"/>
      <c r="HZV28" s="108"/>
      <c r="HZW28" s="108"/>
      <c r="HZX28" s="108"/>
      <c r="HZY28" s="108"/>
      <c r="HZZ28" s="108"/>
      <c r="IAA28" s="108"/>
      <c r="IAB28" s="108"/>
      <c r="IAC28" s="108"/>
      <c r="IAD28" s="108"/>
      <c r="IAE28" s="108"/>
      <c r="IAF28" s="108"/>
      <c r="IAG28" s="108"/>
      <c r="IAH28" s="108"/>
      <c r="IAI28" s="108"/>
      <c r="IAJ28" s="108"/>
      <c r="IAK28" s="108"/>
      <c r="IAL28" s="108"/>
      <c r="IAM28" s="108"/>
      <c r="IAN28" s="108"/>
      <c r="IAO28" s="108"/>
      <c r="IAP28" s="108"/>
      <c r="IAQ28" s="108"/>
      <c r="IAR28" s="108"/>
      <c r="IAS28" s="108"/>
      <c r="IAT28" s="108"/>
      <c r="IAU28" s="108"/>
      <c r="IAV28" s="108"/>
      <c r="IAW28" s="108"/>
      <c r="IAX28" s="108"/>
      <c r="IAY28" s="108"/>
      <c r="IAZ28" s="108"/>
      <c r="IBA28" s="108"/>
      <c r="IBB28" s="108"/>
      <c r="IBC28" s="108"/>
      <c r="IBD28" s="108"/>
      <c r="IBE28" s="108"/>
      <c r="IBF28" s="108"/>
      <c r="IBG28" s="108"/>
      <c r="IBH28" s="108"/>
      <c r="IBI28" s="108"/>
      <c r="IBJ28" s="108"/>
      <c r="IBK28" s="108"/>
      <c r="IBL28" s="108"/>
      <c r="IBM28" s="108"/>
      <c r="IBN28" s="108"/>
      <c r="IBO28" s="108"/>
      <c r="IBP28" s="108"/>
      <c r="IBQ28" s="108"/>
      <c r="IBR28" s="108"/>
      <c r="IBS28" s="108"/>
      <c r="IBT28" s="108"/>
      <c r="IBU28" s="108"/>
      <c r="IBV28" s="108"/>
      <c r="IBW28" s="108"/>
      <c r="IBX28" s="108"/>
      <c r="IBY28" s="108"/>
      <c r="IBZ28" s="108"/>
      <c r="ICA28" s="108"/>
      <c r="ICB28" s="108"/>
      <c r="ICC28" s="108"/>
      <c r="ICD28" s="108"/>
      <c r="ICE28" s="108"/>
      <c r="ICF28" s="108"/>
      <c r="ICG28" s="108"/>
      <c r="ICH28" s="108"/>
      <c r="ICI28" s="108"/>
      <c r="ICJ28" s="108"/>
      <c r="ICK28" s="108"/>
      <c r="ICL28" s="108"/>
      <c r="ICM28" s="108"/>
      <c r="ICN28" s="108"/>
      <c r="ICO28" s="108"/>
      <c r="ICP28" s="108"/>
      <c r="ICQ28" s="108"/>
      <c r="ICR28" s="108"/>
      <c r="ICS28" s="108"/>
      <c r="ICT28" s="108"/>
      <c r="ICU28" s="108"/>
      <c r="ICV28" s="108"/>
      <c r="ICW28" s="108"/>
      <c r="ICX28" s="108"/>
      <c r="ICY28" s="108"/>
      <c r="ICZ28" s="108"/>
      <c r="IDA28" s="108"/>
      <c r="IDB28" s="108"/>
      <c r="IDC28" s="108"/>
      <c r="IDD28" s="108"/>
      <c r="IDE28" s="108"/>
      <c r="IDF28" s="108"/>
      <c r="IDG28" s="108"/>
      <c r="IDH28" s="108"/>
      <c r="IDI28" s="108"/>
      <c r="IDJ28" s="108"/>
      <c r="IDK28" s="108"/>
      <c r="IDL28" s="108"/>
      <c r="IDM28" s="108"/>
      <c r="IDN28" s="108"/>
      <c r="IDO28" s="108"/>
      <c r="IDP28" s="108"/>
      <c r="IDQ28" s="108"/>
      <c r="IDR28" s="108"/>
      <c r="IDS28" s="108"/>
      <c r="IDT28" s="108"/>
      <c r="IDU28" s="108"/>
      <c r="IDV28" s="108"/>
      <c r="IDW28" s="108"/>
      <c r="IDX28" s="108"/>
      <c r="IDY28" s="108"/>
      <c r="IDZ28" s="108"/>
      <c r="IEA28" s="108"/>
      <c r="IEB28" s="108"/>
      <c r="IEC28" s="108"/>
      <c r="IED28" s="108"/>
      <c r="IEE28" s="108"/>
      <c r="IEF28" s="108"/>
      <c r="IEG28" s="108"/>
      <c r="IEH28" s="108"/>
      <c r="IEI28" s="108"/>
      <c r="IEJ28" s="108"/>
      <c r="IEK28" s="108"/>
      <c r="IEL28" s="108"/>
      <c r="IEM28" s="108"/>
      <c r="IEN28" s="108"/>
      <c r="IEO28" s="108"/>
      <c r="IEP28" s="108"/>
      <c r="IEQ28" s="108"/>
      <c r="IER28" s="108"/>
      <c r="IES28" s="108"/>
      <c r="IET28" s="108"/>
      <c r="IEU28" s="108"/>
      <c r="IEV28" s="108"/>
      <c r="IEW28" s="108"/>
      <c r="IEX28" s="108"/>
      <c r="IEY28" s="108"/>
      <c r="IEZ28" s="108"/>
      <c r="IFA28" s="108"/>
      <c r="IFB28" s="108"/>
      <c r="IFC28" s="108"/>
      <c r="IFD28" s="108"/>
      <c r="IFE28" s="108"/>
      <c r="IFF28" s="108"/>
      <c r="IFG28" s="108"/>
      <c r="IFH28" s="108"/>
      <c r="IFI28" s="108"/>
      <c r="IFJ28" s="108"/>
      <c r="IFK28" s="108"/>
      <c r="IFL28" s="108"/>
      <c r="IFM28" s="108"/>
      <c r="IFN28" s="108"/>
      <c r="IFO28" s="108"/>
      <c r="IFP28" s="108"/>
      <c r="IFQ28" s="108"/>
      <c r="IFR28" s="108"/>
      <c r="IFS28" s="108"/>
      <c r="IFT28" s="108"/>
      <c r="IFU28" s="108"/>
      <c r="IFV28" s="108"/>
      <c r="IFW28" s="108"/>
      <c r="IFX28" s="108"/>
      <c r="IFY28" s="108"/>
      <c r="IFZ28" s="108"/>
      <c r="IGA28" s="108"/>
      <c r="IGB28" s="108"/>
      <c r="IGC28" s="108"/>
      <c r="IGD28" s="108"/>
      <c r="IGE28" s="108"/>
      <c r="IGF28" s="108"/>
      <c r="IGG28" s="108"/>
      <c r="IGH28" s="108"/>
      <c r="IGI28" s="108"/>
      <c r="IGJ28" s="108"/>
      <c r="IGK28" s="108"/>
      <c r="IGL28" s="108"/>
      <c r="IGM28" s="108"/>
      <c r="IGN28" s="108"/>
      <c r="IGO28" s="108"/>
      <c r="IGP28" s="108"/>
      <c r="IGQ28" s="108"/>
      <c r="IGR28" s="108"/>
      <c r="IGS28" s="108"/>
      <c r="IGT28" s="108"/>
      <c r="IGU28" s="108"/>
      <c r="IGV28" s="108"/>
      <c r="IGW28" s="108"/>
      <c r="IGX28" s="108"/>
      <c r="IGY28" s="108"/>
      <c r="IGZ28" s="108"/>
      <c r="IHA28" s="108"/>
      <c r="IHB28" s="108"/>
      <c r="IHC28" s="108"/>
      <c r="IHD28" s="108"/>
      <c r="IHE28" s="108"/>
      <c r="IHF28" s="108"/>
      <c r="IHG28" s="108"/>
      <c r="IHH28" s="108"/>
      <c r="IHI28" s="108"/>
      <c r="IHJ28" s="108"/>
      <c r="IHK28" s="108"/>
      <c r="IHL28" s="108"/>
      <c r="IHM28" s="108"/>
      <c r="IHN28" s="108"/>
      <c r="IHO28" s="108"/>
      <c r="IHP28" s="108"/>
      <c r="IHQ28" s="108"/>
      <c r="IHR28" s="108"/>
      <c r="IHS28" s="108"/>
      <c r="IHT28" s="108"/>
      <c r="IHU28" s="108"/>
      <c r="IHV28" s="108"/>
      <c r="IHW28" s="108"/>
      <c r="IHX28" s="108"/>
      <c r="IHY28" s="108"/>
      <c r="IHZ28" s="108"/>
      <c r="IIA28" s="108"/>
      <c r="IIB28" s="108"/>
      <c r="IIC28" s="108"/>
      <c r="IID28" s="108"/>
      <c r="IIE28" s="108"/>
      <c r="IIF28" s="108"/>
      <c r="IIG28" s="108"/>
      <c r="IIH28" s="108"/>
      <c r="III28" s="108"/>
      <c r="IIJ28" s="108"/>
      <c r="IIK28" s="108"/>
      <c r="IIL28" s="108"/>
      <c r="IIM28" s="108"/>
      <c r="IIN28" s="108"/>
      <c r="IIO28" s="108"/>
      <c r="IIP28" s="108"/>
      <c r="IIQ28" s="108"/>
      <c r="IIR28" s="108"/>
      <c r="IIS28" s="108"/>
      <c r="IIT28" s="108"/>
      <c r="IIU28" s="108"/>
      <c r="IIV28" s="108"/>
      <c r="IIW28" s="108"/>
      <c r="IIX28" s="108"/>
      <c r="IIY28" s="108"/>
      <c r="IIZ28" s="108"/>
      <c r="IJA28" s="108"/>
      <c r="IJB28" s="108"/>
      <c r="IJC28" s="108"/>
      <c r="IJD28" s="108"/>
      <c r="IJE28" s="108"/>
      <c r="IJF28" s="108"/>
      <c r="IJG28" s="108"/>
      <c r="IJH28" s="108"/>
      <c r="IJI28" s="108"/>
      <c r="IJJ28" s="108"/>
      <c r="IJK28" s="108"/>
      <c r="IJL28" s="108"/>
      <c r="IJM28" s="108"/>
      <c r="IJN28" s="108"/>
      <c r="IJO28" s="108"/>
      <c r="IJP28" s="108"/>
      <c r="IJQ28" s="108"/>
      <c r="IJR28" s="108"/>
      <c r="IJS28" s="108"/>
      <c r="IJT28" s="108"/>
      <c r="IJU28" s="108"/>
      <c r="IJV28" s="108"/>
      <c r="IJW28" s="108"/>
      <c r="IJX28" s="108"/>
      <c r="IJY28" s="108"/>
      <c r="IJZ28" s="108"/>
      <c r="IKA28" s="108"/>
      <c r="IKB28" s="108"/>
      <c r="IKC28" s="108"/>
      <c r="IKD28" s="108"/>
      <c r="IKE28" s="108"/>
      <c r="IKF28" s="108"/>
      <c r="IKG28" s="108"/>
      <c r="IKH28" s="108"/>
      <c r="IKI28" s="108"/>
      <c r="IKJ28" s="108"/>
      <c r="IKK28" s="108"/>
      <c r="IKL28" s="108"/>
      <c r="IKM28" s="108"/>
      <c r="IKN28" s="108"/>
      <c r="IKO28" s="108"/>
      <c r="IKP28" s="108"/>
      <c r="IKQ28" s="108"/>
      <c r="IKR28" s="108"/>
      <c r="IKS28" s="108"/>
      <c r="IKT28" s="108"/>
      <c r="IKU28" s="108"/>
      <c r="IKV28" s="108"/>
      <c r="IKW28" s="108"/>
      <c r="IKX28" s="108"/>
      <c r="IKY28" s="108"/>
      <c r="IKZ28" s="108"/>
      <c r="ILA28" s="108"/>
      <c r="ILB28" s="108"/>
      <c r="ILC28" s="108"/>
      <c r="ILD28" s="108"/>
      <c r="ILE28" s="108"/>
      <c r="ILF28" s="108"/>
      <c r="ILG28" s="108"/>
      <c r="ILH28" s="108"/>
      <c r="ILI28" s="108"/>
      <c r="ILJ28" s="108"/>
      <c r="ILK28" s="108"/>
      <c r="ILL28" s="108"/>
      <c r="ILM28" s="108"/>
      <c r="ILN28" s="108"/>
      <c r="ILO28" s="108"/>
      <c r="ILP28" s="108"/>
      <c r="ILQ28" s="108"/>
      <c r="ILR28" s="108"/>
      <c r="ILS28" s="108"/>
      <c r="ILT28" s="108"/>
      <c r="ILU28" s="108"/>
      <c r="ILV28" s="108"/>
      <c r="ILW28" s="108"/>
      <c r="ILX28" s="108"/>
      <c r="ILY28" s="108"/>
      <c r="ILZ28" s="108"/>
      <c r="IMA28" s="108"/>
      <c r="IMB28" s="108"/>
      <c r="IMC28" s="108"/>
      <c r="IMD28" s="108"/>
      <c r="IME28" s="108"/>
      <c r="IMF28" s="108"/>
      <c r="IMG28" s="108"/>
      <c r="IMH28" s="108"/>
      <c r="IMI28" s="108"/>
      <c r="IMJ28" s="108"/>
      <c r="IMK28" s="108"/>
      <c r="IML28" s="108"/>
      <c r="IMM28" s="108"/>
      <c r="IMN28" s="108"/>
      <c r="IMO28" s="108"/>
      <c r="IMP28" s="108"/>
      <c r="IMQ28" s="108"/>
      <c r="IMR28" s="108"/>
      <c r="IMS28" s="108"/>
      <c r="IMT28" s="108"/>
      <c r="IMU28" s="108"/>
      <c r="IMV28" s="108"/>
      <c r="IMW28" s="108"/>
      <c r="IMX28" s="108"/>
      <c r="IMY28" s="108"/>
      <c r="IMZ28" s="108"/>
      <c r="INA28" s="108"/>
      <c r="INB28" s="108"/>
      <c r="INC28" s="108"/>
      <c r="IND28" s="108"/>
      <c r="INE28" s="108"/>
      <c r="INF28" s="108"/>
      <c r="ING28" s="108"/>
      <c r="INH28" s="108"/>
      <c r="INI28" s="108"/>
      <c r="INJ28" s="108"/>
      <c r="INK28" s="108"/>
      <c r="INL28" s="108"/>
      <c r="INM28" s="108"/>
      <c r="INN28" s="108"/>
      <c r="INO28" s="108"/>
      <c r="INP28" s="108"/>
      <c r="INQ28" s="108"/>
      <c r="INR28" s="108"/>
      <c r="INS28" s="108"/>
      <c r="INT28" s="108"/>
      <c r="INU28" s="108"/>
      <c r="INV28" s="108"/>
      <c r="INW28" s="108"/>
      <c r="INX28" s="108"/>
      <c r="INY28" s="108"/>
      <c r="INZ28" s="108"/>
      <c r="IOA28" s="108"/>
      <c r="IOB28" s="108"/>
      <c r="IOC28" s="108"/>
      <c r="IOD28" s="108"/>
      <c r="IOE28" s="108"/>
      <c r="IOF28" s="108"/>
      <c r="IOG28" s="108"/>
      <c r="IOH28" s="108"/>
      <c r="IOI28" s="108"/>
      <c r="IOJ28" s="108"/>
      <c r="IOK28" s="108"/>
      <c r="IOL28" s="108"/>
      <c r="IOM28" s="108"/>
      <c r="ION28" s="108"/>
      <c r="IOO28" s="108"/>
      <c r="IOP28" s="108"/>
      <c r="IOQ28" s="108"/>
      <c r="IOR28" s="108"/>
      <c r="IOS28" s="108"/>
      <c r="IOT28" s="108"/>
      <c r="IOU28" s="108"/>
      <c r="IOV28" s="108"/>
      <c r="IOW28" s="108"/>
      <c r="IOX28" s="108"/>
      <c r="IOY28" s="108"/>
      <c r="IOZ28" s="108"/>
      <c r="IPA28" s="108"/>
      <c r="IPB28" s="108"/>
      <c r="IPC28" s="108"/>
      <c r="IPD28" s="108"/>
      <c r="IPE28" s="108"/>
      <c r="IPF28" s="108"/>
      <c r="IPG28" s="108"/>
      <c r="IPH28" s="108"/>
      <c r="IPI28" s="108"/>
      <c r="IPJ28" s="108"/>
      <c r="IPK28" s="108"/>
      <c r="IPL28" s="108"/>
      <c r="IPM28" s="108"/>
      <c r="IPN28" s="108"/>
      <c r="IPO28" s="108"/>
      <c r="IPP28" s="108"/>
      <c r="IPQ28" s="108"/>
      <c r="IPR28" s="108"/>
      <c r="IPS28" s="108"/>
      <c r="IPT28" s="108"/>
      <c r="IPU28" s="108"/>
      <c r="IPV28" s="108"/>
      <c r="IPW28" s="108"/>
      <c r="IPX28" s="108"/>
      <c r="IPY28" s="108"/>
      <c r="IPZ28" s="108"/>
      <c r="IQA28" s="108"/>
      <c r="IQB28" s="108"/>
      <c r="IQC28" s="108"/>
      <c r="IQD28" s="108"/>
      <c r="IQE28" s="108"/>
      <c r="IQF28" s="108"/>
      <c r="IQG28" s="108"/>
      <c r="IQH28" s="108"/>
      <c r="IQI28" s="108"/>
      <c r="IQJ28" s="108"/>
      <c r="IQK28" s="108"/>
      <c r="IQL28" s="108"/>
      <c r="IQM28" s="108"/>
      <c r="IQN28" s="108"/>
      <c r="IQO28" s="108"/>
      <c r="IQP28" s="108"/>
      <c r="IQQ28" s="108"/>
      <c r="IQR28" s="108"/>
      <c r="IQS28" s="108"/>
      <c r="IQT28" s="108"/>
      <c r="IQU28" s="108"/>
      <c r="IQV28" s="108"/>
      <c r="IQW28" s="108"/>
      <c r="IQX28" s="108"/>
      <c r="IQY28" s="108"/>
      <c r="IQZ28" s="108"/>
      <c r="IRA28" s="108"/>
      <c r="IRB28" s="108"/>
      <c r="IRC28" s="108"/>
      <c r="IRD28" s="108"/>
      <c r="IRE28" s="108"/>
      <c r="IRF28" s="108"/>
      <c r="IRG28" s="108"/>
      <c r="IRH28" s="108"/>
      <c r="IRI28" s="108"/>
      <c r="IRJ28" s="108"/>
      <c r="IRK28" s="108"/>
      <c r="IRL28" s="108"/>
      <c r="IRM28" s="108"/>
      <c r="IRN28" s="108"/>
      <c r="IRO28" s="108"/>
      <c r="IRP28" s="108"/>
      <c r="IRQ28" s="108"/>
      <c r="IRR28" s="108"/>
      <c r="IRS28" s="108"/>
      <c r="IRT28" s="108"/>
      <c r="IRU28" s="108"/>
      <c r="IRV28" s="108"/>
      <c r="IRW28" s="108"/>
      <c r="IRX28" s="108"/>
      <c r="IRY28" s="108"/>
      <c r="IRZ28" s="108"/>
      <c r="ISA28" s="108"/>
      <c r="ISB28" s="108"/>
      <c r="ISC28" s="108"/>
      <c r="ISD28" s="108"/>
      <c r="ISE28" s="108"/>
      <c r="ISF28" s="108"/>
      <c r="ISG28" s="108"/>
      <c r="ISH28" s="108"/>
      <c r="ISI28" s="108"/>
      <c r="ISJ28" s="108"/>
      <c r="ISK28" s="108"/>
      <c r="ISL28" s="108"/>
      <c r="ISM28" s="108"/>
      <c r="ISN28" s="108"/>
      <c r="ISO28" s="108"/>
      <c r="ISP28" s="108"/>
      <c r="ISQ28" s="108"/>
      <c r="ISR28" s="108"/>
      <c r="ISS28" s="108"/>
      <c r="IST28" s="108"/>
      <c r="ISU28" s="108"/>
      <c r="ISV28" s="108"/>
      <c r="ISW28" s="108"/>
      <c r="ISX28" s="108"/>
      <c r="ISY28" s="108"/>
      <c r="ISZ28" s="108"/>
      <c r="ITA28" s="108"/>
      <c r="ITB28" s="108"/>
      <c r="ITC28" s="108"/>
      <c r="ITD28" s="108"/>
      <c r="ITE28" s="108"/>
      <c r="ITF28" s="108"/>
      <c r="ITG28" s="108"/>
      <c r="ITH28" s="108"/>
      <c r="ITI28" s="108"/>
      <c r="ITJ28" s="108"/>
      <c r="ITK28" s="108"/>
      <c r="ITL28" s="108"/>
      <c r="ITM28" s="108"/>
      <c r="ITN28" s="108"/>
      <c r="ITO28" s="108"/>
      <c r="ITP28" s="108"/>
      <c r="ITQ28" s="108"/>
      <c r="ITR28" s="108"/>
      <c r="ITS28" s="108"/>
      <c r="ITT28" s="108"/>
      <c r="ITU28" s="108"/>
      <c r="ITV28" s="108"/>
      <c r="ITW28" s="108"/>
      <c r="ITX28" s="108"/>
      <c r="ITY28" s="108"/>
      <c r="ITZ28" s="108"/>
      <c r="IUA28" s="108"/>
      <c r="IUB28" s="108"/>
      <c r="IUC28" s="108"/>
      <c r="IUD28" s="108"/>
      <c r="IUE28" s="108"/>
      <c r="IUF28" s="108"/>
      <c r="IUG28" s="108"/>
      <c r="IUH28" s="108"/>
      <c r="IUI28" s="108"/>
      <c r="IUJ28" s="108"/>
      <c r="IUK28" s="108"/>
      <c r="IUL28" s="108"/>
      <c r="IUM28" s="108"/>
      <c r="IUN28" s="108"/>
      <c r="IUO28" s="108"/>
      <c r="IUP28" s="108"/>
      <c r="IUQ28" s="108"/>
      <c r="IUR28" s="108"/>
      <c r="IUS28" s="108"/>
      <c r="IUT28" s="108"/>
      <c r="IUU28" s="108"/>
      <c r="IUV28" s="108"/>
      <c r="IUW28" s="108"/>
      <c r="IUX28" s="108"/>
      <c r="IUY28" s="108"/>
      <c r="IUZ28" s="108"/>
      <c r="IVA28" s="108"/>
      <c r="IVB28" s="108"/>
      <c r="IVC28" s="108"/>
      <c r="IVD28" s="108"/>
      <c r="IVE28" s="108"/>
      <c r="IVF28" s="108"/>
      <c r="IVG28" s="108"/>
      <c r="IVH28" s="108"/>
      <c r="IVI28" s="108"/>
      <c r="IVJ28" s="108"/>
      <c r="IVK28" s="108"/>
      <c r="IVL28" s="108"/>
      <c r="IVM28" s="108"/>
      <c r="IVN28" s="108"/>
      <c r="IVO28" s="108"/>
      <c r="IVP28" s="108"/>
      <c r="IVQ28" s="108"/>
      <c r="IVR28" s="108"/>
      <c r="IVS28" s="108"/>
      <c r="IVT28" s="108"/>
      <c r="IVU28" s="108"/>
      <c r="IVV28" s="108"/>
      <c r="IVW28" s="108"/>
      <c r="IVX28" s="108"/>
      <c r="IVY28" s="108"/>
      <c r="IVZ28" s="108"/>
      <c r="IWA28" s="108"/>
      <c r="IWB28" s="108"/>
      <c r="IWC28" s="108"/>
      <c r="IWD28" s="108"/>
      <c r="IWE28" s="108"/>
      <c r="IWF28" s="108"/>
      <c r="IWG28" s="108"/>
      <c r="IWH28" s="108"/>
      <c r="IWI28" s="108"/>
      <c r="IWJ28" s="108"/>
      <c r="IWK28" s="108"/>
      <c r="IWL28" s="108"/>
      <c r="IWM28" s="108"/>
      <c r="IWN28" s="108"/>
      <c r="IWO28" s="108"/>
      <c r="IWP28" s="108"/>
      <c r="IWQ28" s="108"/>
      <c r="IWR28" s="108"/>
      <c r="IWS28" s="108"/>
      <c r="IWT28" s="108"/>
      <c r="IWU28" s="108"/>
      <c r="IWV28" s="108"/>
      <c r="IWW28" s="108"/>
      <c r="IWX28" s="108"/>
      <c r="IWY28" s="108"/>
      <c r="IWZ28" s="108"/>
      <c r="IXA28" s="108"/>
      <c r="IXB28" s="108"/>
      <c r="IXC28" s="108"/>
      <c r="IXD28" s="108"/>
      <c r="IXE28" s="108"/>
      <c r="IXF28" s="108"/>
      <c r="IXG28" s="108"/>
      <c r="IXH28" s="108"/>
      <c r="IXI28" s="108"/>
      <c r="IXJ28" s="108"/>
      <c r="IXK28" s="108"/>
      <c r="IXL28" s="108"/>
      <c r="IXM28" s="108"/>
      <c r="IXN28" s="108"/>
      <c r="IXO28" s="108"/>
      <c r="IXP28" s="108"/>
      <c r="IXQ28" s="108"/>
      <c r="IXR28" s="108"/>
      <c r="IXS28" s="108"/>
      <c r="IXT28" s="108"/>
      <c r="IXU28" s="108"/>
      <c r="IXV28" s="108"/>
      <c r="IXW28" s="108"/>
      <c r="IXX28" s="108"/>
      <c r="IXY28" s="108"/>
      <c r="IXZ28" s="108"/>
      <c r="IYA28" s="108"/>
      <c r="IYB28" s="108"/>
      <c r="IYC28" s="108"/>
      <c r="IYD28" s="108"/>
      <c r="IYE28" s="108"/>
      <c r="IYF28" s="108"/>
      <c r="IYG28" s="108"/>
      <c r="IYH28" s="108"/>
      <c r="IYI28" s="108"/>
      <c r="IYJ28" s="108"/>
      <c r="IYK28" s="108"/>
      <c r="IYL28" s="108"/>
      <c r="IYM28" s="108"/>
      <c r="IYN28" s="108"/>
      <c r="IYO28" s="108"/>
      <c r="IYP28" s="108"/>
      <c r="IYQ28" s="108"/>
      <c r="IYR28" s="108"/>
      <c r="IYS28" s="108"/>
      <c r="IYT28" s="108"/>
      <c r="IYU28" s="108"/>
      <c r="IYV28" s="108"/>
      <c r="IYW28" s="108"/>
      <c r="IYX28" s="108"/>
      <c r="IYY28" s="108"/>
      <c r="IYZ28" s="108"/>
      <c r="IZA28" s="108"/>
      <c r="IZB28" s="108"/>
      <c r="IZC28" s="108"/>
      <c r="IZD28" s="108"/>
      <c r="IZE28" s="108"/>
      <c r="IZF28" s="108"/>
      <c r="IZG28" s="108"/>
      <c r="IZH28" s="108"/>
      <c r="IZI28" s="108"/>
      <c r="IZJ28" s="108"/>
      <c r="IZK28" s="108"/>
      <c r="IZL28" s="108"/>
      <c r="IZM28" s="108"/>
      <c r="IZN28" s="108"/>
      <c r="IZO28" s="108"/>
      <c r="IZP28" s="108"/>
      <c r="IZQ28" s="108"/>
      <c r="IZR28" s="108"/>
      <c r="IZS28" s="108"/>
      <c r="IZT28" s="108"/>
      <c r="IZU28" s="108"/>
      <c r="IZV28" s="108"/>
      <c r="IZW28" s="108"/>
      <c r="IZX28" s="108"/>
      <c r="IZY28" s="108"/>
      <c r="IZZ28" s="108"/>
      <c r="JAA28" s="108"/>
      <c r="JAB28" s="108"/>
      <c r="JAC28" s="108"/>
      <c r="JAD28" s="108"/>
      <c r="JAE28" s="108"/>
      <c r="JAF28" s="108"/>
      <c r="JAG28" s="108"/>
      <c r="JAH28" s="108"/>
      <c r="JAI28" s="108"/>
      <c r="JAJ28" s="108"/>
      <c r="JAK28" s="108"/>
      <c r="JAL28" s="108"/>
      <c r="JAM28" s="108"/>
      <c r="JAN28" s="108"/>
      <c r="JAO28" s="108"/>
      <c r="JAP28" s="108"/>
      <c r="JAQ28" s="108"/>
      <c r="JAR28" s="108"/>
      <c r="JAS28" s="108"/>
      <c r="JAT28" s="108"/>
      <c r="JAU28" s="108"/>
      <c r="JAV28" s="108"/>
      <c r="JAW28" s="108"/>
      <c r="JAX28" s="108"/>
      <c r="JAY28" s="108"/>
      <c r="JAZ28" s="108"/>
      <c r="JBA28" s="108"/>
      <c r="JBB28" s="108"/>
      <c r="JBC28" s="108"/>
      <c r="JBD28" s="108"/>
      <c r="JBE28" s="108"/>
      <c r="JBF28" s="108"/>
      <c r="JBG28" s="108"/>
      <c r="JBH28" s="108"/>
      <c r="JBI28" s="108"/>
      <c r="JBJ28" s="108"/>
      <c r="JBK28" s="108"/>
      <c r="JBL28" s="108"/>
      <c r="JBM28" s="108"/>
      <c r="JBN28" s="108"/>
      <c r="JBO28" s="108"/>
      <c r="JBP28" s="108"/>
      <c r="JBQ28" s="108"/>
      <c r="JBR28" s="108"/>
      <c r="JBS28" s="108"/>
      <c r="JBT28" s="108"/>
      <c r="JBU28" s="108"/>
      <c r="JBV28" s="108"/>
      <c r="JBW28" s="108"/>
      <c r="JBX28" s="108"/>
      <c r="JBY28" s="108"/>
      <c r="JBZ28" s="108"/>
      <c r="JCA28" s="108"/>
      <c r="JCB28" s="108"/>
      <c r="JCC28" s="108"/>
      <c r="JCD28" s="108"/>
      <c r="JCE28" s="108"/>
      <c r="JCF28" s="108"/>
      <c r="JCG28" s="108"/>
      <c r="JCH28" s="108"/>
      <c r="JCI28" s="108"/>
      <c r="JCJ28" s="108"/>
      <c r="JCK28" s="108"/>
      <c r="JCL28" s="108"/>
      <c r="JCM28" s="108"/>
      <c r="JCN28" s="108"/>
      <c r="JCO28" s="108"/>
      <c r="JCP28" s="108"/>
      <c r="JCQ28" s="108"/>
      <c r="JCR28" s="108"/>
      <c r="JCS28" s="108"/>
      <c r="JCT28" s="108"/>
      <c r="JCU28" s="108"/>
      <c r="JCV28" s="108"/>
      <c r="JCW28" s="108"/>
      <c r="JCX28" s="108"/>
      <c r="JCY28" s="108"/>
      <c r="JCZ28" s="108"/>
      <c r="JDA28" s="108"/>
      <c r="JDB28" s="108"/>
      <c r="JDC28" s="108"/>
      <c r="JDD28" s="108"/>
      <c r="JDE28" s="108"/>
      <c r="JDF28" s="108"/>
      <c r="JDG28" s="108"/>
      <c r="JDH28" s="108"/>
      <c r="JDI28" s="108"/>
      <c r="JDJ28" s="108"/>
      <c r="JDK28" s="108"/>
      <c r="JDL28" s="108"/>
      <c r="JDM28" s="108"/>
      <c r="JDN28" s="108"/>
      <c r="JDO28" s="108"/>
      <c r="JDP28" s="108"/>
      <c r="JDQ28" s="108"/>
      <c r="JDR28" s="108"/>
      <c r="JDS28" s="108"/>
      <c r="JDT28" s="108"/>
      <c r="JDU28" s="108"/>
      <c r="JDV28" s="108"/>
      <c r="JDW28" s="108"/>
      <c r="JDX28" s="108"/>
      <c r="JDY28" s="108"/>
      <c r="JDZ28" s="108"/>
      <c r="JEA28" s="108"/>
      <c r="JEB28" s="108"/>
      <c r="JEC28" s="108"/>
      <c r="JED28" s="108"/>
      <c r="JEE28" s="108"/>
      <c r="JEF28" s="108"/>
      <c r="JEG28" s="108"/>
      <c r="JEH28" s="108"/>
      <c r="JEI28" s="108"/>
      <c r="JEJ28" s="108"/>
      <c r="JEK28" s="108"/>
      <c r="JEL28" s="108"/>
      <c r="JEM28" s="108"/>
      <c r="JEN28" s="108"/>
      <c r="JEO28" s="108"/>
      <c r="JEP28" s="108"/>
      <c r="JEQ28" s="108"/>
      <c r="JER28" s="108"/>
      <c r="JES28" s="108"/>
      <c r="JET28" s="108"/>
      <c r="JEU28" s="108"/>
      <c r="JEV28" s="108"/>
      <c r="JEW28" s="108"/>
      <c r="JEX28" s="108"/>
      <c r="JEY28" s="108"/>
      <c r="JEZ28" s="108"/>
      <c r="JFA28" s="108"/>
      <c r="JFB28" s="108"/>
      <c r="JFC28" s="108"/>
      <c r="JFD28" s="108"/>
      <c r="JFE28" s="108"/>
      <c r="JFF28" s="108"/>
      <c r="JFG28" s="108"/>
      <c r="JFH28" s="108"/>
      <c r="JFI28" s="108"/>
      <c r="JFJ28" s="108"/>
      <c r="JFK28" s="108"/>
      <c r="JFL28" s="108"/>
      <c r="JFM28" s="108"/>
      <c r="JFN28" s="108"/>
      <c r="JFO28" s="108"/>
      <c r="JFP28" s="108"/>
      <c r="JFQ28" s="108"/>
      <c r="JFR28" s="108"/>
      <c r="JFS28" s="108"/>
      <c r="JFT28" s="108"/>
      <c r="JFU28" s="108"/>
      <c r="JFV28" s="108"/>
      <c r="JFW28" s="108"/>
      <c r="JFX28" s="108"/>
      <c r="JFY28" s="108"/>
      <c r="JFZ28" s="108"/>
      <c r="JGA28" s="108"/>
      <c r="JGB28" s="108"/>
      <c r="JGC28" s="108"/>
      <c r="JGD28" s="108"/>
      <c r="JGE28" s="108"/>
      <c r="JGF28" s="108"/>
      <c r="JGG28" s="108"/>
      <c r="JGH28" s="108"/>
      <c r="JGI28" s="108"/>
      <c r="JGJ28" s="108"/>
      <c r="JGK28" s="108"/>
      <c r="JGL28" s="108"/>
      <c r="JGM28" s="108"/>
      <c r="JGN28" s="108"/>
      <c r="JGO28" s="108"/>
      <c r="JGP28" s="108"/>
      <c r="JGQ28" s="108"/>
      <c r="JGR28" s="108"/>
      <c r="JGS28" s="108"/>
      <c r="JGT28" s="108"/>
      <c r="JGU28" s="108"/>
      <c r="JGV28" s="108"/>
      <c r="JGW28" s="108"/>
      <c r="JGX28" s="108"/>
      <c r="JGY28" s="108"/>
      <c r="JGZ28" s="108"/>
      <c r="JHA28" s="108"/>
      <c r="JHB28" s="108"/>
      <c r="JHC28" s="108"/>
      <c r="JHD28" s="108"/>
      <c r="JHE28" s="108"/>
      <c r="JHF28" s="108"/>
      <c r="JHG28" s="108"/>
      <c r="JHH28" s="108"/>
      <c r="JHI28" s="108"/>
      <c r="JHJ28" s="108"/>
      <c r="JHK28" s="108"/>
      <c r="JHL28" s="108"/>
      <c r="JHM28" s="108"/>
      <c r="JHN28" s="108"/>
      <c r="JHO28" s="108"/>
      <c r="JHP28" s="108"/>
      <c r="JHQ28" s="108"/>
      <c r="JHR28" s="108"/>
      <c r="JHS28" s="108"/>
      <c r="JHT28" s="108"/>
      <c r="JHU28" s="108"/>
      <c r="JHV28" s="108"/>
      <c r="JHW28" s="108"/>
      <c r="JHX28" s="108"/>
      <c r="JHY28" s="108"/>
      <c r="JHZ28" s="108"/>
      <c r="JIA28" s="108"/>
      <c r="JIB28" s="108"/>
      <c r="JIC28" s="108"/>
      <c r="JID28" s="108"/>
      <c r="JIE28" s="108"/>
      <c r="JIF28" s="108"/>
      <c r="JIG28" s="108"/>
      <c r="JIH28" s="108"/>
      <c r="JII28" s="108"/>
      <c r="JIJ28" s="108"/>
      <c r="JIK28" s="108"/>
      <c r="JIL28" s="108"/>
      <c r="JIM28" s="108"/>
      <c r="JIN28" s="108"/>
      <c r="JIO28" s="108"/>
      <c r="JIP28" s="108"/>
      <c r="JIQ28" s="108"/>
      <c r="JIR28" s="108"/>
      <c r="JIS28" s="108"/>
      <c r="JIT28" s="108"/>
      <c r="JIU28" s="108"/>
      <c r="JIV28" s="108"/>
      <c r="JIW28" s="108"/>
      <c r="JIX28" s="108"/>
      <c r="JIY28" s="108"/>
      <c r="JIZ28" s="108"/>
      <c r="JJA28" s="108"/>
      <c r="JJB28" s="108"/>
      <c r="JJC28" s="108"/>
      <c r="JJD28" s="108"/>
      <c r="JJE28" s="108"/>
      <c r="JJF28" s="108"/>
      <c r="JJG28" s="108"/>
      <c r="JJH28" s="108"/>
      <c r="JJI28" s="108"/>
      <c r="JJJ28" s="108"/>
      <c r="JJK28" s="108"/>
      <c r="JJL28" s="108"/>
      <c r="JJM28" s="108"/>
      <c r="JJN28" s="108"/>
      <c r="JJO28" s="108"/>
      <c r="JJP28" s="108"/>
      <c r="JJQ28" s="108"/>
      <c r="JJR28" s="108"/>
      <c r="JJS28" s="108"/>
      <c r="JJT28" s="108"/>
      <c r="JJU28" s="108"/>
      <c r="JJV28" s="108"/>
      <c r="JJW28" s="108"/>
      <c r="JJX28" s="108"/>
      <c r="JJY28" s="108"/>
      <c r="JJZ28" s="108"/>
      <c r="JKA28" s="108"/>
      <c r="JKB28" s="108"/>
      <c r="JKC28" s="108"/>
      <c r="JKD28" s="108"/>
      <c r="JKE28" s="108"/>
      <c r="JKF28" s="108"/>
      <c r="JKG28" s="108"/>
      <c r="JKH28" s="108"/>
      <c r="JKI28" s="108"/>
      <c r="JKJ28" s="108"/>
      <c r="JKK28" s="108"/>
      <c r="JKL28" s="108"/>
      <c r="JKM28" s="108"/>
      <c r="JKN28" s="108"/>
      <c r="JKO28" s="108"/>
      <c r="JKP28" s="108"/>
      <c r="JKQ28" s="108"/>
      <c r="JKR28" s="108"/>
      <c r="JKS28" s="108"/>
      <c r="JKT28" s="108"/>
      <c r="JKU28" s="108"/>
      <c r="JKV28" s="108"/>
      <c r="JKW28" s="108"/>
      <c r="JKX28" s="108"/>
      <c r="JKY28" s="108"/>
      <c r="JKZ28" s="108"/>
      <c r="JLA28" s="108"/>
      <c r="JLB28" s="108"/>
      <c r="JLC28" s="108"/>
      <c r="JLD28" s="108"/>
      <c r="JLE28" s="108"/>
      <c r="JLF28" s="108"/>
      <c r="JLG28" s="108"/>
      <c r="JLH28" s="108"/>
      <c r="JLI28" s="108"/>
      <c r="JLJ28" s="108"/>
      <c r="JLK28" s="108"/>
      <c r="JLL28" s="108"/>
      <c r="JLM28" s="108"/>
      <c r="JLN28" s="108"/>
      <c r="JLO28" s="108"/>
      <c r="JLP28" s="108"/>
      <c r="JLQ28" s="108"/>
      <c r="JLR28" s="108"/>
      <c r="JLS28" s="108"/>
      <c r="JLT28" s="108"/>
      <c r="JLU28" s="108"/>
      <c r="JLV28" s="108"/>
      <c r="JLW28" s="108"/>
      <c r="JLX28" s="108"/>
      <c r="JLY28" s="108"/>
      <c r="JLZ28" s="108"/>
      <c r="JMA28" s="108"/>
      <c r="JMB28" s="108"/>
      <c r="JMC28" s="108"/>
      <c r="JMD28" s="108"/>
      <c r="JME28" s="108"/>
      <c r="JMF28" s="108"/>
      <c r="JMG28" s="108"/>
      <c r="JMH28" s="108"/>
      <c r="JMI28" s="108"/>
      <c r="JMJ28" s="108"/>
      <c r="JMK28" s="108"/>
      <c r="JML28" s="108"/>
      <c r="JMM28" s="108"/>
      <c r="JMN28" s="108"/>
      <c r="JMO28" s="108"/>
      <c r="JMP28" s="108"/>
      <c r="JMQ28" s="108"/>
      <c r="JMR28" s="108"/>
      <c r="JMS28" s="108"/>
      <c r="JMT28" s="108"/>
      <c r="JMU28" s="108"/>
      <c r="JMV28" s="108"/>
      <c r="JMW28" s="108"/>
      <c r="JMX28" s="108"/>
      <c r="JMY28" s="108"/>
      <c r="JMZ28" s="108"/>
      <c r="JNA28" s="108"/>
      <c r="JNB28" s="108"/>
      <c r="JNC28" s="108"/>
      <c r="JND28" s="108"/>
      <c r="JNE28" s="108"/>
      <c r="JNF28" s="108"/>
      <c r="JNG28" s="108"/>
      <c r="JNH28" s="108"/>
      <c r="JNI28" s="108"/>
      <c r="JNJ28" s="108"/>
      <c r="JNK28" s="108"/>
      <c r="JNL28" s="108"/>
      <c r="JNM28" s="108"/>
      <c r="JNN28" s="108"/>
      <c r="JNO28" s="108"/>
      <c r="JNP28" s="108"/>
      <c r="JNQ28" s="108"/>
      <c r="JNR28" s="108"/>
      <c r="JNS28" s="108"/>
      <c r="JNT28" s="108"/>
      <c r="JNU28" s="108"/>
      <c r="JNV28" s="108"/>
      <c r="JNW28" s="108"/>
      <c r="JNX28" s="108"/>
      <c r="JNY28" s="108"/>
      <c r="JNZ28" s="108"/>
      <c r="JOA28" s="108"/>
      <c r="JOB28" s="108"/>
      <c r="JOC28" s="108"/>
      <c r="JOD28" s="108"/>
      <c r="JOE28" s="108"/>
      <c r="JOF28" s="108"/>
      <c r="JOG28" s="108"/>
      <c r="JOH28" s="108"/>
      <c r="JOI28" s="108"/>
      <c r="JOJ28" s="108"/>
      <c r="JOK28" s="108"/>
      <c r="JOL28" s="108"/>
      <c r="JOM28" s="108"/>
      <c r="JON28" s="108"/>
      <c r="JOO28" s="108"/>
      <c r="JOP28" s="108"/>
      <c r="JOQ28" s="108"/>
      <c r="JOR28" s="108"/>
      <c r="JOS28" s="108"/>
      <c r="JOT28" s="108"/>
      <c r="JOU28" s="108"/>
      <c r="JOV28" s="108"/>
      <c r="JOW28" s="108"/>
      <c r="JOX28" s="108"/>
      <c r="JOY28" s="108"/>
      <c r="JOZ28" s="108"/>
      <c r="JPA28" s="108"/>
      <c r="JPB28" s="108"/>
      <c r="JPC28" s="108"/>
      <c r="JPD28" s="108"/>
      <c r="JPE28" s="108"/>
      <c r="JPF28" s="108"/>
      <c r="JPG28" s="108"/>
      <c r="JPH28" s="108"/>
      <c r="JPI28" s="108"/>
      <c r="JPJ28" s="108"/>
      <c r="JPK28" s="108"/>
      <c r="JPL28" s="108"/>
      <c r="JPM28" s="108"/>
      <c r="JPN28" s="108"/>
      <c r="JPO28" s="108"/>
      <c r="JPP28" s="108"/>
      <c r="JPQ28" s="108"/>
      <c r="JPR28" s="108"/>
      <c r="JPS28" s="108"/>
      <c r="JPT28" s="108"/>
      <c r="JPU28" s="108"/>
      <c r="JPV28" s="108"/>
      <c r="JPW28" s="108"/>
      <c r="JPX28" s="108"/>
      <c r="JPY28" s="108"/>
      <c r="JPZ28" s="108"/>
      <c r="JQA28" s="108"/>
      <c r="JQB28" s="108"/>
      <c r="JQC28" s="108"/>
      <c r="JQD28" s="108"/>
      <c r="JQE28" s="108"/>
      <c r="JQF28" s="108"/>
      <c r="JQG28" s="108"/>
      <c r="JQH28" s="108"/>
      <c r="JQI28" s="108"/>
      <c r="JQJ28" s="108"/>
      <c r="JQK28" s="108"/>
      <c r="JQL28" s="108"/>
      <c r="JQM28" s="108"/>
      <c r="JQN28" s="108"/>
      <c r="JQO28" s="108"/>
      <c r="JQP28" s="108"/>
      <c r="JQQ28" s="108"/>
      <c r="JQR28" s="108"/>
      <c r="JQS28" s="108"/>
      <c r="JQT28" s="108"/>
      <c r="JQU28" s="108"/>
      <c r="JQV28" s="108"/>
      <c r="JQW28" s="108"/>
      <c r="JQX28" s="108"/>
      <c r="JQY28" s="108"/>
      <c r="JQZ28" s="108"/>
      <c r="JRA28" s="108"/>
      <c r="JRB28" s="108"/>
      <c r="JRC28" s="108"/>
      <c r="JRD28" s="108"/>
      <c r="JRE28" s="108"/>
      <c r="JRF28" s="108"/>
      <c r="JRG28" s="108"/>
      <c r="JRH28" s="108"/>
      <c r="JRI28" s="108"/>
      <c r="JRJ28" s="108"/>
      <c r="JRK28" s="108"/>
      <c r="JRL28" s="108"/>
      <c r="JRM28" s="108"/>
      <c r="JRN28" s="108"/>
      <c r="JRO28" s="108"/>
      <c r="JRP28" s="108"/>
      <c r="JRQ28" s="108"/>
      <c r="JRR28" s="108"/>
      <c r="JRS28" s="108"/>
      <c r="JRT28" s="108"/>
      <c r="JRU28" s="108"/>
      <c r="JRV28" s="108"/>
      <c r="JRW28" s="108"/>
      <c r="JRX28" s="108"/>
      <c r="JRY28" s="108"/>
      <c r="JRZ28" s="108"/>
      <c r="JSA28" s="108"/>
      <c r="JSB28" s="108"/>
      <c r="JSC28" s="108"/>
      <c r="JSD28" s="108"/>
      <c r="JSE28" s="108"/>
      <c r="JSF28" s="108"/>
      <c r="JSG28" s="108"/>
      <c r="JSH28" s="108"/>
      <c r="JSI28" s="108"/>
      <c r="JSJ28" s="108"/>
      <c r="JSK28" s="108"/>
      <c r="JSL28" s="108"/>
      <c r="JSM28" s="108"/>
      <c r="JSN28" s="108"/>
      <c r="JSO28" s="108"/>
      <c r="JSP28" s="108"/>
      <c r="JSQ28" s="108"/>
      <c r="JSR28" s="108"/>
      <c r="JSS28" s="108"/>
      <c r="JST28" s="108"/>
      <c r="JSU28" s="108"/>
      <c r="JSV28" s="108"/>
      <c r="JSW28" s="108"/>
      <c r="JSX28" s="108"/>
      <c r="JSY28" s="108"/>
      <c r="JSZ28" s="108"/>
      <c r="JTA28" s="108"/>
      <c r="JTB28" s="108"/>
      <c r="JTC28" s="108"/>
      <c r="JTD28" s="108"/>
      <c r="JTE28" s="108"/>
      <c r="JTF28" s="108"/>
      <c r="JTG28" s="108"/>
      <c r="JTH28" s="108"/>
      <c r="JTI28" s="108"/>
      <c r="JTJ28" s="108"/>
      <c r="JTK28" s="108"/>
      <c r="JTL28" s="108"/>
      <c r="JTM28" s="108"/>
      <c r="JTN28" s="108"/>
      <c r="JTO28" s="108"/>
      <c r="JTP28" s="108"/>
      <c r="JTQ28" s="108"/>
      <c r="JTR28" s="108"/>
      <c r="JTS28" s="108"/>
      <c r="JTT28" s="108"/>
      <c r="JTU28" s="108"/>
      <c r="JTV28" s="108"/>
      <c r="JTW28" s="108"/>
      <c r="JTX28" s="108"/>
      <c r="JTY28" s="108"/>
      <c r="JTZ28" s="108"/>
      <c r="JUA28" s="108"/>
      <c r="JUB28" s="108"/>
      <c r="JUC28" s="108"/>
      <c r="JUD28" s="108"/>
      <c r="JUE28" s="108"/>
      <c r="JUF28" s="108"/>
      <c r="JUG28" s="108"/>
      <c r="JUH28" s="108"/>
      <c r="JUI28" s="108"/>
      <c r="JUJ28" s="108"/>
      <c r="JUK28" s="108"/>
      <c r="JUL28" s="108"/>
      <c r="JUM28" s="108"/>
      <c r="JUN28" s="108"/>
      <c r="JUO28" s="108"/>
      <c r="JUP28" s="108"/>
      <c r="JUQ28" s="108"/>
      <c r="JUR28" s="108"/>
      <c r="JUS28" s="108"/>
      <c r="JUT28" s="108"/>
      <c r="JUU28" s="108"/>
      <c r="JUV28" s="108"/>
      <c r="JUW28" s="108"/>
      <c r="JUX28" s="108"/>
      <c r="JUY28" s="108"/>
      <c r="JUZ28" s="108"/>
      <c r="JVA28" s="108"/>
      <c r="JVB28" s="108"/>
      <c r="JVC28" s="108"/>
      <c r="JVD28" s="108"/>
      <c r="JVE28" s="108"/>
      <c r="JVF28" s="108"/>
      <c r="JVG28" s="108"/>
      <c r="JVH28" s="108"/>
      <c r="JVI28" s="108"/>
      <c r="JVJ28" s="108"/>
      <c r="JVK28" s="108"/>
      <c r="JVL28" s="108"/>
      <c r="JVM28" s="108"/>
      <c r="JVN28" s="108"/>
      <c r="JVO28" s="108"/>
      <c r="JVP28" s="108"/>
      <c r="JVQ28" s="108"/>
      <c r="JVR28" s="108"/>
      <c r="JVS28" s="108"/>
      <c r="JVT28" s="108"/>
      <c r="JVU28" s="108"/>
      <c r="JVV28" s="108"/>
      <c r="JVW28" s="108"/>
      <c r="JVX28" s="108"/>
      <c r="JVY28" s="108"/>
      <c r="JVZ28" s="108"/>
      <c r="JWA28" s="108"/>
      <c r="JWB28" s="108"/>
      <c r="JWC28" s="108"/>
      <c r="JWD28" s="108"/>
      <c r="JWE28" s="108"/>
      <c r="JWF28" s="108"/>
      <c r="JWG28" s="108"/>
      <c r="JWH28" s="108"/>
      <c r="JWI28" s="108"/>
      <c r="JWJ28" s="108"/>
      <c r="JWK28" s="108"/>
      <c r="JWL28" s="108"/>
      <c r="JWM28" s="108"/>
      <c r="JWN28" s="108"/>
      <c r="JWO28" s="108"/>
      <c r="JWP28" s="108"/>
      <c r="JWQ28" s="108"/>
      <c r="JWR28" s="108"/>
      <c r="JWS28" s="108"/>
      <c r="JWT28" s="108"/>
      <c r="JWU28" s="108"/>
      <c r="JWV28" s="108"/>
      <c r="JWW28" s="108"/>
      <c r="JWX28" s="108"/>
      <c r="JWY28" s="108"/>
      <c r="JWZ28" s="108"/>
      <c r="JXA28" s="108"/>
      <c r="JXB28" s="108"/>
      <c r="JXC28" s="108"/>
      <c r="JXD28" s="108"/>
      <c r="JXE28" s="108"/>
      <c r="JXF28" s="108"/>
      <c r="JXG28" s="108"/>
      <c r="JXH28" s="108"/>
      <c r="JXI28" s="108"/>
      <c r="JXJ28" s="108"/>
      <c r="JXK28" s="108"/>
      <c r="JXL28" s="108"/>
      <c r="JXM28" s="108"/>
      <c r="JXN28" s="108"/>
      <c r="JXO28" s="108"/>
      <c r="JXP28" s="108"/>
      <c r="JXQ28" s="108"/>
      <c r="JXR28" s="108"/>
      <c r="JXS28" s="108"/>
      <c r="JXT28" s="108"/>
      <c r="JXU28" s="108"/>
      <c r="JXV28" s="108"/>
      <c r="JXW28" s="108"/>
      <c r="JXX28" s="108"/>
      <c r="JXY28" s="108"/>
      <c r="JXZ28" s="108"/>
      <c r="JYA28" s="108"/>
      <c r="JYB28" s="108"/>
      <c r="JYC28" s="108"/>
      <c r="JYD28" s="108"/>
      <c r="JYE28" s="108"/>
      <c r="JYF28" s="108"/>
      <c r="JYG28" s="108"/>
      <c r="JYH28" s="108"/>
      <c r="JYI28" s="108"/>
      <c r="JYJ28" s="108"/>
      <c r="JYK28" s="108"/>
      <c r="JYL28" s="108"/>
      <c r="JYM28" s="108"/>
      <c r="JYN28" s="108"/>
      <c r="JYO28" s="108"/>
      <c r="JYP28" s="108"/>
      <c r="JYQ28" s="108"/>
      <c r="JYR28" s="108"/>
      <c r="JYS28" s="108"/>
      <c r="JYT28" s="108"/>
      <c r="JYU28" s="108"/>
      <c r="JYV28" s="108"/>
      <c r="JYW28" s="108"/>
      <c r="JYX28" s="108"/>
      <c r="JYY28" s="108"/>
      <c r="JYZ28" s="108"/>
      <c r="JZA28" s="108"/>
      <c r="JZB28" s="108"/>
      <c r="JZC28" s="108"/>
      <c r="JZD28" s="108"/>
      <c r="JZE28" s="108"/>
      <c r="JZF28" s="108"/>
      <c r="JZG28" s="108"/>
      <c r="JZH28" s="108"/>
      <c r="JZI28" s="108"/>
      <c r="JZJ28" s="108"/>
      <c r="JZK28" s="108"/>
      <c r="JZL28" s="108"/>
      <c r="JZM28" s="108"/>
      <c r="JZN28" s="108"/>
      <c r="JZO28" s="108"/>
      <c r="JZP28" s="108"/>
      <c r="JZQ28" s="108"/>
      <c r="JZR28" s="108"/>
      <c r="JZS28" s="108"/>
      <c r="JZT28" s="108"/>
      <c r="JZU28" s="108"/>
      <c r="JZV28" s="108"/>
      <c r="JZW28" s="108"/>
      <c r="JZX28" s="108"/>
      <c r="JZY28" s="108"/>
      <c r="JZZ28" s="108"/>
      <c r="KAA28" s="108"/>
      <c r="KAB28" s="108"/>
      <c r="KAC28" s="108"/>
      <c r="KAD28" s="108"/>
      <c r="KAE28" s="108"/>
      <c r="KAF28" s="108"/>
      <c r="KAG28" s="108"/>
      <c r="KAH28" s="108"/>
      <c r="KAI28" s="108"/>
      <c r="KAJ28" s="108"/>
      <c r="KAK28" s="108"/>
      <c r="KAL28" s="108"/>
      <c r="KAM28" s="108"/>
      <c r="KAN28" s="108"/>
      <c r="KAO28" s="108"/>
      <c r="KAP28" s="108"/>
      <c r="KAQ28" s="108"/>
      <c r="KAR28" s="108"/>
      <c r="KAS28" s="108"/>
      <c r="KAT28" s="108"/>
      <c r="KAU28" s="108"/>
      <c r="KAV28" s="108"/>
      <c r="KAW28" s="108"/>
      <c r="KAX28" s="108"/>
      <c r="KAY28" s="108"/>
      <c r="KAZ28" s="108"/>
      <c r="KBA28" s="108"/>
      <c r="KBB28" s="108"/>
      <c r="KBC28" s="108"/>
      <c r="KBD28" s="108"/>
      <c r="KBE28" s="108"/>
      <c r="KBF28" s="108"/>
      <c r="KBG28" s="108"/>
      <c r="KBH28" s="108"/>
      <c r="KBI28" s="108"/>
      <c r="KBJ28" s="108"/>
      <c r="KBK28" s="108"/>
      <c r="KBL28" s="108"/>
      <c r="KBM28" s="108"/>
      <c r="KBN28" s="108"/>
      <c r="KBO28" s="108"/>
      <c r="KBP28" s="108"/>
      <c r="KBQ28" s="108"/>
      <c r="KBR28" s="108"/>
      <c r="KBS28" s="108"/>
      <c r="KBT28" s="108"/>
      <c r="KBU28" s="108"/>
      <c r="KBV28" s="108"/>
      <c r="KBW28" s="108"/>
      <c r="KBX28" s="108"/>
      <c r="KBY28" s="108"/>
      <c r="KBZ28" s="108"/>
      <c r="KCA28" s="108"/>
      <c r="KCB28" s="108"/>
      <c r="KCC28" s="108"/>
      <c r="KCD28" s="108"/>
      <c r="KCE28" s="108"/>
      <c r="KCF28" s="108"/>
      <c r="KCG28" s="108"/>
      <c r="KCH28" s="108"/>
      <c r="KCI28" s="108"/>
      <c r="KCJ28" s="108"/>
      <c r="KCK28" s="108"/>
      <c r="KCL28" s="108"/>
      <c r="KCM28" s="108"/>
      <c r="KCN28" s="108"/>
      <c r="KCO28" s="108"/>
      <c r="KCP28" s="108"/>
      <c r="KCQ28" s="108"/>
      <c r="KCR28" s="108"/>
      <c r="KCS28" s="108"/>
      <c r="KCT28" s="108"/>
      <c r="KCU28" s="108"/>
      <c r="KCV28" s="108"/>
      <c r="KCW28" s="108"/>
      <c r="KCX28" s="108"/>
      <c r="KCY28" s="108"/>
      <c r="KCZ28" s="108"/>
      <c r="KDA28" s="108"/>
      <c r="KDB28" s="108"/>
      <c r="KDC28" s="108"/>
      <c r="KDD28" s="108"/>
      <c r="KDE28" s="108"/>
      <c r="KDF28" s="108"/>
      <c r="KDG28" s="108"/>
      <c r="KDH28" s="108"/>
      <c r="KDI28" s="108"/>
      <c r="KDJ28" s="108"/>
      <c r="KDK28" s="108"/>
      <c r="KDL28" s="108"/>
      <c r="KDM28" s="108"/>
      <c r="KDN28" s="108"/>
      <c r="KDO28" s="108"/>
      <c r="KDP28" s="108"/>
      <c r="KDQ28" s="108"/>
      <c r="KDR28" s="108"/>
      <c r="KDS28" s="108"/>
      <c r="KDT28" s="108"/>
      <c r="KDU28" s="108"/>
      <c r="KDV28" s="108"/>
      <c r="KDW28" s="108"/>
      <c r="KDX28" s="108"/>
      <c r="KDY28" s="108"/>
      <c r="KDZ28" s="108"/>
      <c r="KEA28" s="108"/>
      <c r="KEB28" s="108"/>
      <c r="KEC28" s="108"/>
      <c r="KED28" s="108"/>
      <c r="KEE28" s="108"/>
      <c r="KEF28" s="108"/>
      <c r="KEG28" s="108"/>
      <c r="KEH28" s="108"/>
      <c r="KEI28" s="108"/>
      <c r="KEJ28" s="108"/>
      <c r="KEK28" s="108"/>
      <c r="KEL28" s="108"/>
      <c r="KEM28" s="108"/>
      <c r="KEN28" s="108"/>
      <c r="KEO28" s="108"/>
      <c r="KEP28" s="108"/>
      <c r="KEQ28" s="108"/>
      <c r="KER28" s="108"/>
      <c r="KES28" s="108"/>
      <c r="KET28" s="108"/>
      <c r="KEU28" s="108"/>
      <c r="KEV28" s="108"/>
      <c r="KEW28" s="108"/>
      <c r="KEX28" s="108"/>
      <c r="KEY28" s="108"/>
      <c r="KEZ28" s="108"/>
      <c r="KFA28" s="108"/>
      <c r="KFB28" s="108"/>
      <c r="KFC28" s="108"/>
      <c r="KFD28" s="108"/>
      <c r="KFE28" s="108"/>
      <c r="KFF28" s="108"/>
      <c r="KFG28" s="108"/>
      <c r="KFH28" s="108"/>
      <c r="KFI28" s="108"/>
      <c r="KFJ28" s="108"/>
      <c r="KFK28" s="108"/>
      <c r="KFL28" s="108"/>
      <c r="KFM28" s="108"/>
      <c r="KFN28" s="108"/>
      <c r="KFO28" s="108"/>
      <c r="KFP28" s="108"/>
      <c r="KFQ28" s="108"/>
      <c r="KFR28" s="108"/>
      <c r="KFS28" s="108"/>
      <c r="KFT28" s="108"/>
      <c r="KFU28" s="108"/>
      <c r="KFV28" s="108"/>
      <c r="KFW28" s="108"/>
      <c r="KFX28" s="108"/>
      <c r="KFY28" s="108"/>
      <c r="KFZ28" s="108"/>
      <c r="KGA28" s="108"/>
      <c r="KGB28" s="108"/>
      <c r="KGC28" s="108"/>
      <c r="KGD28" s="108"/>
      <c r="KGE28" s="108"/>
      <c r="KGF28" s="108"/>
      <c r="KGG28" s="108"/>
      <c r="KGH28" s="108"/>
      <c r="KGI28" s="108"/>
      <c r="KGJ28" s="108"/>
      <c r="KGK28" s="108"/>
      <c r="KGL28" s="108"/>
      <c r="KGM28" s="108"/>
      <c r="KGN28" s="108"/>
      <c r="KGO28" s="108"/>
      <c r="KGP28" s="108"/>
      <c r="KGQ28" s="108"/>
      <c r="KGR28" s="108"/>
      <c r="KGS28" s="108"/>
      <c r="KGT28" s="108"/>
      <c r="KGU28" s="108"/>
      <c r="KGV28" s="108"/>
      <c r="KGW28" s="108"/>
      <c r="KGX28" s="108"/>
      <c r="KGY28" s="108"/>
      <c r="KGZ28" s="108"/>
      <c r="KHA28" s="108"/>
      <c r="KHB28" s="108"/>
      <c r="KHC28" s="108"/>
      <c r="KHD28" s="108"/>
      <c r="KHE28" s="108"/>
      <c r="KHF28" s="108"/>
      <c r="KHG28" s="108"/>
      <c r="KHH28" s="108"/>
      <c r="KHI28" s="108"/>
      <c r="KHJ28" s="108"/>
      <c r="KHK28" s="108"/>
      <c r="KHL28" s="108"/>
      <c r="KHM28" s="108"/>
      <c r="KHN28" s="108"/>
      <c r="KHO28" s="108"/>
      <c r="KHP28" s="108"/>
      <c r="KHQ28" s="108"/>
      <c r="KHR28" s="108"/>
      <c r="KHS28" s="108"/>
      <c r="KHT28" s="108"/>
      <c r="KHU28" s="108"/>
      <c r="KHV28" s="108"/>
      <c r="KHW28" s="108"/>
      <c r="KHX28" s="108"/>
      <c r="KHY28" s="108"/>
      <c r="KHZ28" s="108"/>
      <c r="KIA28" s="108"/>
      <c r="KIB28" s="108"/>
      <c r="KIC28" s="108"/>
      <c r="KID28" s="108"/>
      <c r="KIE28" s="108"/>
      <c r="KIF28" s="108"/>
      <c r="KIG28" s="108"/>
      <c r="KIH28" s="108"/>
      <c r="KII28" s="108"/>
      <c r="KIJ28" s="108"/>
      <c r="KIK28" s="108"/>
      <c r="KIL28" s="108"/>
      <c r="KIM28" s="108"/>
      <c r="KIN28" s="108"/>
      <c r="KIO28" s="108"/>
      <c r="KIP28" s="108"/>
      <c r="KIQ28" s="108"/>
      <c r="KIR28" s="108"/>
      <c r="KIS28" s="108"/>
      <c r="KIT28" s="108"/>
      <c r="KIU28" s="108"/>
      <c r="KIV28" s="108"/>
      <c r="KIW28" s="108"/>
      <c r="KIX28" s="108"/>
      <c r="KIY28" s="108"/>
      <c r="KIZ28" s="108"/>
      <c r="KJA28" s="108"/>
      <c r="KJB28" s="108"/>
      <c r="KJC28" s="108"/>
      <c r="KJD28" s="108"/>
      <c r="KJE28" s="108"/>
      <c r="KJF28" s="108"/>
      <c r="KJG28" s="108"/>
      <c r="KJH28" s="108"/>
      <c r="KJI28" s="108"/>
      <c r="KJJ28" s="108"/>
      <c r="KJK28" s="108"/>
      <c r="KJL28" s="108"/>
      <c r="KJM28" s="108"/>
      <c r="KJN28" s="108"/>
      <c r="KJO28" s="108"/>
      <c r="KJP28" s="108"/>
      <c r="KJQ28" s="108"/>
      <c r="KJR28" s="108"/>
      <c r="KJS28" s="108"/>
      <c r="KJT28" s="108"/>
      <c r="KJU28" s="108"/>
      <c r="KJV28" s="108"/>
      <c r="KJW28" s="108"/>
      <c r="KJX28" s="108"/>
      <c r="KJY28" s="108"/>
      <c r="KJZ28" s="108"/>
      <c r="KKA28" s="108"/>
      <c r="KKB28" s="108"/>
      <c r="KKC28" s="108"/>
      <c r="KKD28" s="108"/>
      <c r="KKE28" s="108"/>
      <c r="KKF28" s="108"/>
      <c r="KKG28" s="108"/>
      <c r="KKH28" s="108"/>
      <c r="KKI28" s="108"/>
      <c r="KKJ28" s="108"/>
      <c r="KKK28" s="108"/>
      <c r="KKL28" s="108"/>
      <c r="KKM28" s="108"/>
      <c r="KKN28" s="108"/>
      <c r="KKO28" s="108"/>
      <c r="KKP28" s="108"/>
      <c r="KKQ28" s="108"/>
      <c r="KKR28" s="108"/>
      <c r="KKS28" s="108"/>
      <c r="KKT28" s="108"/>
      <c r="KKU28" s="108"/>
      <c r="KKV28" s="108"/>
      <c r="KKW28" s="108"/>
      <c r="KKX28" s="108"/>
      <c r="KKY28" s="108"/>
      <c r="KKZ28" s="108"/>
      <c r="KLA28" s="108"/>
      <c r="KLB28" s="108"/>
      <c r="KLC28" s="108"/>
      <c r="KLD28" s="108"/>
      <c r="KLE28" s="108"/>
      <c r="KLF28" s="108"/>
      <c r="KLG28" s="108"/>
      <c r="KLH28" s="108"/>
      <c r="KLI28" s="108"/>
      <c r="KLJ28" s="108"/>
      <c r="KLK28" s="108"/>
      <c r="KLL28" s="108"/>
      <c r="KLM28" s="108"/>
      <c r="KLN28" s="108"/>
      <c r="KLO28" s="108"/>
      <c r="KLP28" s="108"/>
      <c r="KLQ28" s="108"/>
      <c r="KLR28" s="108"/>
      <c r="KLS28" s="108"/>
      <c r="KLT28" s="108"/>
      <c r="KLU28" s="108"/>
      <c r="KLV28" s="108"/>
      <c r="KLW28" s="108"/>
      <c r="KLX28" s="108"/>
      <c r="KLY28" s="108"/>
      <c r="KLZ28" s="108"/>
      <c r="KMA28" s="108"/>
      <c r="KMB28" s="108"/>
      <c r="KMC28" s="108"/>
      <c r="KMD28" s="108"/>
      <c r="KME28" s="108"/>
      <c r="KMF28" s="108"/>
      <c r="KMG28" s="108"/>
      <c r="KMH28" s="108"/>
      <c r="KMI28" s="108"/>
      <c r="KMJ28" s="108"/>
      <c r="KMK28" s="108"/>
      <c r="KML28" s="108"/>
      <c r="KMM28" s="108"/>
      <c r="KMN28" s="108"/>
      <c r="KMO28" s="108"/>
      <c r="KMP28" s="108"/>
      <c r="KMQ28" s="108"/>
      <c r="KMR28" s="108"/>
      <c r="KMS28" s="108"/>
      <c r="KMT28" s="108"/>
      <c r="KMU28" s="108"/>
      <c r="KMV28" s="108"/>
      <c r="KMW28" s="108"/>
      <c r="KMX28" s="108"/>
      <c r="KMY28" s="108"/>
      <c r="KMZ28" s="108"/>
      <c r="KNA28" s="108"/>
      <c r="KNB28" s="108"/>
      <c r="KNC28" s="108"/>
      <c r="KND28" s="108"/>
      <c r="KNE28" s="108"/>
      <c r="KNF28" s="108"/>
      <c r="KNG28" s="108"/>
      <c r="KNH28" s="108"/>
      <c r="KNI28" s="108"/>
      <c r="KNJ28" s="108"/>
      <c r="KNK28" s="108"/>
      <c r="KNL28" s="108"/>
      <c r="KNM28" s="108"/>
      <c r="KNN28" s="108"/>
      <c r="KNO28" s="108"/>
      <c r="KNP28" s="108"/>
      <c r="KNQ28" s="108"/>
      <c r="KNR28" s="108"/>
      <c r="KNS28" s="108"/>
      <c r="KNT28" s="108"/>
      <c r="KNU28" s="108"/>
      <c r="KNV28" s="108"/>
      <c r="KNW28" s="108"/>
      <c r="KNX28" s="108"/>
      <c r="KNY28" s="108"/>
      <c r="KNZ28" s="108"/>
      <c r="KOA28" s="108"/>
      <c r="KOB28" s="108"/>
      <c r="KOC28" s="108"/>
      <c r="KOD28" s="108"/>
      <c r="KOE28" s="108"/>
      <c r="KOF28" s="108"/>
      <c r="KOG28" s="108"/>
      <c r="KOH28" s="108"/>
      <c r="KOI28" s="108"/>
      <c r="KOJ28" s="108"/>
      <c r="KOK28" s="108"/>
      <c r="KOL28" s="108"/>
      <c r="KOM28" s="108"/>
      <c r="KON28" s="108"/>
      <c r="KOO28" s="108"/>
      <c r="KOP28" s="108"/>
      <c r="KOQ28" s="108"/>
      <c r="KOR28" s="108"/>
      <c r="KOS28" s="108"/>
      <c r="KOT28" s="108"/>
      <c r="KOU28" s="108"/>
      <c r="KOV28" s="108"/>
      <c r="KOW28" s="108"/>
      <c r="KOX28" s="108"/>
      <c r="KOY28" s="108"/>
      <c r="KOZ28" s="108"/>
      <c r="KPA28" s="108"/>
      <c r="KPB28" s="108"/>
      <c r="KPC28" s="108"/>
      <c r="KPD28" s="108"/>
      <c r="KPE28" s="108"/>
      <c r="KPF28" s="108"/>
      <c r="KPG28" s="108"/>
      <c r="KPH28" s="108"/>
      <c r="KPI28" s="108"/>
      <c r="KPJ28" s="108"/>
      <c r="KPK28" s="108"/>
      <c r="KPL28" s="108"/>
      <c r="KPM28" s="108"/>
      <c r="KPN28" s="108"/>
      <c r="KPO28" s="108"/>
      <c r="KPP28" s="108"/>
      <c r="KPQ28" s="108"/>
      <c r="KPR28" s="108"/>
      <c r="KPS28" s="108"/>
      <c r="KPT28" s="108"/>
      <c r="KPU28" s="108"/>
      <c r="KPV28" s="108"/>
      <c r="KPW28" s="108"/>
      <c r="KPX28" s="108"/>
      <c r="KPY28" s="108"/>
      <c r="KPZ28" s="108"/>
      <c r="KQA28" s="108"/>
      <c r="KQB28" s="108"/>
      <c r="KQC28" s="108"/>
      <c r="KQD28" s="108"/>
      <c r="KQE28" s="108"/>
      <c r="KQF28" s="108"/>
      <c r="KQG28" s="108"/>
      <c r="KQH28" s="108"/>
      <c r="KQI28" s="108"/>
      <c r="KQJ28" s="108"/>
      <c r="KQK28" s="108"/>
      <c r="KQL28" s="108"/>
      <c r="KQM28" s="108"/>
      <c r="KQN28" s="108"/>
      <c r="KQO28" s="108"/>
      <c r="KQP28" s="108"/>
      <c r="KQQ28" s="108"/>
      <c r="KQR28" s="108"/>
      <c r="KQS28" s="108"/>
      <c r="KQT28" s="108"/>
      <c r="KQU28" s="108"/>
      <c r="KQV28" s="108"/>
      <c r="KQW28" s="108"/>
      <c r="KQX28" s="108"/>
      <c r="KQY28" s="108"/>
      <c r="KQZ28" s="108"/>
      <c r="KRA28" s="108"/>
      <c r="KRB28" s="108"/>
      <c r="KRC28" s="108"/>
      <c r="KRD28" s="108"/>
      <c r="KRE28" s="108"/>
      <c r="KRF28" s="108"/>
      <c r="KRG28" s="108"/>
      <c r="KRH28" s="108"/>
      <c r="KRI28" s="108"/>
      <c r="KRJ28" s="108"/>
      <c r="KRK28" s="108"/>
      <c r="KRL28" s="108"/>
      <c r="KRM28" s="108"/>
      <c r="KRN28" s="108"/>
      <c r="KRO28" s="108"/>
      <c r="KRP28" s="108"/>
      <c r="KRQ28" s="108"/>
      <c r="KRR28" s="108"/>
      <c r="KRS28" s="108"/>
      <c r="KRT28" s="108"/>
      <c r="KRU28" s="108"/>
      <c r="KRV28" s="108"/>
      <c r="KRW28" s="108"/>
      <c r="KRX28" s="108"/>
      <c r="KRY28" s="108"/>
      <c r="KRZ28" s="108"/>
      <c r="KSA28" s="108"/>
      <c r="KSB28" s="108"/>
      <c r="KSC28" s="108"/>
      <c r="KSD28" s="108"/>
      <c r="KSE28" s="108"/>
      <c r="KSF28" s="108"/>
      <c r="KSG28" s="108"/>
      <c r="KSH28" s="108"/>
      <c r="KSI28" s="108"/>
      <c r="KSJ28" s="108"/>
      <c r="KSK28" s="108"/>
      <c r="KSL28" s="108"/>
      <c r="KSM28" s="108"/>
      <c r="KSN28" s="108"/>
      <c r="KSO28" s="108"/>
      <c r="KSP28" s="108"/>
      <c r="KSQ28" s="108"/>
      <c r="KSR28" s="108"/>
      <c r="KSS28" s="108"/>
      <c r="KST28" s="108"/>
      <c r="KSU28" s="108"/>
      <c r="KSV28" s="108"/>
      <c r="KSW28" s="108"/>
      <c r="KSX28" s="108"/>
      <c r="KSY28" s="108"/>
      <c r="KSZ28" s="108"/>
      <c r="KTA28" s="108"/>
      <c r="KTB28" s="108"/>
      <c r="KTC28" s="108"/>
      <c r="KTD28" s="108"/>
      <c r="KTE28" s="108"/>
      <c r="KTF28" s="108"/>
      <c r="KTG28" s="108"/>
      <c r="KTH28" s="108"/>
      <c r="KTI28" s="108"/>
      <c r="KTJ28" s="108"/>
      <c r="KTK28" s="108"/>
      <c r="KTL28" s="108"/>
      <c r="KTM28" s="108"/>
      <c r="KTN28" s="108"/>
      <c r="KTO28" s="108"/>
      <c r="KTP28" s="108"/>
      <c r="KTQ28" s="108"/>
      <c r="KTR28" s="108"/>
      <c r="KTS28" s="108"/>
      <c r="KTT28" s="108"/>
      <c r="KTU28" s="108"/>
      <c r="KTV28" s="108"/>
      <c r="KTW28" s="108"/>
      <c r="KTX28" s="108"/>
      <c r="KTY28" s="108"/>
      <c r="KTZ28" s="108"/>
      <c r="KUA28" s="108"/>
      <c r="KUB28" s="108"/>
      <c r="KUC28" s="108"/>
      <c r="KUD28" s="108"/>
      <c r="KUE28" s="108"/>
      <c r="KUF28" s="108"/>
      <c r="KUG28" s="108"/>
      <c r="KUH28" s="108"/>
      <c r="KUI28" s="108"/>
      <c r="KUJ28" s="108"/>
      <c r="KUK28" s="108"/>
      <c r="KUL28" s="108"/>
      <c r="KUM28" s="108"/>
      <c r="KUN28" s="108"/>
      <c r="KUO28" s="108"/>
      <c r="KUP28" s="108"/>
      <c r="KUQ28" s="108"/>
      <c r="KUR28" s="108"/>
      <c r="KUS28" s="108"/>
      <c r="KUT28" s="108"/>
      <c r="KUU28" s="108"/>
      <c r="KUV28" s="108"/>
      <c r="KUW28" s="108"/>
      <c r="KUX28" s="108"/>
      <c r="KUY28" s="108"/>
      <c r="KUZ28" s="108"/>
      <c r="KVA28" s="108"/>
      <c r="KVB28" s="108"/>
      <c r="KVC28" s="108"/>
      <c r="KVD28" s="108"/>
      <c r="KVE28" s="108"/>
      <c r="KVF28" s="108"/>
      <c r="KVG28" s="108"/>
      <c r="KVH28" s="108"/>
      <c r="KVI28" s="108"/>
      <c r="KVJ28" s="108"/>
      <c r="KVK28" s="108"/>
      <c r="KVL28" s="108"/>
      <c r="KVM28" s="108"/>
      <c r="KVN28" s="108"/>
      <c r="KVO28" s="108"/>
      <c r="KVP28" s="108"/>
      <c r="KVQ28" s="108"/>
      <c r="KVR28" s="108"/>
      <c r="KVS28" s="108"/>
      <c r="KVT28" s="108"/>
      <c r="KVU28" s="108"/>
      <c r="KVV28" s="108"/>
      <c r="KVW28" s="108"/>
      <c r="KVX28" s="108"/>
      <c r="KVY28" s="108"/>
      <c r="KVZ28" s="108"/>
      <c r="KWA28" s="108"/>
      <c r="KWB28" s="108"/>
      <c r="KWC28" s="108"/>
      <c r="KWD28" s="108"/>
      <c r="KWE28" s="108"/>
      <c r="KWF28" s="108"/>
      <c r="KWG28" s="108"/>
      <c r="KWH28" s="108"/>
      <c r="KWI28" s="108"/>
      <c r="KWJ28" s="108"/>
      <c r="KWK28" s="108"/>
      <c r="KWL28" s="108"/>
      <c r="KWM28" s="108"/>
      <c r="KWN28" s="108"/>
      <c r="KWO28" s="108"/>
      <c r="KWP28" s="108"/>
      <c r="KWQ28" s="108"/>
      <c r="KWR28" s="108"/>
      <c r="KWS28" s="108"/>
      <c r="KWT28" s="108"/>
      <c r="KWU28" s="108"/>
      <c r="KWV28" s="108"/>
      <c r="KWW28" s="108"/>
      <c r="KWX28" s="108"/>
      <c r="KWY28" s="108"/>
      <c r="KWZ28" s="108"/>
      <c r="KXA28" s="108"/>
      <c r="KXB28" s="108"/>
      <c r="KXC28" s="108"/>
      <c r="KXD28" s="108"/>
      <c r="KXE28" s="108"/>
      <c r="KXF28" s="108"/>
      <c r="KXG28" s="108"/>
      <c r="KXH28" s="108"/>
      <c r="KXI28" s="108"/>
      <c r="KXJ28" s="108"/>
      <c r="KXK28" s="108"/>
      <c r="KXL28" s="108"/>
      <c r="KXM28" s="108"/>
      <c r="KXN28" s="108"/>
      <c r="KXO28" s="108"/>
      <c r="KXP28" s="108"/>
      <c r="KXQ28" s="108"/>
      <c r="KXR28" s="108"/>
      <c r="KXS28" s="108"/>
      <c r="KXT28" s="108"/>
      <c r="KXU28" s="108"/>
      <c r="KXV28" s="108"/>
      <c r="KXW28" s="108"/>
      <c r="KXX28" s="108"/>
      <c r="KXY28" s="108"/>
      <c r="KXZ28" s="108"/>
      <c r="KYA28" s="108"/>
      <c r="KYB28" s="108"/>
      <c r="KYC28" s="108"/>
      <c r="KYD28" s="108"/>
      <c r="KYE28" s="108"/>
      <c r="KYF28" s="108"/>
      <c r="KYG28" s="108"/>
      <c r="KYH28" s="108"/>
      <c r="KYI28" s="108"/>
      <c r="KYJ28" s="108"/>
      <c r="KYK28" s="108"/>
      <c r="KYL28" s="108"/>
      <c r="KYM28" s="108"/>
      <c r="KYN28" s="108"/>
      <c r="KYO28" s="108"/>
      <c r="KYP28" s="108"/>
      <c r="KYQ28" s="108"/>
      <c r="KYR28" s="108"/>
      <c r="KYS28" s="108"/>
      <c r="KYT28" s="108"/>
      <c r="KYU28" s="108"/>
      <c r="KYV28" s="108"/>
      <c r="KYW28" s="108"/>
      <c r="KYX28" s="108"/>
      <c r="KYY28" s="108"/>
      <c r="KYZ28" s="108"/>
      <c r="KZA28" s="108"/>
      <c r="KZB28" s="108"/>
      <c r="KZC28" s="108"/>
      <c r="KZD28" s="108"/>
      <c r="KZE28" s="108"/>
      <c r="KZF28" s="108"/>
      <c r="KZG28" s="108"/>
      <c r="KZH28" s="108"/>
      <c r="KZI28" s="108"/>
      <c r="KZJ28" s="108"/>
      <c r="KZK28" s="108"/>
      <c r="KZL28" s="108"/>
      <c r="KZM28" s="108"/>
      <c r="KZN28" s="108"/>
      <c r="KZO28" s="108"/>
      <c r="KZP28" s="108"/>
      <c r="KZQ28" s="108"/>
      <c r="KZR28" s="108"/>
      <c r="KZS28" s="108"/>
      <c r="KZT28" s="108"/>
      <c r="KZU28" s="108"/>
      <c r="KZV28" s="108"/>
      <c r="KZW28" s="108"/>
      <c r="KZX28" s="108"/>
      <c r="KZY28" s="108"/>
      <c r="KZZ28" s="108"/>
      <c r="LAA28" s="108"/>
      <c r="LAB28" s="108"/>
      <c r="LAC28" s="108"/>
      <c r="LAD28" s="108"/>
      <c r="LAE28" s="108"/>
      <c r="LAF28" s="108"/>
      <c r="LAG28" s="108"/>
      <c r="LAH28" s="108"/>
      <c r="LAI28" s="108"/>
      <c r="LAJ28" s="108"/>
      <c r="LAK28" s="108"/>
      <c r="LAL28" s="108"/>
      <c r="LAM28" s="108"/>
      <c r="LAN28" s="108"/>
      <c r="LAO28" s="108"/>
      <c r="LAP28" s="108"/>
      <c r="LAQ28" s="108"/>
      <c r="LAR28" s="108"/>
      <c r="LAS28" s="108"/>
      <c r="LAT28" s="108"/>
      <c r="LAU28" s="108"/>
      <c r="LAV28" s="108"/>
      <c r="LAW28" s="108"/>
      <c r="LAX28" s="108"/>
      <c r="LAY28" s="108"/>
      <c r="LAZ28" s="108"/>
      <c r="LBA28" s="108"/>
      <c r="LBB28" s="108"/>
      <c r="LBC28" s="108"/>
      <c r="LBD28" s="108"/>
      <c r="LBE28" s="108"/>
      <c r="LBF28" s="108"/>
      <c r="LBG28" s="108"/>
      <c r="LBH28" s="108"/>
      <c r="LBI28" s="108"/>
      <c r="LBJ28" s="108"/>
      <c r="LBK28" s="108"/>
      <c r="LBL28" s="108"/>
      <c r="LBM28" s="108"/>
      <c r="LBN28" s="108"/>
      <c r="LBO28" s="108"/>
      <c r="LBP28" s="108"/>
      <c r="LBQ28" s="108"/>
      <c r="LBR28" s="108"/>
      <c r="LBS28" s="108"/>
      <c r="LBT28" s="108"/>
      <c r="LBU28" s="108"/>
      <c r="LBV28" s="108"/>
      <c r="LBW28" s="108"/>
      <c r="LBX28" s="108"/>
      <c r="LBY28" s="108"/>
      <c r="LBZ28" s="108"/>
      <c r="LCA28" s="108"/>
      <c r="LCB28" s="108"/>
      <c r="LCC28" s="108"/>
      <c r="LCD28" s="108"/>
      <c r="LCE28" s="108"/>
      <c r="LCF28" s="108"/>
      <c r="LCG28" s="108"/>
      <c r="LCH28" s="108"/>
      <c r="LCI28" s="108"/>
      <c r="LCJ28" s="108"/>
      <c r="LCK28" s="108"/>
      <c r="LCL28" s="108"/>
      <c r="LCM28" s="108"/>
      <c r="LCN28" s="108"/>
      <c r="LCO28" s="108"/>
      <c r="LCP28" s="108"/>
      <c r="LCQ28" s="108"/>
      <c r="LCR28" s="108"/>
      <c r="LCS28" s="108"/>
      <c r="LCT28" s="108"/>
      <c r="LCU28" s="108"/>
      <c r="LCV28" s="108"/>
      <c r="LCW28" s="108"/>
      <c r="LCX28" s="108"/>
      <c r="LCY28" s="108"/>
      <c r="LCZ28" s="108"/>
      <c r="LDA28" s="108"/>
      <c r="LDB28" s="108"/>
      <c r="LDC28" s="108"/>
      <c r="LDD28" s="108"/>
      <c r="LDE28" s="108"/>
      <c r="LDF28" s="108"/>
      <c r="LDG28" s="108"/>
      <c r="LDH28" s="108"/>
      <c r="LDI28" s="108"/>
      <c r="LDJ28" s="108"/>
      <c r="LDK28" s="108"/>
      <c r="LDL28" s="108"/>
      <c r="LDM28" s="108"/>
      <c r="LDN28" s="108"/>
      <c r="LDO28" s="108"/>
      <c r="LDP28" s="108"/>
      <c r="LDQ28" s="108"/>
      <c r="LDR28" s="108"/>
      <c r="LDS28" s="108"/>
      <c r="LDT28" s="108"/>
      <c r="LDU28" s="108"/>
      <c r="LDV28" s="108"/>
      <c r="LDW28" s="108"/>
      <c r="LDX28" s="108"/>
      <c r="LDY28" s="108"/>
      <c r="LDZ28" s="108"/>
      <c r="LEA28" s="108"/>
      <c r="LEB28" s="108"/>
      <c r="LEC28" s="108"/>
      <c r="LED28" s="108"/>
      <c r="LEE28" s="108"/>
      <c r="LEF28" s="108"/>
      <c r="LEG28" s="108"/>
      <c r="LEH28" s="108"/>
      <c r="LEI28" s="108"/>
      <c r="LEJ28" s="108"/>
      <c r="LEK28" s="108"/>
      <c r="LEL28" s="108"/>
      <c r="LEM28" s="108"/>
      <c r="LEN28" s="108"/>
      <c r="LEO28" s="108"/>
      <c r="LEP28" s="108"/>
      <c r="LEQ28" s="108"/>
      <c r="LER28" s="108"/>
      <c r="LES28" s="108"/>
      <c r="LET28" s="108"/>
      <c r="LEU28" s="108"/>
      <c r="LEV28" s="108"/>
      <c r="LEW28" s="108"/>
      <c r="LEX28" s="108"/>
      <c r="LEY28" s="108"/>
      <c r="LEZ28" s="108"/>
      <c r="LFA28" s="108"/>
      <c r="LFB28" s="108"/>
      <c r="LFC28" s="108"/>
      <c r="LFD28" s="108"/>
      <c r="LFE28" s="108"/>
      <c r="LFF28" s="108"/>
      <c r="LFG28" s="108"/>
      <c r="LFH28" s="108"/>
      <c r="LFI28" s="108"/>
      <c r="LFJ28" s="108"/>
      <c r="LFK28" s="108"/>
      <c r="LFL28" s="108"/>
      <c r="LFM28" s="108"/>
      <c r="LFN28" s="108"/>
      <c r="LFO28" s="108"/>
      <c r="LFP28" s="108"/>
      <c r="LFQ28" s="108"/>
      <c r="LFR28" s="108"/>
      <c r="LFS28" s="108"/>
      <c r="LFT28" s="108"/>
      <c r="LFU28" s="108"/>
      <c r="LFV28" s="108"/>
      <c r="LFW28" s="108"/>
      <c r="LFX28" s="108"/>
      <c r="LFY28" s="108"/>
      <c r="LFZ28" s="108"/>
      <c r="LGA28" s="108"/>
      <c r="LGB28" s="108"/>
      <c r="LGC28" s="108"/>
      <c r="LGD28" s="108"/>
      <c r="LGE28" s="108"/>
      <c r="LGF28" s="108"/>
      <c r="LGG28" s="108"/>
      <c r="LGH28" s="108"/>
      <c r="LGI28" s="108"/>
      <c r="LGJ28" s="108"/>
      <c r="LGK28" s="108"/>
      <c r="LGL28" s="108"/>
      <c r="LGM28" s="108"/>
      <c r="LGN28" s="108"/>
      <c r="LGO28" s="108"/>
      <c r="LGP28" s="108"/>
      <c r="LGQ28" s="108"/>
      <c r="LGR28" s="108"/>
      <c r="LGS28" s="108"/>
      <c r="LGT28" s="108"/>
      <c r="LGU28" s="108"/>
      <c r="LGV28" s="108"/>
      <c r="LGW28" s="108"/>
      <c r="LGX28" s="108"/>
      <c r="LGY28" s="108"/>
      <c r="LGZ28" s="108"/>
      <c r="LHA28" s="108"/>
      <c r="LHB28" s="108"/>
      <c r="LHC28" s="108"/>
      <c r="LHD28" s="108"/>
      <c r="LHE28" s="108"/>
      <c r="LHF28" s="108"/>
      <c r="LHG28" s="108"/>
      <c r="LHH28" s="108"/>
      <c r="LHI28" s="108"/>
      <c r="LHJ28" s="108"/>
      <c r="LHK28" s="108"/>
      <c r="LHL28" s="108"/>
      <c r="LHM28" s="108"/>
      <c r="LHN28" s="108"/>
      <c r="LHO28" s="108"/>
      <c r="LHP28" s="108"/>
      <c r="LHQ28" s="108"/>
      <c r="LHR28" s="108"/>
      <c r="LHS28" s="108"/>
      <c r="LHT28" s="108"/>
      <c r="LHU28" s="108"/>
      <c r="LHV28" s="108"/>
      <c r="LHW28" s="108"/>
      <c r="LHX28" s="108"/>
      <c r="LHY28" s="108"/>
      <c r="LHZ28" s="108"/>
      <c r="LIA28" s="108"/>
      <c r="LIB28" s="108"/>
      <c r="LIC28" s="108"/>
      <c r="LID28" s="108"/>
      <c r="LIE28" s="108"/>
      <c r="LIF28" s="108"/>
      <c r="LIG28" s="108"/>
      <c r="LIH28" s="108"/>
      <c r="LII28" s="108"/>
      <c r="LIJ28" s="108"/>
      <c r="LIK28" s="108"/>
      <c r="LIL28" s="108"/>
      <c r="LIM28" s="108"/>
      <c r="LIN28" s="108"/>
      <c r="LIO28" s="108"/>
      <c r="LIP28" s="108"/>
      <c r="LIQ28" s="108"/>
      <c r="LIR28" s="108"/>
      <c r="LIS28" s="108"/>
      <c r="LIT28" s="108"/>
      <c r="LIU28" s="108"/>
      <c r="LIV28" s="108"/>
      <c r="LIW28" s="108"/>
      <c r="LIX28" s="108"/>
      <c r="LIY28" s="108"/>
      <c r="LIZ28" s="108"/>
      <c r="LJA28" s="108"/>
      <c r="LJB28" s="108"/>
      <c r="LJC28" s="108"/>
      <c r="LJD28" s="108"/>
      <c r="LJE28" s="108"/>
      <c r="LJF28" s="108"/>
      <c r="LJG28" s="108"/>
      <c r="LJH28" s="108"/>
      <c r="LJI28" s="108"/>
      <c r="LJJ28" s="108"/>
      <c r="LJK28" s="108"/>
      <c r="LJL28" s="108"/>
      <c r="LJM28" s="108"/>
      <c r="LJN28" s="108"/>
      <c r="LJO28" s="108"/>
      <c r="LJP28" s="108"/>
      <c r="LJQ28" s="108"/>
      <c r="LJR28" s="108"/>
      <c r="LJS28" s="108"/>
      <c r="LJT28" s="108"/>
      <c r="LJU28" s="108"/>
      <c r="LJV28" s="108"/>
      <c r="LJW28" s="108"/>
      <c r="LJX28" s="108"/>
      <c r="LJY28" s="108"/>
      <c r="LJZ28" s="108"/>
      <c r="LKA28" s="108"/>
      <c r="LKB28" s="108"/>
      <c r="LKC28" s="108"/>
      <c r="LKD28" s="108"/>
      <c r="LKE28" s="108"/>
      <c r="LKF28" s="108"/>
      <c r="LKG28" s="108"/>
      <c r="LKH28" s="108"/>
      <c r="LKI28" s="108"/>
      <c r="LKJ28" s="108"/>
      <c r="LKK28" s="108"/>
      <c r="LKL28" s="108"/>
      <c r="LKM28" s="108"/>
      <c r="LKN28" s="108"/>
      <c r="LKO28" s="108"/>
      <c r="LKP28" s="108"/>
      <c r="LKQ28" s="108"/>
      <c r="LKR28" s="108"/>
      <c r="LKS28" s="108"/>
      <c r="LKT28" s="108"/>
      <c r="LKU28" s="108"/>
      <c r="LKV28" s="108"/>
      <c r="LKW28" s="108"/>
      <c r="LKX28" s="108"/>
      <c r="LKY28" s="108"/>
      <c r="LKZ28" s="108"/>
      <c r="LLA28" s="108"/>
      <c r="LLB28" s="108"/>
      <c r="LLC28" s="108"/>
      <c r="LLD28" s="108"/>
      <c r="LLE28" s="108"/>
      <c r="LLF28" s="108"/>
      <c r="LLG28" s="108"/>
      <c r="LLH28" s="108"/>
      <c r="LLI28" s="108"/>
      <c r="LLJ28" s="108"/>
      <c r="LLK28" s="108"/>
      <c r="LLL28" s="108"/>
      <c r="LLM28" s="108"/>
      <c r="LLN28" s="108"/>
      <c r="LLO28" s="108"/>
      <c r="LLP28" s="108"/>
      <c r="LLQ28" s="108"/>
      <c r="LLR28" s="108"/>
      <c r="LLS28" s="108"/>
      <c r="LLT28" s="108"/>
      <c r="LLU28" s="108"/>
      <c r="LLV28" s="108"/>
      <c r="LLW28" s="108"/>
      <c r="LLX28" s="108"/>
      <c r="LLY28" s="108"/>
      <c r="LLZ28" s="108"/>
      <c r="LMA28" s="108"/>
      <c r="LMB28" s="108"/>
      <c r="LMC28" s="108"/>
      <c r="LMD28" s="108"/>
      <c r="LME28" s="108"/>
      <c r="LMF28" s="108"/>
      <c r="LMG28" s="108"/>
      <c r="LMH28" s="108"/>
      <c r="LMI28" s="108"/>
      <c r="LMJ28" s="108"/>
      <c r="LMK28" s="108"/>
      <c r="LML28" s="108"/>
      <c r="LMM28" s="108"/>
      <c r="LMN28" s="108"/>
      <c r="LMO28" s="108"/>
      <c r="LMP28" s="108"/>
      <c r="LMQ28" s="108"/>
      <c r="LMR28" s="108"/>
      <c r="LMS28" s="108"/>
      <c r="LMT28" s="108"/>
      <c r="LMU28" s="108"/>
      <c r="LMV28" s="108"/>
      <c r="LMW28" s="108"/>
      <c r="LMX28" s="108"/>
      <c r="LMY28" s="108"/>
      <c r="LMZ28" s="108"/>
      <c r="LNA28" s="108"/>
      <c r="LNB28" s="108"/>
      <c r="LNC28" s="108"/>
      <c r="LND28" s="108"/>
      <c r="LNE28" s="108"/>
      <c r="LNF28" s="108"/>
      <c r="LNG28" s="108"/>
      <c r="LNH28" s="108"/>
      <c r="LNI28" s="108"/>
      <c r="LNJ28" s="108"/>
      <c r="LNK28" s="108"/>
      <c r="LNL28" s="108"/>
      <c r="LNM28" s="108"/>
      <c r="LNN28" s="108"/>
      <c r="LNO28" s="108"/>
      <c r="LNP28" s="108"/>
      <c r="LNQ28" s="108"/>
      <c r="LNR28" s="108"/>
      <c r="LNS28" s="108"/>
      <c r="LNT28" s="108"/>
      <c r="LNU28" s="108"/>
      <c r="LNV28" s="108"/>
      <c r="LNW28" s="108"/>
      <c r="LNX28" s="108"/>
      <c r="LNY28" s="108"/>
      <c r="LNZ28" s="108"/>
      <c r="LOA28" s="108"/>
      <c r="LOB28" s="108"/>
      <c r="LOC28" s="108"/>
      <c r="LOD28" s="108"/>
      <c r="LOE28" s="108"/>
      <c r="LOF28" s="108"/>
      <c r="LOG28" s="108"/>
      <c r="LOH28" s="108"/>
      <c r="LOI28" s="108"/>
      <c r="LOJ28" s="108"/>
      <c r="LOK28" s="108"/>
      <c r="LOL28" s="108"/>
      <c r="LOM28" s="108"/>
      <c r="LON28" s="108"/>
      <c r="LOO28" s="108"/>
      <c r="LOP28" s="108"/>
      <c r="LOQ28" s="108"/>
      <c r="LOR28" s="108"/>
      <c r="LOS28" s="108"/>
      <c r="LOT28" s="108"/>
      <c r="LOU28" s="108"/>
      <c r="LOV28" s="108"/>
      <c r="LOW28" s="108"/>
      <c r="LOX28" s="108"/>
      <c r="LOY28" s="108"/>
      <c r="LOZ28" s="108"/>
      <c r="LPA28" s="108"/>
      <c r="LPB28" s="108"/>
      <c r="LPC28" s="108"/>
      <c r="LPD28" s="108"/>
      <c r="LPE28" s="108"/>
      <c r="LPF28" s="108"/>
      <c r="LPG28" s="108"/>
      <c r="LPH28" s="108"/>
      <c r="LPI28" s="108"/>
      <c r="LPJ28" s="108"/>
      <c r="LPK28" s="108"/>
      <c r="LPL28" s="108"/>
      <c r="LPM28" s="108"/>
      <c r="LPN28" s="108"/>
      <c r="LPO28" s="108"/>
      <c r="LPP28" s="108"/>
      <c r="LPQ28" s="108"/>
      <c r="LPR28" s="108"/>
      <c r="LPS28" s="108"/>
      <c r="LPT28" s="108"/>
      <c r="LPU28" s="108"/>
      <c r="LPV28" s="108"/>
      <c r="LPW28" s="108"/>
      <c r="LPX28" s="108"/>
      <c r="LPY28" s="108"/>
      <c r="LPZ28" s="108"/>
      <c r="LQA28" s="108"/>
      <c r="LQB28" s="108"/>
      <c r="LQC28" s="108"/>
      <c r="LQD28" s="108"/>
      <c r="LQE28" s="108"/>
      <c r="LQF28" s="108"/>
      <c r="LQG28" s="108"/>
      <c r="LQH28" s="108"/>
      <c r="LQI28" s="108"/>
      <c r="LQJ28" s="108"/>
      <c r="LQK28" s="108"/>
      <c r="LQL28" s="108"/>
      <c r="LQM28" s="108"/>
      <c r="LQN28" s="108"/>
      <c r="LQO28" s="108"/>
      <c r="LQP28" s="108"/>
      <c r="LQQ28" s="108"/>
      <c r="LQR28" s="108"/>
      <c r="LQS28" s="108"/>
      <c r="LQT28" s="108"/>
      <c r="LQU28" s="108"/>
      <c r="LQV28" s="108"/>
      <c r="LQW28" s="108"/>
      <c r="LQX28" s="108"/>
      <c r="LQY28" s="108"/>
      <c r="LQZ28" s="108"/>
      <c r="LRA28" s="108"/>
      <c r="LRB28" s="108"/>
      <c r="LRC28" s="108"/>
      <c r="LRD28" s="108"/>
      <c r="LRE28" s="108"/>
      <c r="LRF28" s="108"/>
      <c r="LRG28" s="108"/>
      <c r="LRH28" s="108"/>
      <c r="LRI28" s="108"/>
      <c r="LRJ28" s="108"/>
      <c r="LRK28" s="108"/>
      <c r="LRL28" s="108"/>
      <c r="LRM28" s="108"/>
      <c r="LRN28" s="108"/>
      <c r="LRO28" s="108"/>
      <c r="LRP28" s="108"/>
      <c r="LRQ28" s="108"/>
      <c r="LRR28" s="108"/>
      <c r="LRS28" s="108"/>
      <c r="LRT28" s="108"/>
      <c r="LRU28" s="108"/>
      <c r="LRV28" s="108"/>
      <c r="LRW28" s="108"/>
      <c r="LRX28" s="108"/>
      <c r="LRY28" s="108"/>
      <c r="LRZ28" s="108"/>
      <c r="LSA28" s="108"/>
      <c r="LSB28" s="108"/>
      <c r="LSC28" s="108"/>
      <c r="LSD28" s="108"/>
      <c r="LSE28" s="108"/>
      <c r="LSF28" s="108"/>
      <c r="LSG28" s="108"/>
      <c r="LSH28" s="108"/>
      <c r="LSI28" s="108"/>
      <c r="LSJ28" s="108"/>
      <c r="LSK28" s="108"/>
      <c r="LSL28" s="108"/>
      <c r="LSM28" s="108"/>
      <c r="LSN28" s="108"/>
      <c r="LSO28" s="108"/>
      <c r="LSP28" s="108"/>
      <c r="LSQ28" s="108"/>
      <c r="LSR28" s="108"/>
      <c r="LSS28" s="108"/>
      <c r="LST28" s="108"/>
      <c r="LSU28" s="108"/>
      <c r="LSV28" s="108"/>
      <c r="LSW28" s="108"/>
      <c r="LSX28" s="108"/>
      <c r="LSY28" s="108"/>
      <c r="LSZ28" s="108"/>
      <c r="LTA28" s="108"/>
      <c r="LTB28" s="108"/>
      <c r="LTC28" s="108"/>
      <c r="LTD28" s="108"/>
      <c r="LTE28" s="108"/>
      <c r="LTF28" s="108"/>
      <c r="LTG28" s="108"/>
      <c r="LTH28" s="108"/>
      <c r="LTI28" s="108"/>
      <c r="LTJ28" s="108"/>
      <c r="LTK28" s="108"/>
      <c r="LTL28" s="108"/>
      <c r="LTM28" s="108"/>
      <c r="LTN28" s="108"/>
      <c r="LTO28" s="108"/>
      <c r="LTP28" s="108"/>
      <c r="LTQ28" s="108"/>
      <c r="LTR28" s="108"/>
      <c r="LTS28" s="108"/>
      <c r="LTT28" s="108"/>
      <c r="LTU28" s="108"/>
      <c r="LTV28" s="108"/>
      <c r="LTW28" s="108"/>
      <c r="LTX28" s="108"/>
      <c r="LTY28" s="108"/>
      <c r="LTZ28" s="108"/>
      <c r="LUA28" s="108"/>
      <c r="LUB28" s="108"/>
      <c r="LUC28" s="108"/>
      <c r="LUD28" s="108"/>
      <c r="LUE28" s="108"/>
      <c r="LUF28" s="108"/>
      <c r="LUG28" s="108"/>
      <c r="LUH28" s="108"/>
      <c r="LUI28" s="108"/>
      <c r="LUJ28" s="108"/>
      <c r="LUK28" s="108"/>
      <c r="LUL28" s="108"/>
      <c r="LUM28" s="108"/>
      <c r="LUN28" s="108"/>
      <c r="LUO28" s="108"/>
      <c r="LUP28" s="108"/>
      <c r="LUQ28" s="108"/>
      <c r="LUR28" s="108"/>
      <c r="LUS28" s="108"/>
      <c r="LUT28" s="108"/>
      <c r="LUU28" s="108"/>
      <c r="LUV28" s="108"/>
      <c r="LUW28" s="108"/>
      <c r="LUX28" s="108"/>
      <c r="LUY28" s="108"/>
      <c r="LUZ28" s="108"/>
      <c r="LVA28" s="108"/>
      <c r="LVB28" s="108"/>
      <c r="LVC28" s="108"/>
      <c r="LVD28" s="108"/>
      <c r="LVE28" s="108"/>
      <c r="LVF28" s="108"/>
      <c r="LVG28" s="108"/>
      <c r="LVH28" s="108"/>
      <c r="LVI28" s="108"/>
      <c r="LVJ28" s="108"/>
      <c r="LVK28" s="108"/>
      <c r="LVL28" s="108"/>
      <c r="LVM28" s="108"/>
      <c r="LVN28" s="108"/>
      <c r="LVO28" s="108"/>
      <c r="LVP28" s="108"/>
      <c r="LVQ28" s="108"/>
      <c r="LVR28" s="108"/>
      <c r="LVS28" s="108"/>
      <c r="LVT28" s="108"/>
      <c r="LVU28" s="108"/>
      <c r="LVV28" s="108"/>
      <c r="LVW28" s="108"/>
      <c r="LVX28" s="108"/>
      <c r="LVY28" s="108"/>
      <c r="LVZ28" s="108"/>
      <c r="LWA28" s="108"/>
      <c r="LWB28" s="108"/>
      <c r="LWC28" s="108"/>
      <c r="LWD28" s="108"/>
      <c r="LWE28" s="108"/>
      <c r="LWF28" s="108"/>
      <c r="LWG28" s="108"/>
      <c r="LWH28" s="108"/>
      <c r="LWI28" s="108"/>
      <c r="LWJ28" s="108"/>
      <c r="LWK28" s="108"/>
      <c r="LWL28" s="108"/>
      <c r="LWM28" s="108"/>
      <c r="LWN28" s="108"/>
      <c r="LWO28" s="108"/>
      <c r="LWP28" s="108"/>
      <c r="LWQ28" s="108"/>
      <c r="LWR28" s="108"/>
      <c r="LWS28" s="108"/>
      <c r="LWT28" s="108"/>
      <c r="LWU28" s="108"/>
      <c r="LWV28" s="108"/>
      <c r="LWW28" s="108"/>
      <c r="LWX28" s="108"/>
      <c r="LWY28" s="108"/>
      <c r="LWZ28" s="108"/>
      <c r="LXA28" s="108"/>
      <c r="LXB28" s="108"/>
      <c r="LXC28" s="108"/>
      <c r="LXD28" s="108"/>
      <c r="LXE28" s="108"/>
      <c r="LXF28" s="108"/>
      <c r="LXG28" s="108"/>
      <c r="LXH28" s="108"/>
      <c r="LXI28" s="108"/>
      <c r="LXJ28" s="108"/>
      <c r="LXK28" s="108"/>
      <c r="LXL28" s="108"/>
      <c r="LXM28" s="108"/>
      <c r="LXN28" s="108"/>
      <c r="LXO28" s="108"/>
      <c r="LXP28" s="108"/>
      <c r="LXQ28" s="108"/>
      <c r="LXR28" s="108"/>
      <c r="LXS28" s="108"/>
      <c r="LXT28" s="108"/>
      <c r="LXU28" s="108"/>
      <c r="LXV28" s="108"/>
      <c r="LXW28" s="108"/>
      <c r="LXX28" s="108"/>
      <c r="LXY28" s="108"/>
      <c r="LXZ28" s="108"/>
      <c r="LYA28" s="108"/>
      <c r="LYB28" s="108"/>
      <c r="LYC28" s="108"/>
      <c r="LYD28" s="108"/>
      <c r="LYE28" s="108"/>
      <c r="LYF28" s="108"/>
      <c r="LYG28" s="108"/>
      <c r="LYH28" s="108"/>
      <c r="LYI28" s="108"/>
      <c r="LYJ28" s="108"/>
      <c r="LYK28" s="108"/>
      <c r="LYL28" s="108"/>
      <c r="LYM28" s="108"/>
      <c r="LYN28" s="108"/>
      <c r="LYO28" s="108"/>
      <c r="LYP28" s="108"/>
      <c r="LYQ28" s="108"/>
      <c r="LYR28" s="108"/>
      <c r="LYS28" s="108"/>
      <c r="LYT28" s="108"/>
      <c r="LYU28" s="108"/>
      <c r="LYV28" s="108"/>
      <c r="LYW28" s="108"/>
      <c r="LYX28" s="108"/>
      <c r="LYY28" s="108"/>
      <c r="LYZ28" s="108"/>
      <c r="LZA28" s="108"/>
      <c r="LZB28" s="108"/>
      <c r="LZC28" s="108"/>
      <c r="LZD28" s="108"/>
      <c r="LZE28" s="108"/>
      <c r="LZF28" s="108"/>
      <c r="LZG28" s="108"/>
      <c r="LZH28" s="108"/>
      <c r="LZI28" s="108"/>
      <c r="LZJ28" s="108"/>
      <c r="LZK28" s="108"/>
      <c r="LZL28" s="108"/>
      <c r="LZM28" s="108"/>
      <c r="LZN28" s="108"/>
      <c r="LZO28" s="108"/>
      <c r="LZP28" s="108"/>
      <c r="LZQ28" s="108"/>
      <c r="LZR28" s="108"/>
      <c r="LZS28" s="108"/>
      <c r="LZT28" s="108"/>
      <c r="LZU28" s="108"/>
      <c r="LZV28" s="108"/>
      <c r="LZW28" s="108"/>
      <c r="LZX28" s="108"/>
      <c r="LZY28" s="108"/>
      <c r="LZZ28" s="108"/>
      <c r="MAA28" s="108"/>
      <c r="MAB28" s="108"/>
      <c r="MAC28" s="108"/>
      <c r="MAD28" s="108"/>
      <c r="MAE28" s="108"/>
      <c r="MAF28" s="108"/>
      <c r="MAG28" s="108"/>
      <c r="MAH28" s="108"/>
      <c r="MAI28" s="108"/>
      <c r="MAJ28" s="108"/>
      <c r="MAK28" s="108"/>
      <c r="MAL28" s="108"/>
      <c r="MAM28" s="108"/>
      <c r="MAN28" s="108"/>
      <c r="MAO28" s="108"/>
      <c r="MAP28" s="108"/>
      <c r="MAQ28" s="108"/>
      <c r="MAR28" s="108"/>
      <c r="MAS28" s="108"/>
      <c r="MAT28" s="108"/>
      <c r="MAU28" s="108"/>
      <c r="MAV28" s="108"/>
      <c r="MAW28" s="108"/>
      <c r="MAX28" s="108"/>
      <c r="MAY28" s="108"/>
      <c r="MAZ28" s="108"/>
      <c r="MBA28" s="108"/>
      <c r="MBB28" s="108"/>
      <c r="MBC28" s="108"/>
      <c r="MBD28" s="108"/>
      <c r="MBE28" s="108"/>
      <c r="MBF28" s="108"/>
      <c r="MBG28" s="108"/>
      <c r="MBH28" s="108"/>
      <c r="MBI28" s="108"/>
      <c r="MBJ28" s="108"/>
      <c r="MBK28" s="108"/>
      <c r="MBL28" s="108"/>
      <c r="MBM28" s="108"/>
      <c r="MBN28" s="108"/>
      <c r="MBO28" s="108"/>
      <c r="MBP28" s="108"/>
      <c r="MBQ28" s="108"/>
      <c r="MBR28" s="108"/>
      <c r="MBS28" s="108"/>
      <c r="MBT28" s="108"/>
      <c r="MBU28" s="108"/>
      <c r="MBV28" s="108"/>
      <c r="MBW28" s="108"/>
      <c r="MBX28" s="108"/>
      <c r="MBY28" s="108"/>
      <c r="MBZ28" s="108"/>
      <c r="MCA28" s="108"/>
      <c r="MCB28" s="108"/>
      <c r="MCC28" s="108"/>
      <c r="MCD28" s="108"/>
      <c r="MCE28" s="108"/>
      <c r="MCF28" s="108"/>
      <c r="MCG28" s="108"/>
      <c r="MCH28" s="108"/>
      <c r="MCI28" s="108"/>
      <c r="MCJ28" s="108"/>
      <c r="MCK28" s="108"/>
      <c r="MCL28" s="108"/>
      <c r="MCM28" s="108"/>
      <c r="MCN28" s="108"/>
      <c r="MCO28" s="108"/>
      <c r="MCP28" s="108"/>
      <c r="MCQ28" s="108"/>
      <c r="MCR28" s="108"/>
      <c r="MCS28" s="108"/>
      <c r="MCT28" s="108"/>
      <c r="MCU28" s="108"/>
      <c r="MCV28" s="108"/>
      <c r="MCW28" s="108"/>
      <c r="MCX28" s="108"/>
      <c r="MCY28" s="108"/>
      <c r="MCZ28" s="108"/>
      <c r="MDA28" s="108"/>
      <c r="MDB28" s="108"/>
      <c r="MDC28" s="108"/>
      <c r="MDD28" s="108"/>
      <c r="MDE28" s="108"/>
      <c r="MDF28" s="108"/>
      <c r="MDG28" s="108"/>
      <c r="MDH28" s="108"/>
      <c r="MDI28" s="108"/>
      <c r="MDJ28" s="108"/>
      <c r="MDK28" s="108"/>
      <c r="MDL28" s="108"/>
      <c r="MDM28" s="108"/>
      <c r="MDN28" s="108"/>
      <c r="MDO28" s="108"/>
      <c r="MDP28" s="108"/>
      <c r="MDQ28" s="108"/>
      <c r="MDR28" s="108"/>
      <c r="MDS28" s="108"/>
      <c r="MDT28" s="108"/>
      <c r="MDU28" s="108"/>
      <c r="MDV28" s="108"/>
      <c r="MDW28" s="108"/>
      <c r="MDX28" s="108"/>
      <c r="MDY28" s="108"/>
      <c r="MDZ28" s="108"/>
      <c r="MEA28" s="108"/>
      <c r="MEB28" s="108"/>
      <c r="MEC28" s="108"/>
      <c r="MED28" s="108"/>
      <c r="MEE28" s="108"/>
      <c r="MEF28" s="108"/>
      <c r="MEG28" s="108"/>
      <c r="MEH28" s="108"/>
      <c r="MEI28" s="108"/>
      <c r="MEJ28" s="108"/>
      <c r="MEK28" s="108"/>
      <c r="MEL28" s="108"/>
      <c r="MEM28" s="108"/>
      <c r="MEN28" s="108"/>
      <c r="MEO28" s="108"/>
      <c r="MEP28" s="108"/>
      <c r="MEQ28" s="108"/>
      <c r="MER28" s="108"/>
      <c r="MES28" s="108"/>
      <c r="MET28" s="108"/>
      <c r="MEU28" s="108"/>
      <c r="MEV28" s="108"/>
      <c r="MEW28" s="108"/>
      <c r="MEX28" s="108"/>
      <c r="MEY28" s="108"/>
      <c r="MEZ28" s="108"/>
      <c r="MFA28" s="108"/>
      <c r="MFB28" s="108"/>
      <c r="MFC28" s="108"/>
      <c r="MFD28" s="108"/>
      <c r="MFE28" s="108"/>
      <c r="MFF28" s="108"/>
      <c r="MFG28" s="108"/>
      <c r="MFH28" s="108"/>
      <c r="MFI28" s="108"/>
      <c r="MFJ28" s="108"/>
      <c r="MFK28" s="108"/>
      <c r="MFL28" s="108"/>
      <c r="MFM28" s="108"/>
      <c r="MFN28" s="108"/>
      <c r="MFO28" s="108"/>
      <c r="MFP28" s="108"/>
      <c r="MFQ28" s="108"/>
      <c r="MFR28" s="108"/>
      <c r="MFS28" s="108"/>
      <c r="MFT28" s="108"/>
      <c r="MFU28" s="108"/>
      <c r="MFV28" s="108"/>
      <c r="MFW28" s="108"/>
      <c r="MFX28" s="108"/>
      <c r="MFY28" s="108"/>
      <c r="MFZ28" s="108"/>
      <c r="MGA28" s="108"/>
      <c r="MGB28" s="108"/>
      <c r="MGC28" s="108"/>
      <c r="MGD28" s="108"/>
      <c r="MGE28" s="108"/>
      <c r="MGF28" s="108"/>
      <c r="MGG28" s="108"/>
      <c r="MGH28" s="108"/>
      <c r="MGI28" s="108"/>
      <c r="MGJ28" s="108"/>
      <c r="MGK28" s="108"/>
      <c r="MGL28" s="108"/>
      <c r="MGM28" s="108"/>
      <c r="MGN28" s="108"/>
      <c r="MGO28" s="108"/>
      <c r="MGP28" s="108"/>
      <c r="MGQ28" s="108"/>
      <c r="MGR28" s="108"/>
      <c r="MGS28" s="108"/>
      <c r="MGT28" s="108"/>
      <c r="MGU28" s="108"/>
      <c r="MGV28" s="108"/>
      <c r="MGW28" s="108"/>
      <c r="MGX28" s="108"/>
      <c r="MGY28" s="108"/>
      <c r="MGZ28" s="108"/>
      <c r="MHA28" s="108"/>
      <c r="MHB28" s="108"/>
      <c r="MHC28" s="108"/>
      <c r="MHD28" s="108"/>
      <c r="MHE28" s="108"/>
      <c r="MHF28" s="108"/>
      <c r="MHG28" s="108"/>
      <c r="MHH28" s="108"/>
      <c r="MHI28" s="108"/>
      <c r="MHJ28" s="108"/>
      <c r="MHK28" s="108"/>
      <c r="MHL28" s="108"/>
      <c r="MHM28" s="108"/>
      <c r="MHN28" s="108"/>
      <c r="MHO28" s="108"/>
      <c r="MHP28" s="108"/>
      <c r="MHQ28" s="108"/>
      <c r="MHR28" s="108"/>
      <c r="MHS28" s="108"/>
      <c r="MHT28" s="108"/>
      <c r="MHU28" s="108"/>
      <c r="MHV28" s="108"/>
      <c r="MHW28" s="108"/>
      <c r="MHX28" s="108"/>
      <c r="MHY28" s="108"/>
      <c r="MHZ28" s="108"/>
      <c r="MIA28" s="108"/>
      <c r="MIB28" s="108"/>
      <c r="MIC28" s="108"/>
      <c r="MID28" s="108"/>
      <c r="MIE28" s="108"/>
      <c r="MIF28" s="108"/>
      <c r="MIG28" s="108"/>
      <c r="MIH28" s="108"/>
      <c r="MII28" s="108"/>
      <c r="MIJ28" s="108"/>
      <c r="MIK28" s="108"/>
      <c r="MIL28" s="108"/>
      <c r="MIM28" s="108"/>
      <c r="MIN28" s="108"/>
      <c r="MIO28" s="108"/>
      <c r="MIP28" s="108"/>
      <c r="MIQ28" s="108"/>
      <c r="MIR28" s="108"/>
      <c r="MIS28" s="108"/>
      <c r="MIT28" s="108"/>
      <c r="MIU28" s="108"/>
      <c r="MIV28" s="108"/>
      <c r="MIW28" s="108"/>
      <c r="MIX28" s="108"/>
      <c r="MIY28" s="108"/>
      <c r="MIZ28" s="108"/>
      <c r="MJA28" s="108"/>
      <c r="MJB28" s="108"/>
      <c r="MJC28" s="108"/>
      <c r="MJD28" s="108"/>
      <c r="MJE28" s="108"/>
      <c r="MJF28" s="108"/>
      <c r="MJG28" s="108"/>
      <c r="MJH28" s="108"/>
      <c r="MJI28" s="108"/>
      <c r="MJJ28" s="108"/>
      <c r="MJK28" s="108"/>
      <c r="MJL28" s="108"/>
      <c r="MJM28" s="108"/>
      <c r="MJN28" s="108"/>
      <c r="MJO28" s="108"/>
      <c r="MJP28" s="108"/>
      <c r="MJQ28" s="108"/>
      <c r="MJR28" s="108"/>
      <c r="MJS28" s="108"/>
      <c r="MJT28" s="108"/>
      <c r="MJU28" s="108"/>
      <c r="MJV28" s="108"/>
      <c r="MJW28" s="108"/>
      <c r="MJX28" s="108"/>
      <c r="MJY28" s="108"/>
      <c r="MJZ28" s="108"/>
      <c r="MKA28" s="108"/>
      <c r="MKB28" s="108"/>
      <c r="MKC28" s="108"/>
      <c r="MKD28" s="108"/>
      <c r="MKE28" s="108"/>
      <c r="MKF28" s="108"/>
      <c r="MKG28" s="108"/>
      <c r="MKH28" s="108"/>
      <c r="MKI28" s="108"/>
      <c r="MKJ28" s="108"/>
      <c r="MKK28" s="108"/>
      <c r="MKL28" s="108"/>
      <c r="MKM28" s="108"/>
      <c r="MKN28" s="108"/>
      <c r="MKO28" s="108"/>
      <c r="MKP28" s="108"/>
      <c r="MKQ28" s="108"/>
      <c r="MKR28" s="108"/>
      <c r="MKS28" s="108"/>
      <c r="MKT28" s="108"/>
      <c r="MKU28" s="108"/>
      <c r="MKV28" s="108"/>
      <c r="MKW28" s="108"/>
      <c r="MKX28" s="108"/>
      <c r="MKY28" s="108"/>
      <c r="MKZ28" s="108"/>
      <c r="MLA28" s="108"/>
      <c r="MLB28" s="108"/>
      <c r="MLC28" s="108"/>
      <c r="MLD28" s="108"/>
      <c r="MLE28" s="108"/>
      <c r="MLF28" s="108"/>
      <c r="MLG28" s="108"/>
      <c r="MLH28" s="108"/>
      <c r="MLI28" s="108"/>
      <c r="MLJ28" s="108"/>
      <c r="MLK28" s="108"/>
      <c r="MLL28" s="108"/>
      <c r="MLM28" s="108"/>
      <c r="MLN28" s="108"/>
      <c r="MLO28" s="108"/>
      <c r="MLP28" s="108"/>
      <c r="MLQ28" s="108"/>
      <c r="MLR28" s="108"/>
      <c r="MLS28" s="108"/>
      <c r="MLT28" s="108"/>
      <c r="MLU28" s="108"/>
      <c r="MLV28" s="108"/>
      <c r="MLW28" s="108"/>
      <c r="MLX28" s="108"/>
      <c r="MLY28" s="108"/>
      <c r="MLZ28" s="108"/>
      <c r="MMA28" s="108"/>
      <c r="MMB28" s="108"/>
      <c r="MMC28" s="108"/>
      <c r="MMD28" s="108"/>
      <c r="MME28" s="108"/>
      <c r="MMF28" s="108"/>
      <c r="MMG28" s="108"/>
      <c r="MMH28" s="108"/>
      <c r="MMI28" s="108"/>
      <c r="MMJ28" s="108"/>
      <c r="MMK28" s="108"/>
      <c r="MML28" s="108"/>
      <c r="MMM28" s="108"/>
      <c r="MMN28" s="108"/>
      <c r="MMO28" s="108"/>
      <c r="MMP28" s="108"/>
      <c r="MMQ28" s="108"/>
      <c r="MMR28" s="108"/>
      <c r="MMS28" s="108"/>
      <c r="MMT28" s="108"/>
      <c r="MMU28" s="108"/>
      <c r="MMV28" s="108"/>
      <c r="MMW28" s="108"/>
      <c r="MMX28" s="108"/>
      <c r="MMY28" s="108"/>
      <c r="MMZ28" s="108"/>
      <c r="MNA28" s="108"/>
      <c r="MNB28" s="108"/>
      <c r="MNC28" s="108"/>
      <c r="MND28" s="108"/>
      <c r="MNE28" s="108"/>
      <c r="MNF28" s="108"/>
      <c r="MNG28" s="108"/>
      <c r="MNH28" s="108"/>
      <c r="MNI28" s="108"/>
      <c r="MNJ28" s="108"/>
      <c r="MNK28" s="108"/>
      <c r="MNL28" s="108"/>
      <c r="MNM28" s="108"/>
      <c r="MNN28" s="108"/>
      <c r="MNO28" s="108"/>
      <c r="MNP28" s="108"/>
      <c r="MNQ28" s="108"/>
      <c r="MNR28" s="108"/>
      <c r="MNS28" s="108"/>
      <c r="MNT28" s="108"/>
      <c r="MNU28" s="108"/>
      <c r="MNV28" s="108"/>
      <c r="MNW28" s="108"/>
      <c r="MNX28" s="108"/>
      <c r="MNY28" s="108"/>
      <c r="MNZ28" s="108"/>
      <c r="MOA28" s="108"/>
      <c r="MOB28" s="108"/>
      <c r="MOC28" s="108"/>
      <c r="MOD28" s="108"/>
      <c r="MOE28" s="108"/>
      <c r="MOF28" s="108"/>
      <c r="MOG28" s="108"/>
      <c r="MOH28" s="108"/>
      <c r="MOI28" s="108"/>
      <c r="MOJ28" s="108"/>
      <c r="MOK28" s="108"/>
      <c r="MOL28" s="108"/>
      <c r="MOM28" s="108"/>
      <c r="MON28" s="108"/>
      <c r="MOO28" s="108"/>
      <c r="MOP28" s="108"/>
      <c r="MOQ28" s="108"/>
      <c r="MOR28" s="108"/>
      <c r="MOS28" s="108"/>
      <c r="MOT28" s="108"/>
      <c r="MOU28" s="108"/>
      <c r="MOV28" s="108"/>
      <c r="MOW28" s="108"/>
      <c r="MOX28" s="108"/>
      <c r="MOY28" s="108"/>
      <c r="MOZ28" s="108"/>
      <c r="MPA28" s="108"/>
      <c r="MPB28" s="108"/>
      <c r="MPC28" s="108"/>
      <c r="MPD28" s="108"/>
      <c r="MPE28" s="108"/>
      <c r="MPF28" s="108"/>
      <c r="MPG28" s="108"/>
      <c r="MPH28" s="108"/>
      <c r="MPI28" s="108"/>
      <c r="MPJ28" s="108"/>
      <c r="MPK28" s="108"/>
      <c r="MPL28" s="108"/>
      <c r="MPM28" s="108"/>
      <c r="MPN28" s="108"/>
      <c r="MPO28" s="108"/>
      <c r="MPP28" s="108"/>
      <c r="MPQ28" s="108"/>
      <c r="MPR28" s="108"/>
      <c r="MPS28" s="108"/>
      <c r="MPT28" s="108"/>
      <c r="MPU28" s="108"/>
      <c r="MPV28" s="108"/>
      <c r="MPW28" s="108"/>
      <c r="MPX28" s="108"/>
      <c r="MPY28" s="108"/>
      <c r="MPZ28" s="108"/>
      <c r="MQA28" s="108"/>
      <c r="MQB28" s="108"/>
      <c r="MQC28" s="108"/>
      <c r="MQD28" s="108"/>
      <c r="MQE28" s="108"/>
      <c r="MQF28" s="108"/>
      <c r="MQG28" s="108"/>
      <c r="MQH28" s="108"/>
      <c r="MQI28" s="108"/>
      <c r="MQJ28" s="108"/>
      <c r="MQK28" s="108"/>
      <c r="MQL28" s="108"/>
      <c r="MQM28" s="108"/>
      <c r="MQN28" s="108"/>
      <c r="MQO28" s="108"/>
      <c r="MQP28" s="108"/>
      <c r="MQQ28" s="108"/>
      <c r="MQR28" s="108"/>
      <c r="MQS28" s="108"/>
      <c r="MQT28" s="108"/>
      <c r="MQU28" s="108"/>
      <c r="MQV28" s="108"/>
      <c r="MQW28" s="108"/>
      <c r="MQX28" s="108"/>
      <c r="MQY28" s="108"/>
      <c r="MQZ28" s="108"/>
      <c r="MRA28" s="108"/>
      <c r="MRB28" s="108"/>
      <c r="MRC28" s="108"/>
      <c r="MRD28" s="108"/>
      <c r="MRE28" s="108"/>
      <c r="MRF28" s="108"/>
      <c r="MRG28" s="108"/>
      <c r="MRH28" s="108"/>
      <c r="MRI28" s="108"/>
      <c r="MRJ28" s="108"/>
      <c r="MRK28" s="108"/>
      <c r="MRL28" s="108"/>
      <c r="MRM28" s="108"/>
      <c r="MRN28" s="108"/>
      <c r="MRO28" s="108"/>
      <c r="MRP28" s="108"/>
      <c r="MRQ28" s="108"/>
      <c r="MRR28" s="108"/>
      <c r="MRS28" s="108"/>
      <c r="MRT28" s="108"/>
      <c r="MRU28" s="108"/>
      <c r="MRV28" s="108"/>
      <c r="MRW28" s="108"/>
      <c r="MRX28" s="108"/>
      <c r="MRY28" s="108"/>
      <c r="MRZ28" s="108"/>
      <c r="MSA28" s="108"/>
      <c r="MSB28" s="108"/>
      <c r="MSC28" s="108"/>
      <c r="MSD28" s="108"/>
      <c r="MSE28" s="108"/>
      <c r="MSF28" s="108"/>
      <c r="MSG28" s="108"/>
      <c r="MSH28" s="108"/>
      <c r="MSI28" s="108"/>
      <c r="MSJ28" s="108"/>
      <c r="MSK28" s="108"/>
      <c r="MSL28" s="108"/>
      <c r="MSM28" s="108"/>
      <c r="MSN28" s="108"/>
      <c r="MSO28" s="108"/>
      <c r="MSP28" s="108"/>
      <c r="MSQ28" s="108"/>
      <c r="MSR28" s="108"/>
      <c r="MSS28" s="108"/>
      <c r="MST28" s="108"/>
      <c r="MSU28" s="108"/>
      <c r="MSV28" s="108"/>
      <c r="MSW28" s="108"/>
      <c r="MSX28" s="108"/>
      <c r="MSY28" s="108"/>
      <c r="MSZ28" s="108"/>
      <c r="MTA28" s="108"/>
      <c r="MTB28" s="108"/>
      <c r="MTC28" s="108"/>
      <c r="MTD28" s="108"/>
      <c r="MTE28" s="108"/>
      <c r="MTF28" s="108"/>
      <c r="MTG28" s="108"/>
      <c r="MTH28" s="108"/>
      <c r="MTI28" s="108"/>
      <c r="MTJ28" s="108"/>
      <c r="MTK28" s="108"/>
      <c r="MTL28" s="108"/>
      <c r="MTM28" s="108"/>
      <c r="MTN28" s="108"/>
      <c r="MTO28" s="108"/>
      <c r="MTP28" s="108"/>
      <c r="MTQ28" s="108"/>
      <c r="MTR28" s="108"/>
      <c r="MTS28" s="108"/>
      <c r="MTT28" s="108"/>
      <c r="MTU28" s="108"/>
      <c r="MTV28" s="108"/>
      <c r="MTW28" s="108"/>
      <c r="MTX28" s="108"/>
      <c r="MTY28" s="108"/>
      <c r="MTZ28" s="108"/>
      <c r="MUA28" s="108"/>
      <c r="MUB28" s="108"/>
      <c r="MUC28" s="108"/>
      <c r="MUD28" s="108"/>
      <c r="MUE28" s="108"/>
      <c r="MUF28" s="108"/>
      <c r="MUG28" s="108"/>
      <c r="MUH28" s="108"/>
      <c r="MUI28" s="108"/>
      <c r="MUJ28" s="108"/>
      <c r="MUK28" s="108"/>
      <c r="MUL28" s="108"/>
      <c r="MUM28" s="108"/>
      <c r="MUN28" s="108"/>
      <c r="MUO28" s="108"/>
      <c r="MUP28" s="108"/>
      <c r="MUQ28" s="108"/>
      <c r="MUR28" s="108"/>
      <c r="MUS28" s="108"/>
      <c r="MUT28" s="108"/>
      <c r="MUU28" s="108"/>
      <c r="MUV28" s="108"/>
      <c r="MUW28" s="108"/>
      <c r="MUX28" s="108"/>
      <c r="MUY28" s="108"/>
      <c r="MUZ28" s="108"/>
      <c r="MVA28" s="108"/>
      <c r="MVB28" s="108"/>
      <c r="MVC28" s="108"/>
      <c r="MVD28" s="108"/>
      <c r="MVE28" s="108"/>
      <c r="MVF28" s="108"/>
      <c r="MVG28" s="108"/>
      <c r="MVH28" s="108"/>
      <c r="MVI28" s="108"/>
      <c r="MVJ28" s="108"/>
      <c r="MVK28" s="108"/>
      <c r="MVL28" s="108"/>
      <c r="MVM28" s="108"/>
      <c r="MVN28" s="108"/>
      <c r="MVO28" s="108"/>
      <c r="MVP28" s="108"/>
      <c r="MVQ28" s="108"/>
      <c r="MVR28" s="108"/>
      <c r="MVS28" s="108"/>
      <c r="MVT28" s="108"/>
      <c r="MVU28" s="108"/>
      <c r="MVV28" s="108"/>
      <c r="MVW28" s="108"/>
      <c r="MVX28" s="108"/>
      <c r="MVY28" s="108"/>
      <c r="MVZ28" s="108"/>
      <c r="MWA28" s="108"/>
      <c r="MWB28" s="108"/>
      <c r="MWC28" s="108"/>
      <c r="MWD28" s="108"/>
      <c r="MWE28" s="108"/>
      <c r="MWF28" s="108"/>
      <c r="MWG28" s="108"/>
      <c r="MWH28" s="108"/>
      <c r="MWI28" s="108"/>
      <c r="MWJ28" s="108"/>
      <c r="MWK28" s="108"/>
      <c r="MWL28" s="108"/>
      <c r="MWM28" s="108"/>
      <c r="MWN28" s="108"/>
      <c r="MWO28" s="108"/>
      <c r="MWP28" s="108"/>
      <c r="MWQ28" s="108"/>
      <c r="MWR28" s="108"/>
      <c r="MWS28" s="108"/>
      <c r="MWT28" s="108"/>
      <c r="MWU28" s="108"/>
      <c r="MWV28" s="108"/>
      <c r="MWW28" s="108"/>
      <c r="MWX28" s="108"/>
      <c r="MWY28" s="108"/>
      <c r="MWZ28" s="108"/>
      <c r="MXA28" s="108"/>
      <c r="MXB28" s="108"/>
      <c r="MXC28" s="108"/>
      <c r="MXD28" s="108"/>
      <c r="MXE28" s="108"/>
      <c r="MXF28" s="108"/>
      <c r="MXG28" s="108"/>
      <c r="MXH28" s="108"/>
      <c r="MXI28" s="108"/>
      <c r="MXJ28" s="108"/>
      <c r="MXK28" s="108"/>
      <c r="MXL28" s="108"/>
      <c r="MXM28" s="108"/>
      <c r="MXN28" s="108"/>
      <c r="MXO28" s="108"/>
      <c r="MXP28" s="108"/>
      <c r="MXQ28" s="108"/>
      <c r="MXR28" s="108"/>
      <c r="MXS28" s="108"/>
      <c r="MXT28" s="108"/>
      <c r="MXU28" s="108"/>
      <c r="MXV28" s="108"/>
      <c r="MXW28" s="108"/>
      <c r="MXX28" s="108"/>
      <c r="MXY28" s="108"/>
      <c r="MXZ28" s="108"/>
      <c r="MYA28" s="108"/>
      <c r="MYB28" s="108"/>
      <c r="MYC28" s="108"/>
      <c r="MYD28" s="108"/>
      <c r="MYE28" s="108"/>
      <c r="MYF28" s="108"/>
      <c r="MYG28" s="108"/>
      <c r="MYH28" s="108"/>
      <c r="MYI28" s="108"/>
      <c r="MYJ28" s="108"/>
      <c r="MYK28" s="108"/>
      <c r="MYL28" s="108"/>
      <c r="MYM28" s="108"/>
      <c r="MYN28" s="108"/>
      <c r="MYO28" s="108"/>
      <c r="MYP28" s="108"/>
      <c r="MYQ28" s="108"/>
      <c r="MYR28" s="108"/>
      <c r="MYS28" s="108"/>
      <c r="MYT28" s="108"/>
      <c r="MYU28" s="108"/>
      <c r="MYV28" s="108"/>
      <c r="MYW28" s="108"/>
      <c r="MYX28" s="108"/>
      <c r="MYY28" s="108"/>
      <c r="MYZ28" s="108"/>
      <c r="MZA28" s="108"/>
      <c r="MZB28" s="108"/>
      <c r="MZC28" s="108"/>
      <c r="MZD28" s="108"/>
      <c r="MZE28" s="108"/>
      <c r="MZF28" s="108"/>
      <c r="MZG28" s="108"/>
      <c r="MZH28" s="108"/>
      <c r="MZI28" s="108"/>
      <c r="MZJ28" s="108"/>
      <c r="MZK28" s="108"/>
      <c r="MZL28" s="108"/>
      <c r="MZM28" s="108"/>
      <c r="MZN28" s="108"/>
      <c r="MZO28" s="108"/>
      <c r="MZP28" s="108"/>
      <c r="MZQ28" s="108"/>
      <c r="MZR28" s="108"/>
      <c r="MZS28" s="108"/>
      <c r="MZT28" s="108"/>
      <c r="MZU28" s="108"/>
      <c r="MZV28" s="108"/>
      <c r="MZW28" s="108"/>
      <c r="MZX28" s="108"/>
      <c r="MZY28" s="108"/>
      <c r="MZZ28" s="108"/>
      <c r="NAA28" s="108"/>
      <c r="NAB28" s="108"/>
      <c r="NAC28" s="108"/>
      <c r="NAD28" s="108"/>
      <c r="NAE28" s="108"/>
      <c r="NAF28" s="108"/>
      <c r="NAG28" s="108"/>
      <c r="NAH28" s="108"/>
      <c r="NAI28" s="108"/>
      <c r="NAJ28" s="108"/>
      <c r="NAK28" s="108"/>
      <c r="NAL28" s="108"/>
      <c r="NAM28" s="108"/>
      <c r="NAN28" s="108"/>
      <c r="NAO28" s="108"/>
      <c r="NAP28" s="108"/>
      <c r="NAQ28" s="108"/>
      <c r="NAR28" s="108"/>
      <c r="NAS28" s="108"/>
      <c r="NAT28" s="108"/>
      <c r="NAU28" s="108"/>
      <c r="NAV28" s="108"/>
      <c r="NAW28" s="108"/>
      <c r="NAX28" s="108"/>
      <c r="NAY28" s="108"/>
      <c r="NAZ28" s="108"/>
      <c r="NBA28" s="108"/>
      <c r="NBB28" s="108"/>
      <c r="NBC28" s="108"/>
      <c r="NBD28" s="108"/>
      <c r="NBE28" s="108"/>
      <c r="NBF28" s="108"/>
      <c r="NBG28" s="108"/>
      <c r="NBH28" s="108"/>
      <c r="NBI28" s="108"/>
      <c r="NBJ28" s="108"/>
      <c r="NBK28" s="108"/>
      <c r="NBL28" s="108"/>
      <c r="NBM28" s="108"/>
      <c r="NBN28" s="108"/>
      <c r="NBO28" s="108"/>
      <c r="NBP28" s="108"/>
      <c r="NBQ28" s="108"/>
      <c r="NBR28" s="108"/>
      <c r="NBS28" s="108"/>
      <c r="NBT28" s="108"/>
      <c r="NBU28" s="108"/>
      <c r="NBV28" s="108"/>
      <c r="NBW28" s="108"/>
      <c r="NBX28" s="108"/>
      <c r="NBY28" s="108"/>
      <c r="NBZ28" s="108"/>
      <c r="NCA28" s="108"/>
      <c r="NCB28" s="108"/>
      <c r="NCC28" s="108"/>
      <c r="NCD28" s="108"/>
      <c r="NCE28" s="108"/>
      <c r="NCF28" s="108"/>
      <c r="NCG28" s="108"/>
      <c r="NCH28" s="108"/>
      <c r="NCI28" s="108"/>
      <c r="NCJ28" s="108"/>
      <c r="NCK28" s="108"/>
      <c r="NCL28" s="108"/>
      <c r="NCM28" s="108"/>
      <c r="NCN28" s="108"/>
      <c r="NCO28" s="108"/>
      <c r="NCP28" s="108"/>
      <c r="NCQ28" s="108"/>
      <c r="NCR28" s="108"/>
      <c r="NCS28" s="108"/>
      <c r="NCT28" s="108"/>
      <c r="NCU28" s="108"/>
      <c r="NCV28" s="108"/>
      <c r="NCW28" s="108"/>
      <c r="NCX28" s="108"/>
      <c r="NCY28" s="108"/>
      <c r="NCZ28" s="108"/>
      <c r="NDA28" s="108"/>
      <c r="NDB28" s="108"/>
      <c r="NDC28" s="108"/>
      <c r="NDD28" s="108"/>
      <c r="NDE28" s="108"/>
      <c r="NDF28" s="108"/>
      <c r="NDG28" s="108"/>
      <c r="NDH28" s="108"/>
      <c r="NDI28" s="108"/>
      <c r="NDJ28" s="108"/>
      <c r="NDK28" s="108"/>
      <c r="NDL28" s="108"/>
      <c r="NDM28" s="108"/>
      <c r="NDN28" s="108"/>
      <c r="NDO28" s="108"/>
      <c r="NDP28" s="108"/>
      <c r="NDQ28" s="108"/>
      <c r="NDR28" s="108"/>
      <c r="NDS28" s="108"/>
      <c r="NDT28" s="108"/>
      <c r="NDU28" s="108"/>
      <c r="NDV28" s="108"/>
      <c r="NDW28" s="108"/>
      <c r="NDX28" s="108"/>
      <c r="NDY28" s="108"/>
      <c r="NDZ28" s="108"/>
      <c r="NEA28" s="108"/>
      <c r="NEB28" s="108"/>
      <c r="NEC28" s="108"/>
      <c r="NED28" s="108"/>
      <c r="NEE28" s="108"/>
      <c r="NEF28" s="108"/>
      <c r="NEG28" s="108"/>
      <c r="NEH28" s="108"/>
      <c r="NEI28" s="108"/>
      <c r="NEJ28" s="108"/>
      <c r="NEK28" s="108"/>
      <c r="NEL28" s="108"/>
      <c r="NEM28" s="108"/>
      <c r="NEN28" s="108"/>
      <c r="NEO28" s="108"/>
      <c r="NEP28" s="108"/>
      <c r="NEQ28" s="108"/>
      <c r="NER28" s="108"/>
      <c r="NES28" s="108"/>
      <c r="NET28" s="108"/>
      <c r="NEU28" s="108"/>
      <c r="NEV28" s="108"/>
      <c r="NEW28" s="108"/>
      <c r="NEX28" s="108"/>
      <c r="NEY28" s="108"/>
      <c r="NEZ28" s="108"/>
      <c r="NFA28" s="108"/>
      <c r="NFB28" s="108"/>
      <c r="NFC28" s="108"/>
      <c r="NFD28" s="108"/>
      <c r="NFE28" s="108"/>
      <c r="NFF28" s="108"/>
      <c r="NFG28" s="108"/>
      <c r="NFH28" s="108"/>
      <c r="NFI28" s="108"/>
      <c r="NFJ28" s="108"/>
      <c r="NFK28" s="108"/>
      <c r="NFL28" s="108"/>
      <c r="NFM28" s="108"/>
      <c r="NFN28" s="108"/>
      <c r="NFO28" s="108"/>
      <c r="NFP28" s="108"/>
      <c r="NFQ28" s="108"/>
      <c r="NFR28" s="108"/>
      <c r="NFS28" s="108"/>
      <c r="NFT28" s="108"/>
      <c r="NFU28" s="108"/>
      <c r="NFV28" s="108"/>
      <c r="NFW28" s="108"/>
      <c r="NFX28" s="108"/>
      <c r="NFY28" s="108"/>
      <c r="NFZ28" s="108"/>
      <c r="NGA28" s="108"/>
      <c r="NGB28" s="108"/>
      <c r="NGC28" s="108"/>
      <c r="NGD28" s="108"/>
      <c r="NGE28" s="108"/>
      <c r="NGF28" s="108"/>
      <c r="NGG28" s="108"/>
      <c r="NGH28" s="108"/>
      <c r="NGI28" s="108"/>
      <c r="NGJ28" s="108"/>
      <c r="NGK28" s="108"/>
      <c r="NGL28" s="108"/>
      <c r="NGM28" s="108"/>
      <c r="NGN28" s="108"/>
      <c r="NGO28" s="108"/>
      <c r="NGP28" s="108"/>
      <c r="NGQ28" s="108"/>
      <c r="NGR28" s="108"/>
      <c r="NGS28" s="108"/>
      <c r="NGT28" s="108"/>
      <c r="NGU28" s="108"/>
      <c r="NGV28" s="108"/>
      <c r="NGW28" s="108"/>
      <c r="NGX28" s="108"/>
      <c r="NGY28" s="108"/>
      <c r="NGZ28" s="108"/>
      <c r="NHA28" s="108"/>
      <c r="NHB28" s="108"/>
      <c r="NHC28" s="108"/>
      <c r="NHD28" s="108"/>
      <c r="NHE28" s="108"/>
      <c r="NHF28" s="108"/>
      <c r="NHG28" s="108"/>
      <c r="NHH28" s="108"/>
      <c r="NHI28" s="108"/>
      <c r="NHJ28" s="108"/>
      <c r="NHK28" s="108"/>
      <c r="NHL28" s="108"/>
      <c r="NHM28" s="108"/>
      <c r="NHN28" s="108"/>
      <c r="NHO28" s="108"/>
      <c r="NHP28" s="108"/>
      <c r="NHQ28" s="108"/>
      <c r="NHR28" s="108"/>
      <c r="NHS28" s="108"/>
      <c r="NHT28" s="108"/>
      <c r="NHU28" s="108"/>
      <c r="NHV28" s="108"/>
      <c r="NHW28" s="108"/>
      <c r="NHX28" s="108"/>
      <c r="NHY28" s="108"/>
      <c r="NHZ28" s="108"/>
      <c r="NIA28" s="108"/>
      <c r="NIB28" s="108"/>
      <c r="NIC28" s="108"/>
      <c r="NID28" s="108"/>
      <c r="NIE28" s="108"/>
      <c r="NIF28" s="108"/>
      <c r="NIG28" s="108"/>
      <c r="NIH28" s="108"/>
      <c r="NII28" s="108"/>
      <c r="NIJ28" s="108"/>
      <c r="NIK28" s="108"/>
      <c r="NIL28" s="108"/>
      <c r="NIM28" s="108"/>
      <c r="NIN28" s="108"/>
      <c r="NIO28" s="108"/>
      <c r="NIP28" s="108"/>
      <c r="NIQ28" s="108"/>
      <c r="NIR28" s="108"/>
      <c r="NIS28" s="108"/>
      <c r="NIT28" s="108"/>
      <c r="NIU28" s="108"/>
      <c r="NIV28" s="108"/>
      <c r="NIW28" s="108"/>
      <c r="NIX28" s="108"/>
      <c r="NIY28" s="108"/>
      <c r="NIZ28" s="108"/>
      <c r="NJA28" s="108"/>
      <c r="NJB28" s="108"/>
      <c r="NJC28" s="108"/>
      <c r="NJD28" s="108"/>
      <c r="NJE28" s="108"/>
      <c r="NJF28" s="108"/>
      <c r="NJG28" s="108"/>
      <c r="NJH28" s="108"/>
      <c r="NJI28" s="108"/>
      <c r="NJJ28" s="108"/>
      <c r="NJK28" s="108"/>
      <c r="NJL28" s="108"/>
      <c r="NJM28" s="108"/>
      <c r="NJN28" s="108"/>
      <c r="NJO28" s="108"/>
      <c r="NJP28" s="108"/>
      <c r="NJQ28" s="108"/>
      <c r="NJR28" s="108"/>
      <c r="NJS28" s="108"/>
      <c r="NJT28" s="108"/>
      <c r="NJU28" s="108"/>
      <c r="NJV28" s="108"/>
      <c r="NJW28" s="108"/>
      <c r="NJX28" s="108"/>
      <c r="NJY28" s="108"/>
      <c r="NJZ28" s="108"/>
      <c r="NKA28" s="108"/>
      <c r="NKB28" s="108"/>
      <c r="NKC28" s="108"/>
      <c r="NKD28" s="108"/>
      <c r="NKE28" s="108"/>
      <c r="NKF28" s="108"/>
      <c r="NKG28" s="108"/>
      <c r="NKH28" s="108"/>
      <c r="NKI28" s="108"/>
      <c r="NKJ28" s="108"/>
      <c r="NKK28" s="108"/>
      <c r="NKL28" s="108"/>
      <c r="NKM28" s="108"/>
      <c r="NKN28" s="108"/>
      <c r="NKO28" s="108"/>
      <c r="NKP28" s="108"/>
      <c r="NKQ28" s="108"/>
      <c r="NKR28" s="108"/>
      <c r="NKS28" s="108"/>
      <c r="NKT28" s="108"/>
      <c r="NKU28" s="108"/>
      <c r="NKV28" s="108"/>
      <c r="NKW28" s="108"/>
      <c r="NKX28" s="108"/>
      <c r="NKY28" s="108"/>
      <c r="NKZ28" s="108"/>
      <c r="NLA28" s="108"/>
      <c r="NLB28" s="108"/>
      <c r="NLC28" s="108"/>
      <c r="NLD28" s="108"/>
      <c r="NLE28" s="108"/>
      <c r="NLF28" s="108"/>
      <c r="NLG28" s="108"/>
      <c r="NLH28" s="108"/>
      <c r="NLI28" s="108"/>
      <c r="NLJ28" s="108"/>
      <c r="NLK28" s="108"/>
      <c r="NLL28" s="108"/>
      <c r="NLM28" s="108"/>
      <c r="NLN28" s="108"/>
      <c r="NLO28" s="108"/>
      <c r="NLP28" s="108"/>
      <c r="NLQ28" s="108"/>
      <c r="NLR28" s="108"/>
      <c r="NLS28" s="108"/>
      <c r="NLT28" s="108"/>
      <c r="NLU28" s="108"/>
      <c r="NLV28" s="108"/>
      <c r="NLW28" s="108"/>
      <c r="NLX28" s="108"/>
      <c r="NLY28" s="108"/>
      <c r="NLZ28" s="108"/>
      <c r="NMA28" s="108"/>
      <c r="NMB28" s="108"/>
      <c r="NMC28" s="108"/>
      <c r="NMD28" s="108"/>
      <c r="NME28" s="108"/>
      <c r="NMF28" s="108"/>
      <c r="NMG28" s="108"/>
      <c r="NMH28" s="108"/>
      <c r="NMI28" s="108"/>
      <c r="NMJ28" s="108"/>
      <c r="NMK28" s="108"/>
      <c r="NML28" s="108"/>
      <c r="NMM28" s="108"/>
      <c r="NMN28" s="108"/>
      <c r="NMO28" s="108"/>
      <c r="NMP28" s="108"/>
      <c r="NMQ28" s="108"/>
      <c r="NMR28" s="108"/>
      <c r="NMS28" s="108"/>
      <c r="NMT28" s="108"/>
      <c r="NMU28" s="108"/>
      <c r="NMV28" s="108"/>
      <c r="NMW28" s="108"/>
      <c r="NMX28" s="108"/>
      <c r="NMY28" s="108"/>
      <c r="NMZ28" s="108"/>
      <c r="NNA28" s="108"/>
      <c r="NNB28" s="108"/>
      <c r="NNC28" s="108"/>
      <c r="NND28" s="108"/>
      <c r="NNE28" s="108"/>
      <c r="NNF28" s="108"/>
      <c r="NNG28" s="108"/>
      <c r="NNH28" s="108"/>
      <c r="NNI28" s="108"/>
      <c r="NNJ28" s="108"/>
      <c r="NNK28" s="108"/>
      <c r="NNL28" s="108"/>
      <c r="NNM28" s="108"/>
      <c r="NNN28" s="108"/>
      <c r="NNO28" s="108"/>
      <c r="NNP28" s="108"/>
      <c r="NNQ28" s="108"/>
      <c r="NNR28" s="108"/>
      <c r="NNS28" s="108"/>
      <c r="NNT28" s="108"/>
      <c r="NNU28" s="108"/>
      <c r="NNV28" s="108"/>
      <c r="NNW28" s="108"/>
      <c r="NNX28" s="108"/>
      <c r="NNY28" s="108"/>
      <c r="NNZ28" s="108"/>
      <c r="NOA28" s="108"/>
      <c r="NOB28" s="108"/>
      <c r="NOC28" s="108"/>
      <c r="NOD28" s="108"/>
      <c r="NOE28" s="108"/>
      <c r="NOF28" s="108"/>
      <c r="NOG28" s="108"/>
      <c r="NOH28" s="108"/>
      <c r="NOI28" s="108"/>
      <c r="NOJ28" s="108"/>
      <c r="NOK28" s="108"/>
      <c r="NOL28" s="108"/>
      <c r="NOM28" s="108"/>
      <c r="NON28" s="108"/>
      <c r="NOO28" s="108"/>
      <c r="NOP28" s="108"/>
      <c r="NOQ28" s="108"/>
      <c r="NOR28" s="108"/>
      <c r="NOS28" s="108"/>
      <c r="NOT28" s="108"/>
      <c r="NOU28" s="108"/>
      <c r="NOV28" s="108"/>
      <c r="NOW28" s="108"/>
      <c r="NOX28" s="108"/>
      <c r="NOY28" s="108"/>
      <c r="NOZ28" s="108"/>
      <c r="NPA28" s="108"/>
      <c r="NPB28" s="108"/>
      <c r="NPC28" s="108"/>
      <c r="NPD28" s="108"/>
      <c r="NPE28" s="108"/>
      <c r="NPF28" s="108"/>
      <c r="NPG28" s="108"/>
      <c r="NPH28" s="108"/>
      <c r="NPI28" s="108"/>
      <c r="NPJ28" s="108"/>
      <c r="NPK28" s="108"/>
      <c r="NPL28" s="108"/>
      <c r="NPM28" s="108"/>
      <c r="NPN28" s="108"/>
      <c r="NPO28" s="108"/>
      <c r="NPP28" s="108"/>
      <c r="NPQ28" s="108"/>
      <c r="NPR28" s="108"/>
      <c r="NPS28" s="108"/>
      <c r="NPT28" s="108"/>
      <c r="NPU28" s="108"/>
      <c r="NPV28" s="108"/>
      <c r="NPW28" s="108"/>
      <c r="NPX28" s="108"/>
      <c r="NPY28" s="108"/>
      <c r="NPZ28" s="108"/>
      <c r="NQA28" s="108"/>
      <c r="NQB28" s="108"/>
      <c r="NQC28" s="108"/>
      <c r="NQD28" s="108"/>
      <c r="NQE28" s="108"/>
      <c r="NQF28" s="108"/>
      <c r="NQG28" s="108"/>
      <c r="NQH28" s="108"/>
      <c r="NQI28" s="108"/>
      <c r="NQJ28" s="108"/>
      <c r="NQK28" s="108"/>
      <c r="NQL28" s="108"/>
      <c r="NQM28" s="108"/>
      <c r="NQN28" s="108"/>
      <c r="NQO28" s="108"/>
      <c r="NQP28" s="108"/>
      <c r="NQQ28" s="108"/>
      <c r="NQR28" s="108"/>
      <c r="NQS28" s="108"/>
      <c r="NQT28" s="108"/>
      <c r="NQU28" s="108"/>
      <c r="NQV28" s="108"/>
      <c r="NQW28" s="108"/>
      <c r="NQX28" s="108"/>
      <c r="NQY28" s="108"/>
      <c r="NQZ28" s="108"/>
      <c r="NRA28" s="108"/>
      <c r="NRB28" s="108"/>
      <c r="NRC28" s="108"/>
      <c r="NRD28" s="108"/>
      <c r="NRE28" s="108"/>
      <c r="NRF28" s="108"/>
      <c r="NRG28" s="108"/>
      <c r="NRH28" s="108"/>
      <c r="NRI28" s="108"/>
      <c r="NRJ28" s="108"/>
      <c r="NRK28" s="108"/>
      <c r="NRL28" s="108"/>
      <c r="NRM28" s="108"/>
      <c r="NRN28" s="108"/>
      <c r="NRO28" s="108"/>
      <c r="NRP28" s="108"/>
      <c r="NRQ28" s="108"/>
      <c r="NRR28" s="108"/>
      <c r="NRS28" s="108"/>
      <c r="NRT28" s="108"/>
      <c r="NRU28" s="108"/>
      <c r="NRV28" s="108"/>
      <c r="NRW28" s="108"/>
      <c r="NRX28" s="108"/>
      <c r="NRY28" s="108"/>
      <c r="NRZ28" s="108"/>
      <c r="NSA28" s="108"/>
      <c r="NSB28" s="108"/>
      <c r="NSC28" s="108"/>
      <c r="NSD28" s="108"/>
      <c r="NSE28" s="108"/>
      <c r="NSF28" s="108"/>
      <c r="NSG28" s="108"/>
      <c r="NSH28" s="108"/>
      <c r="NSI28" s="108"/>
      <c r="NSJ28" s="108"/>
      <c r="NSK28" s="108"/>
      <c r="NSL28" s="108"/>
      <c r="NSM28" s="108"/>
      <c r="NSN28" s="108"/>
      <c r="NSO28" s="108"/>
      <c r="NSP28" s="108"/>
      <c r="NSQ28" s="108"/>
      <c r="NSR28" s="108"/>
      <c r="NSS28" s="108"/>
      <c r="NST28" s="108"/>
      <c r="NSU28" s="108"/>
      <c r="NSV28" s="108"/>
      <c r="NSW28" s="108"/>
      <c r="NSX28" s="108"/>
      <c r="NSY28" s="108"/>
      <c r="NSZ28" s="108"/>
      <c r="NTA28" s="108"/>
      <c r="NTB28" s="108"/>
      <c r="NTC28" s="108"/>
      <c r="NTD28" s="108"/>
      <c r="NTE28" s="108"/>
      <c r="NTF28" s="108"/>
      <c r="NTG28" s="108"/>
      <c r="NTH28" s="108"/>
      <c r="NTI28" s="108"/>
      <c r="NTJ28" s="108"/>
      <c r="NTK28" s="108"/>
      <c r="NTL28" s="108"/>
      <c r="NTM28" s="108"/>
      <c r="NTN28" s="108"/>
      <c r="NTO28" s="108"/>
      <c r="NTP28" s="108"/>
      <c r="NTQ28" s="108"/>
      <c r="NTR28" s="108"/>
      <c r="NTS28" s="108"/>
      <c r="NTT28" s="108"/>
      <c r="NTU28" s="108"/>
      <c r="NTV28" s="108"/>
      <c r="NTW28" s="108"/>
      <c r="NTX28" s="108"/>
      <c r="NTY28" s="108"/>
      <c r="NTZ28" s="108"/>
      <c r="NUA28" s="108"/>
      <c r="NUB28" s="108"/>
      <c r="NUC28" s="108"/>
      <c r="NUD28" s="108"/>
      <c r="NUE28" s="108"/>
      <c r="NUF28" s="108"/>
      <c r="NUG28" s="108"/>
      <c r="NUH28" s="108"/>
      <c r="NUI28" s="108"/>
      <c r="NUJ28" s="108"/>
      <c r="NUK28" s="108"/>
      <c r="NUL28" s="108"/>
      <c r="NUM28" s="108"/>
      <c r="NUN28" s="108"/>
      <c r="NUO28" s="108"/>
      <c r="NUP28" s="108"/>
      <c r="NUQ28" s="108"/>
      <c r="NUR28" s="108"/>
      <c r="NUS28" s="108"/>
      <c r="NUT28" s="108"/>
      <c r="NUU28" s="108"/>
      <c r="NUV28" s="108"/>
      <c r="NUW28" s="108"/>
      <c r="NUX28" s="108"/>
      <c r="NUY28" s="108"/>
      <c r="NUZ28" s="108"/>
      <c r="NVA28" s="108"/>
      <c r="NVB28" s="108"/>
      <c r="NVC28" s="108"/>
      <c r="NVD28" s="108"/>
      <c r="NVE28" s="108"/>
      <c r="NVF28" s="108"/>
      <c r="NVG28" s="108"/>
      <c r="NVH28" s="108"/>
      <c r="NVI28" s="108"/>
      <c r="NVJ28" s="108"/>
      <c r="NVK28" s="108"/>
      <c r="NVL28" s="108"/>
      <c r="NVM28" s="108"/>
      <c r="NVN28" s="108"/>
      <c r="NVO28" s="108"/>
      <c r="NVP28" s="108"/>
      <c r="NVQ28" s="108"/>
      <c r="NVR28" s="108"/>
      <c r="NVS28" s="108"/>
      <c r="NVT28" s="108"/>
      <c r="NVU28" s="108"/>
      <c r="NVV28" s="108"/>
      <c r="NVW28" s="108"/>
      <c r="NVX28" s="108"/>
      <c r="NVY28" s="108"/>
      <c r="NVZ28" s="108"/>
      <c r="NWA28" s="108"/>
      <c r="NWB28" s="108"/>
      <c r="NWC28" s="108"/>
      <c r="NWD28" s="108"/>
      <c r="NWE28" s="108"/>
      <c r="NWF28" s="108"/>
      <c r="NWG28" s="108"/>
      <c r="NWH28" s="108"/>
      <c r="NWI28" s="108"/>
      <c r="NWJ28" s="108"/>
      <c r="NWK28" s="108"/>
      <c r="NWL28" s="108"/>
      <c r="NWM28" s="108"/>
      <c r="NWN28" s="108"/>
      <c r="NWO28" s="108"/>
      <c r="NWP28" s="108"/>
      <c r="NWQ28" s="108"/>
      <c r="NWR28" s="108"/>
      <c r="NWS28" s="108"/>
      <c r="NWT28" s="108"/>
      <c r="NWU28" s="108"/>
      <c r="NWV28" s="108"/>
      <c r="NWW28" s="108"/>
      <c r="NWX28" s="108"/>
      <c r="NWY28" s="108"/>
      <c r="NWZ28" s="108"/>
      <c r="NXA28" s="108"/>
      <c r="NXB28" s="108"/>
      <c r="NXC28" s="108"/>
      <c r="NXD28" s="108"/>
      <c r="NXE28" s="108"/>
      <c r="NXF28" s="108"/>
      <c r="NXG28" s="108"/>
      <c r="NXH28" s="108"/>
      <c r="NXI28" s="108"/>
      <c r="NXJ28" s="108"/>
      <c r="NXK28" s="108"/>
      <c r="NXL28" s="108"/>
      <c r="NXM28" s="108"/>
      <c r="NXN28" s="108"/>
      <c r="NXO28" s="108"/>
      <c r="NXP28" s="108"/>
      <c r="NXQ28" s="108"/>
      <c r="NXR28" s="108"/>
      <c r="NXS28" s="108"/>
      <c r="NXT28" s="108"/>
      <c r="NXU28" s="108"/>
      <c r="NXV28" s="108"/>
      <c r="NXW28" s="108"/>
      <c r="NXX28" s="108"/>
      <c r="NXY28" s="108"/>
      <c r="NXZ28" s="108"/>
      <c r="NYA28" s="108"/>
      <c r="NYB28" s="108"/>
      <c r="NYC28" s="108"/>
      <c r="NYD28" s="108"/>
      <c r="NYE28" s="108"/>
      <c r="NYF28" s="108"/>
      <c r="NYG28" s="108"/>
      <c r="NYH28" s="108"/>
      <c r="NYI28" s="108"/>
      <c r="NYJ28" s="108"/>
      <c r="NYK28" s="108"/>
      <c r="NYL28" s="108"/>
      <c r="NYM28" s="108"/>
      <c r="NYN28" s="108"/>
      <c r="NYO28" s="108"/>
      <c r="NYP28" s="108"/>
      <c r="NYQ28" s="108"/>
      <c r="NYR28" s="108"/>
      <c r="NYS28" s="108"/>
      <c r="NYT28" s="108"/>
      <c r="NYU28" s="108"/>
      <c r="NYV28" s="108"/>
      <c r="NYW28" s="108"/>
      <c r="NYX28" s="108"/>
      <c r="NYY28" s="108"/>
      <c r="NYZ28" s="108"/>
      <c r="NZA28" s="108"/>
      <c r="NZB28" s="108"/>
      <c r="NZC28" s="108"/>
      <c r="NZD28" s="108"/>
      <c r="NZE28" s="108"/>
      <c r="NZF28" s="108"/>
      <c r="NZG28" s="108"/>
      <c r="NZH28" s="108"/>
      <c r="NZI28" s="108"/>
      <c r="NZJ28" s="108"/>
      <c r="NZK28" s="108"/>
      <c r="NZL28" s="108"/>
      <c r="NZM28" s="108"/>
      <c r="NZN28" s="108"/>
      <c r="NZO28" s="108"/>
      <c r="NZP28" s="108"/>
      <c r="NZQ28" s="108"/>
      <c r="NZR28" s="108"/>
      <c r="NZS28" s="108"/>
      <c r="NZT28" s="108"/>
      <c r="NZU28" s="108"/>
      <c r="NZV28" s="108"/>
      <c r="NZW28" s="108"/>
      <c r="NZX28" s="108"/>
      <c r="NZY28" s="108"/>
      <c r="NZZ28" s="108"/>
      <c r="OAA28" s="108"/>
      <c r="OAB28" s="108"/>
      <c r="OAC28" s="108"/>
      <c r="OAD28" s="108"/>
      <c r="OAE28" s="108"/>
      <c r="OAF28" s="108"/>
      <c r="OAG28" s="108"/>
      <c r="OAH28" s="108"/>
      <c r="OAI28" s="108"/>
      <c r="OAJ28" s="108"/>
      <c r="OAK28" s="108"/>
      <c r="OAL28" s="108"/>
      <c r="OAM28" s="108"/>
      <c r="OAN28" s="108"/>
      <c r="OAO28" s="108"/>
      <c r="OAP28" s="108"/>
      <c r="OAQ28" s="108"/>
      <c r="OAR28" s="108"/>
      <c r="OAS28" s="108"/>
      <c r="OAT28" s="108"/>
      <c r="OAU28" s="108"/>
      <c r="OAV28" s="108"/>
      <c r="OAW28" s="108"/>
      <c r="OAX28" s="108"/>
      <c r="OAY28" s="108"/>
      <c r="OAZ28" s="108"/>
      <c r="OBA28" s="108"/>
      <c r="OBB28" s="108"/>
      <c r="OBC28" s="108"/>
      <c r="OBD28" s="108"/>
      <c r="OBE28" s="108"/>
      <c r="OBF28" s="108"/>
      <c r="OBG28" s="108"/>
      <c r="OBH28" s="108"/>
      <c r="OBI28" s="108"/>
      <c r="OBJ28" s="108"/>
      <c r="OBK28" s="108"/>
      <c r="OBL28" s="108"/>
      <c r="OBM28" s="108"/>
      <c r="OBN28" s="108"/>
      <c r="OBO28" s="108"/>
      <c r="OBP28" s="108"/>
      <c r="OBQ28" s="108"/>
      <c r="OBR28" s="108"/>
      <c r="OBS28" s="108"/>
      <c r="OBT28" s="108"/>
      <c r="OBU28" s="108"/>
      <c r="OBV28" s="108"/>
      <c r="OBW28" s="108"/>
      <c r="OBX28" s="108"/>
      <c r="OBY28" s="108"/>
      <c r="OBZ28" s="108"/>
      <c r="OCA28" s="108"/>
      <c r="OCB28" s="108"/>
      <c r="OCC28" s="108"/>
      <c r="OCD28" s="108"/>
      <c r="OCE28" s="108"/>
      <c r="OCF28" s="108"/>
      <c r="OCG28" s="108"/>
      <c r="OCH28" s="108"/>
      <c r="OCI28" s="108"/>
      <c r="OCJ28" s="108"/>
      <c r="OCK28" s="108"/>
      <c r="OCL28" s="108"/>
      <c r="OCM28" s="108"/>
      <c r="OCN28" s="108"/>
      <c r="OCO28" s="108"/>
      <c r="OCP28" s="108"/>
      <c r="OCQ28" s="108"/>
      <c r="OCR28" s="108"/>
      <c r="OCS28" s="108"/>
      <c r="OCT28" s="108"/>
      <c r="OCU28" s="108"/>
      <c r="OCV28" s="108"/>
      <c r="OCW28" s="108"/>
      <c r="OCX28" s="108"/>
      <c r="OCY28" s="108"/>
      <c r="OCZ28" s="108"/>
      <c r="ODA28" s="108"/>
      <c r="ODB28" s="108"/>
      <c r="ODC28" s="108"/>
      <c r="ODD28" s="108"/>
      <c r="ODE28" s="108"/>
      <c r="ODF28" s="108"/>
      <c r="ODG28" s="108"/>
      <c r="ODH28" s="108"/>
      <c r="ODI28" s="108"/>
      <c r="ODJ28" s="108"/>
      <c r="ODK28" s="108"/>
      <c r="ODL28" s="108"/>
      <c r="ODM28" s="108"/>
      <c r="ODN28" s="108"/>
      <c r="ODO28" s="108"/>
      <c r="ODP28" s="108"/>
      <c r="ODQ28" s="108"/>
      <c r="ODR28" s="108"/>
      <c r="ODS28" s="108"/>
      <c r="ODT28" s="108"/>
      <c r="ODU28" s="108"/>
      <c r="ODV28" s="108"/>
      <c r="ODW28" s="108"/>
      <c r="ODX28" s="108"/>
      <c r="ODY28" s="108"/>
      <c r="ODZ28" s="108"/>
      <c r="OEA28" s="108"/>
      <c r="OEB28" s="108"/>
      <c r="OEC28" s="108"/>
      <c r="OED28" s="108"/>
      <c r="OEE28" s="108"/>
      <c r="OEF28" s="108"/>
      <c r="OEG28" s="108"/>
      <c r="OEH28" s="108"/>
      <c r="OEI28" s="108"/>
      <c r="OEJ28" s="108"/>
      <c r="OEK28" s="108"/>
      <c r="OEL28" s="108"/>
      <c r="OEM28" s="108"/>
      <c r="OEN28" s="108"/>
      <c r="OEO28" s="108"/>
      <c r="OEP28" s="108"/>
      <c r="OEQ28" s="108"/>
      <c r="OER28" s="108"/>
      <c r="OES28" s="108"/>
      <c r="OET28" s="108"/>
      <c r="OEU28" s="108"/>
      <c r="OEV28" s="108"/>
      <c r="OEW28" s="108"/>
      <c r="OEX28" s="108"/>
      <c r="OEY28" s="108"/>
      <c r="OEZ28" s="108"/>
      <c r="OFA28" s="108"/>
      <c r="OFB28" s="108"/>
      <c r="OFC28" s="108"/>
      <c r="OFD28" s="108"/>
      <c r="OFE28" s="108"/>
      <c r="OFF28" s="108"/>
      <c r="OFG28" s="108"/>
      <c r="OFH28" s="108"/>
      <c r="OFI28" s="108"/>
      <c r="OFJ28" s="108"/>
      <c r="OFK28" s="108"/>
      <c r="OFL28" s="108"/>
      <c r="OFM28" s="108"/>
      <c r="OFN28" s="108"/>
      <c r="OFO28" s="108"/>
      <c r="OFP28" s="108"/>
      <c r="OFQ28" s="108"/>
      <c r="OFR28" s="108"/>
      <c r="OFS28" s="108"/>
      <c r="OFT28" s="108"/>
      <c r="OFU28" s="108"/>
      <c r="OFV28" s="108"/>
      <c r="OFW28" s="108"/>
      <c r="OFX28" s="108"/>
      <c r="OFY28" s="108"/>
      <c r="OFZ28" s="108"/>
      <c r="OGA28" s="108"/>
      <c r="OGB28" s="108"/>
      <c r="OGC28" s="108"/>
      <c r="OGD28" s="108"/>
      <c r="OGE28" s="108"/>
      <c r="OGF28" s="108"/>
      <c r="OGG28" s="108"/>
      <c r="OGH28" s="108"/>
      <c r="OGI28" s="108"/>
      <c r="OGJ28" s="108"/>
      <c r="OGK28" s="108"/>
      <c r="OGL28" s="108"/>
      <c r="OGM28" s="108"/>
      <c r="OGN28" s="108"/>
      <c r="OGO28" s="108"/>
      <c r="OGP28" s="108"/>
      <c r="OGQ28" s="108"/>
      <c r="OGR28" s="108"/>
      <c r="OGS28" s="108"/>
      <c r="OGT28" s="108"/>
      <c r="OGU28" s="108"/>
      <c r="OGV28" s="108"/>
      <c r="OGW28" s="108"/>
      <c r="OGX28" s="108"/>
      <c r="OGY28" s="108"/>
      <c r="OGZ28" s="108"/>
      <c r="OHA28" s="108"/>
      <c r="OHB28" s="108"/>
      <c r="OHC28" s="108"/>
      <c r="OHD28" s="108"/>
      <c r="OHE28" s="108"/>
      <c r="OHF28" s="108"/>
      <c r="OHG28" s="108"/>
      <c r="OHH28" s="108"/>
      <c r="OHI28" s="108"/>
      <c r="OHJ28" s="108"/>
      <c r="OHK28" s="108"/>
      <c r="OHL28" s="108"/>
      <c r="OHM28" s="108"/>
      <c r="OHN28" s="108"/>
      <c r="OHO28" s="108"/>
      <c r="OHP28" s="108"/>
      <c r="OHQ28" s="108"/>
      <c r="OHR28" s="108"/>
      <c r="OHS28" s="108"/>
      <c r="OHT28" s="108"/>
      <c r="OHU28" s="108"/>
      <c r="OHV28" s="108"/>
      <c r="OHW28" s="108"/>
      <c r="OHX28" s="108"/>
      <c r="OHY28" s="108"/>
      <c r="OHZ28" s="108"/>
      <c r="OIA28" s="108"/>
      <c r="OIB28" s="108"/>
      <c r="OIC28" s="108"/>
      <c r="OID28" s="108"/>
      <c r="OIE28" s="108"/>
      <c r="OIF28" s="108"/>
      <c r="OIG28" s="108"/>
      <c r="OIH28" s="108"/>
      <c r="OII28" s="108"/>
      <c r="OIJ28" s="108"/>
      <c r="OIK28" s="108"/>
      <c r="OIL28" s="108"/>
      <c r="OIM28" s="108"/>
      <c r="OIN28" s="108"/>
      <c r="OIO28" s="108"/>
      <c r="OIP28" s="108"/>
      <c r="OIQ28" s="108"/>
      <c r="OIR28" s="108"/>
      <c r="OIS28" s="108"/>
      <c r="OIT28" s="108"/>
      <c r="OIU28" s="108"/>
      <c r="OIV28" s="108"/>
      <c r="OIW28" s="108"/>
      <c r="OIX28" s="108"/>
      <c r="OIY28" s="108"/>
      <c r="OIZ28" s="108"/>
      <c r="OJA28" s="108"/>
      <c r="OJB28" s="108"/>
      <c r="OJC28" s="108"/>
      <c r="OJD28" s="108"/>
      <c r="OJE28" s="108"/>
      <c r="OJF28" s="108"/>
      <c r="OJG28" s="108"/>
      <c r="OJH28" s="108"/>
      <c r="OJI28" s="108"/>
      <c r="OJJ28" s="108"/>
      <c r="OJK28" s="108"/>
      <c r="OJL28" s="108"/>
      <c r="OJM28" s="108"/>
      <c r="OJN28" s="108"/>
      <c r="OJO28" s="108"/>
      <c r="OJP28" s="108"/>
      <c r="OJQ28" s="108"/>
      <c r="OJR28" s="108"/>
      <c r="OJS28" s="108"/>
      <c r="OJT28" s="108"/>
      <c r="OJU28" s="108"/>
      <c r="OJV28" s="108"/>
      <c r="OJW28" s="108"/>
      <c r="OJX28" s="108"/>
      <c r="OJY28" s="108"/>
      <c r="OJZ28" s="108"/>
      <c r="OKA28" s="108"/>
      <c r="OKB28" s="108"/>
      <c r="OKC28" s="108"/>
      <c r="OKD28" s="108"/>
      <c r="OKE28" s="108"/>
      <c r="OKF28" s="108"/>
      <c r="OKG28" s="108"/>
      <c r="OKH28" s="108"/>
      <c r="OKI28" s="108"/>
      <c r="OKJ28" s="108"/>
      <c r="OKK28" s="108"/>
      <c r="OKL28" s="108"/>
      <c r="OKM28" s="108"/>
      <c r="OKN28" s="108"/>
      <c r="OKO28" s="108"/>
      <c r="OKP28" s="108"/>
      <c r="OKQ28" s="108"/>
      <c r="OKR28" s="108"/>
      <c r="OKS28" s="108"/>
      <c r="OKT28" s="108"/>
      <c r="OKU28" s="108"/>
      <c r="OKV28" s="108"/>
      <c r="OKW28" s="108"/>
      <c r="OKX28" s="108"/>
      <c r="OKY28" s="108"/>
      <c r="OKZ28" s="108"/>
      <c r="OLA28" s="108"/>
      <c r="OLB28" s="108"/>
      <c r="OLC28" s="108"/>
      <c r="OLD28" s="108"/>
      <c r="OLE28" s="108"/>
      <c r="OLF28" s="108"/>
      <c r="OLG28" s="108"/>
      <c r="OLH28" s="108"/>
      <c r="OLI28" s="108"/>
      <c r="OLJ28" s="108"/>
      <c r="OLK28" s="108"/>
      <c r="OLL28" s="108"/>
      <c r="OLM28" s="108"/>
      <c r="OLN28" s="108"/>
      <c r="OLO28" s="108"/>
      <c r="OLP28" s="108"/>
      <c r="OLQ28" s="108"/>
      <c r="OLR28" s="108"/>
      <c r="OLS28" s="108"/>
      <c r="OLT28" s="108"/>
      <c r="OLU28" s="108"/>
      <c r="OLV28" s="108"/>
      <c r="OLW28" s="108"/>
      <c r="OLX28" s="108"/>
      <c r="OLY28" s="108"/>
      <c r="OLZ28" s="108"/>
      <c r="OMA28" s="108"/>
      <c r="OMB28" s="108"/>
      <c r="OMC28" s="108"/>
      <c r="OMD28" s="108"/>
      <c r="OME28" s="108"/>
      <c r="OMF28" s="108"/>
      <c r="OMG28" s="108"/>
      <c r="OMH28" s="108"/>
      <c r="OMI28" s="108"/>
      <c r="OMJ28" s="108"/>
      <c r="OMK28" s="108"/>
      <c r="OML28" s="108"/>
      <c r="OMM28" s="108"/>
      <c r="OMN28" s="108"/>
      <c r="OMO28" s="108"/>
      <c r="OMP28" s="108"/>
      <c r="OMQ28" s="108"/>
      <c r="OMR28" s="108"/>
      <c r="OMS28" s="108"/>
      <c r="OMT28" s="108"/>
      <c r="OMU28" s="108"/>
      <c r="OMV28" s="108"/>
      <c r="OMW28" s="108"/>
      <c r="OMX28" s="108"/>
      <c r="OMY28" s="108"/>
      <c r="OMZ28" s="108"/>
      <c r="ONA28" s="108"/>
      <c r="ONB28" s="108"/>
      <c r="ONC28" s="108"/>
      <c r="OND28" s="108"/>
      <c r="ONE28" s="108"/>
      <c r="ONF28" s="108"/>
      <c r="ONG28" s="108"/>
      <c r="ONH28" s="108"/>
      <c r="ONI28" s="108"/>
      <c r="ONJ28" s="108"/>
      <c r="ONK28" s="108"/>
      <c r="ONL28" s="108"/>
      <c r="ONM28" s="108"/>
      <c r="ONN28" s="108"/>
      <c r="ONO28" s="108"/>
      <c r="ONP28" s="108"/>
      <c r="ONQ28" s="108"/>
      <c r="ONR28" s="108"/>
      <c r="ONS28" s="108"/>
      <c r="ONT28" s="108"/>
      <c r="ONU28" s="108"/>
      <c r="ONV28" s="108"/>
      <c r="ONW28" s="108"/>
      <c r="ONX28" s="108"/>
      <c r="ONY28" s="108"/>
      <c r="ONZ28" s="108"/>
      <c r="OOA28" s="108"/>
      <c r="OOB28" s="108"/>
      <c r="OOC28" s="108"/>
      <c r="OOD28" s="108"/>
      <c r="OOE28" s="108"/>
      <c r="OOF28" s="108"/>
      <c r="OOG28" s="108"/>
      <c r="OOH28" s="108"/>
      <c r="OOI28" s="108"/>
      <c r="OOJ28" s="108"/>
      <c r="OOK28" s="108"/>
      <c r="OOL28" s="108"/>
      <c r="OOM28" s="108"/>
      <c r="OON28" s="108"/>
      <c r="OOO28" s="108"/>
      <c r="OOP28" s="108"/>
      <c r="OOQ28" s="108"/>
      <c r="OOR28" s="108"/>
      <c r="OOS28" s="108"/>
      <c r="OOT28" s="108"/>
      <c r="OOU28" s="108"/>
      <c r="OOV28" s="108"/>
      <c r="OOW28" s="108"/>
      <c r="OOX28" s="108"/>
      <c r="OOY28" s="108"/>
      <c r="OOZ28" s="108"/>
      <c r="OPA28" s="108"/>
      <c r="OPB28" s="108"/>
      <c r="OPC28" s="108"/>
      <c r="OPD28" s="108"/>
      <c r="OPE28" s="108"/>
      <c r="OPF28" s="108"/>
      <c r="OPG28" s="108"/>
      <c r="OPH28" s="108"/>
      <c r="OPI28" s="108"/>
      <c r="OPJ28" s="108"/>
      <c r="OPK28" s="108"/>
      <c r="OPL28" s="108"/>
      <c r="OPM28" s="108"/>
      <c r="OPN28" s="108"/>
      <c r="OPO28" s="108"/>
      <c r="OPP28" s="108"/>
      <c r="OPQ28" s="108"/>
      <c r="OPR28" s="108"/>
      <c r="OPS28" s="108"/>
      <c r="OPT28" s="108"/>
      <c r="OPU28" s="108"/>
      <c r="OPV28" s="108"/>
      <c r="OPW28" s="108"/>
      <c r="OPX28" s="108"/>
      <c r="OPY28" s="108"/>
      <c r="OPZ28" s="108"/>
      <c r="OQA28" s="108"/>
      <c r="OQB28" s="108"/>
      <c r="OQC28" s="108"/>
      <c r="OQD28" s="108"/>
      <c r="OQE28" s="108"/>
      <c r="OQF28" s="108"/>
      <c r="OQG28" s="108"/>
      <c r="OQH28" s="108"/>
      <c r="OQI28" s="108"/>
      <c r="OQJ28" s="108"/>
      <c r="OQK28" s="108"/>
      <c r="OQL28" s="108"/>
      <c r="OQM28" s="108"/>
      <c r="OQN28" s="108"/>
      <c r="OQO28" s="108"/>
      <c r="OQP28" s="108"/>
      <c r="OQQ28" s="108"/>
      <c r="OQR28" s="108"/>
      <c r="OQS28" s="108"/>
      <c r="OQT28" s="108"/>
      <c r="OQU28" s="108"/>
      <c r="OQV28" s="108"/>
      <c r="OQW28" s="108"/>
      <c r="OQX28" s="108"/>
      <c r="OQY28" s="108"/>
      <c r="OQZ28" s="108"/>
      <c r="ORA28" s="108"/>
      <c r="ORB28" s="108"/>
      <c r="ORC28" s="108"/>
      <c r="ORD28" s="108"/>
      <c r="ORE28" s="108"/>
      <c r="ORF28" s="108"/>
      <c r="ORG28" s="108"/>
      <c r="ORH28" s="108"/>
      <c r="ORI28" s="108"/>
      <c r="ORJ28" s="108"/>
      <c r="ORK28" s="108"/>
      <c r="ORL28" s="108"/>
      <c r="ORM28" s="108"/>
      <c r="ORN28" s="108"/>
      <c r="ORO28" s="108"/>
      <c r="ORP28" s="108"/>
      <c r="ORQ28" s="108"/>
      <c r="ORR28" s="108"/>
      <c r="ORS28" s="108"/>
      <c r="ORT28" s="108"/>
      <c r="ORU28" s="108"/>
      <c r="ORV28" s="108"/>
      <c r="ORW28" s="108"/>
      <c r="ORX28" s="108"/>
      <c r="ORY28" s="108"/>
      <c r="ORZ28" s="108"/>
      <c r="OSA28" s="108"/>
      <c r="OSB28" s="108"/>
      <c r="OSC28" s="108"/>
      <c r="OSD28" s="108"/>
      <c r="OSE28" s="108"/>
      <c r="OSF28" s="108"/>
      <c r="OSG28" s="108"/>
      <c r="OSH28" s="108"/>
      <c r="OSI28" s="108"/>
      <c r="OSJ28" s="108"/>
      <c r="OSK28" s="108"/>
      <c r="OSL28" s="108"/>
      <c r="OSM28" s="108"/>
      <c r="OSN28" s="108"/>
      <c r="OSO28" s="108"/>
      <c r="OSP28" s="108"/>
      <c r="OSQ28" s="108"/>
      <c r="OSR28" s="108"/>
      <c r="OSS28" s="108"/>
      <c r="OST28" s="108"/>
      <c r="OSU28" s="108"/>
      <c r="OSV28" s="108"/>
      <c r="OSW28" s="108"/>
      <c r="OSX28" s="108"/>
      <c r="OSY28" s="108"/>
      <c r="OSZ28" s="108"/>
      <c r="OTA28" s="108"/>
      <c r="OTB28" s="108"/>
      <c r="OTC28" s="108"/>
      <c r="OTD28" s="108"/>
      <c r="OTE28" s="108"/>
      <c r="OTF28" s="108"/>
      <c r="OTG28" s="108"/>
      <c r="OTH28" s="108"/>
      <c r="OTI28" s="108"/>
      <c r="OTJ28" s="108"/>
      <c r="OTK28" s="108"/>
      <c r="OTL28" s="108"/>
      <c r="OTM28" s="108"/>
      <c r="OTN28" s="108"/>
      <c r="OTO28" s="108"/>
      <c r="OTP28" s="108"/>
      <c r="OTQ28" s="108"/>
      <c r="OTR28" s="108"/>
      <c r="OTS28" s="108"/>
      <c r="OTT28" s="108"/>
      <c r="OTU28" s="108"/>
      <c r="OTV28" s="108"/>
      <c r="OTW28" s="108"/>
      <c r="OTX28" s="108"/>
      <c r="OTY28" s="108"/>
      <c r="OTZ28" s="108"/>
      <c r="OUA28" s="108"/>
      <c r="OUB28" s="108"/>
      <c r="OUC28" s="108"/>
      <c r="OUD28" s="108"/>
      <c r="OUE28" s="108"/>
      <c r="OUF28" s="108"/>
      <c r="OUG28" s="108"/>
      <c r="OUH28" s="108"/>
      <c r="OUI28" s="108"/>
      <c r="OUJ28" s="108"/>
      <c r="OUK28" s="108"/>
      <c r="OUL28" s="108"/>
      <c r="OUM28" s="108"/>
      <c r="OUN28" s="108"/>
      <c r="OUO28" s="108"/>
      <c r="OUP28" s="108"/>
      <c r="OUQ28" s="108"/>
      <c r="OUR28" s="108"/>
      <c r="OUS28" s="108"/>
      <c r="OUT28" s="108"/>
      <c r="OUU28" s="108"/>
      <c r="OUV28" s="108"/>
      <c r="OUW28" s="108"/>
      <c r="OUX28" s="108"/>
      <c r="OUY28" s="108"/>
      <c r="OUZ28" s="108"/>
      <c r="OVA28" s="108"/>
      <c r="OVB28" s="108"/>
      <c r="OVC28" s="108"/>
      <c r="OVD28" s="108"/>
      <c r="OVE28" s="108"/>
      <c r="OVF28" s="108"/>
      <c r="OVG28" s="108"/>
      <c r="OVH28" s="108"/>
      <c r="OVI28" s="108"/>
      <c r="OVJ28" s="108"/>
      <c r="OVK28" s="108"/>
      <c r="OVL28" s="108"/>
      <c r="OVM28" s="108"/>
      <c r="OVN28" s="108"/>
      <c r="OVO28" s="108"/>
      <c r="OVP28" s="108"/>
      <c r="OVQ28" s="108"/>
      <c r="OVR28" s="108"/>
      <c r="OVS28" s="108"/>
      <c r="OVT28" s="108"/>
      <c r="OVU28" s="108"/>
      <c r="OVV28" s="108"/>
      <c r="OVW28" s="108"/>
      <c r="OVX28" s="108"/>
      <c r="OVY28" s="108"/>
      <c r="OVZ28" s="108"/>
      <c r="OWA28" s="108"/>
      <c r="OWB28" s="108"/>
      <c r="OWC28" s="108"/>
      <c r="OWD28" s="108"/>
      <c r="OWE28" s="108"/>
      <c r="OWF28" s="108"/>
      <c r="OWG28" s="108"/>
      <c r="OWH28" s="108"/>
      <c r="OWI28" s="108"/>
      <c r="OWJ28" s="108"/>
      <c r="OWK28" s="108"/>
      <c r="OWL28" s="108"/>
      <c r="OWM28" s="108"/>
      <c r="OWN28" s="108"/>
      <c r="OWO28" s="108"/>
      <c r="OWP28" s="108"/>
      <c r="OWQ28" s="108"/>
      <c r="OWR28" s="108"/>
      <c r="OWS28" s="108"/>
      <c r="OWT28" s="108"/>
      <c r="OWU28" s="108"/>
      <c r="OWV28" s="108"/>
      <c r="OWW28" s="108"/>
      <c r="OWX28" s="108"/>
      <c r="OWY28" s="108"/>
      <c r="OWZ28" s="108"/>
      <c r="OXA28" s="108"/>
      <c r="OXB28" s="108"/>
      <c r="OXC28" s="108"/>
      <c r="OXD28" s="108"/>
      <c r="OXE28" s="108"/>
      <c r="OXF28" s="108"/>
      <c r="OXG28" s="108"/>
      <c r="OXH28" s="108"/>
      <c r="OXI28" s="108"/>
      <c r="OXJ28" s="108"/>
      <c r="OXK28" s="108"/>
      <c r="OXL28" s="108"/>
      <c r="OXM28" s="108"/>
      <c r="OXN28" s="108"/>
      <c r="OXO28" s="108"/>
      <c r="OXP28" s="108"/>
      <c r="OXQ28" s="108"/>
      <c r="OXR28" s="108"/>
      <c r="OXS28" s="108"/>
      <c r="OXT28" s="108"/>
      <c r="OXU28" s="108"/>
      <c r="OXV28" s="108"/>
      <c r="OXW28" s="108"/>
      <c r="OXX28" s="108"/>
      <c r="OXY28" s="108"/>
      <c r="OXZ28" s="108"/>
      <c r="OYA28" s="108"/>
      <c r="OYB28" s="108"/>
      <c r="OYC28" s="108"/>
      <c r="OYD28" s="108"/>
      <c r="OYE28" s="108"/>
      <c r="OYF28" s="108"/>
      <c r="OYG28" s="108"/>
      <c r="OYH28" s="108"/>
      <c r="OYI28" s="108"/>
      <c r="OYJ28" s="108"/>
      <c r="OYK28" s="108"/>
      <c r="OYL28" s="108"/>
      <c r="OYM28" s="108"/>
      <c r="OYN28" s="108"/>
      <c r="OYO28" s="108"/>
      <c r="OYP28" s="108"/>
      <c r="OYQ28" s="108"/>
      <c r="OYR28" s="108"/>
      <c r="OYS28" s="108"/>
      <c r="OYT28" s="108"/>
      <c r="OYU28" s="108"/>
      <c r="OYV28" s="108"/>
      <c r="OYW28" s="108"/>
      <c r="OYX28" s="108"/>
      <c r="OYY28" s="108"/>
      <c r="OYZ28" s="108"/>
      <c r="OZA28" s="108"/>
      <c r="OZB28" s="108"/>
      <c r="OZC28" s="108"/>
      <c r="OZD28" s="108"/>
      <c r="OZE28" s="108"/>
      <c r="OZF28" s="108"/>
      <c r="OZG28" s="108"/>
      <c r="OZH28" s="108"/>
      <c r="OZI28" s="108"/>
      <c r="OZJ28" s="108"/>
      <c r="OZK28" s="108"/>
      <c r="OZL28" s="108"/>
      <c r="OZM28" s="108"/>
      <c r="OZN28" s="108"/>
      <c r="OZO28" s="108"/>
      <c r="OZP28" s="108"/>
      <c r="OZQ28" s="108"/>
      <c r="OZR28" s="108"/>
      <c r="OZS28" s="108"/>
      <c r="OZT28" s="108"/>
      <c r="OZU28" s="108"/>
      <c r="OZV28" s="108"/>
      <c r="OZW28" s="108"/>
      <c r="OZX28" s="108"/>
      <c r="OZY28" s="108"/>
      <c r="OZZ28" s="108"/>
      <c r="PAA28" s="108"/>
      <c r="PAB28" s="108"/>
      <c r="PAC28" s="108"/>
      <c r="PAD28" s="108"/>
      <c r="PAE28" s="108"/>
      <c r="PAF28" s="108"/>
      <c r="PAG28" s="108"/>
      <c r="PAH28" s="108"/>
      <c r="PAI28" s="108"/>
      <c r="PAJ28" s="108"/>
      <c r="PAK28" s="108"/>
      <c r="PAL28" s="108"/>
      <c r="PAM28" s="108"/>
      <c r="PAN28" s="108"/>
      <c r="PAO28" s="108"/>
      <c r="PAP28" s="108"/>
      <c r="PAQ28" s="108"/>
      <c r="PAR28" s="108"/>
      <c r="PAS28" s="108"/>
      <c r="PAT28" s="108"/>
      <c r="PAU28" s="108"/>
      <c r="PAV28" s="108"/>
      <c r="PAW28" s="108"/>
      <c r="PAX28" s="108"/>
      <c r="PAY28" s="108"/>
      <c r="PAZ28" s="108"/>
      <c r="PBA28" s="108"/>
      <c r="PBB28" s="108"/>
      <c r="PBC28" s="108"/>
      <c r="PBD28" s="108"/>
      <c r="PBE28" s="108"/>
      <c r="PBF28" s="108"/>
      <c r="PBG28" s="108"/>
      <c r="PBH28" s="108"/>
      <c r="PBI28" s="108"/>
      <c r="PBJ28" s="108"/>
      <c r="PBK28" s="108"/>
      <c r="PBL28" s="108"/>
      <c r="PBM28" s="108"/>
      <c r="PBN28" s="108"/>
      <c r="PBO28" s="108"/>
      <c r="PBP28" s="108"/>
      <c r="PBQ28" s="108"/>
      <c r="PBR28" s="108"/>
      <c r="PBS28" s="108"/>
      <c r="PBT28" s="108"/>
      <c r="PBU28" s="108"/>
      <c r="PBV28" s="108"/>
      <c r="PBW28" s="108"/>
      <c r="PBX28" s="108"/>
      <c r="PBY28" s="108"/>
      <c r="PBZ28" s="108"/>
      <c r="PCA28" s="108"/>
      <c r="PCB28" s="108"/>
      <c r="PCC28" s="108"/>
      <c r="PCD28" s="108"/>
      <c r="PCE28" s="108"/>
      <c r="PCF28" s="108"/>
      <c r="PCG28" s="108"/>
      <c r="PCH28" s="108"/>
      <c r="PCI28" s="108"/>
      <c r="PCJ28" s="108"/>
      <c r="PCK28" s="108"/>
      <c r="PCL28" s="108"/>
      <c r="PCM28" s="108"/>
      <c r="PCN28" s="108"/>
      <c r="PCO28" s="108"/>
      <c r="PCP28" s="108"/>
      <c r="PCQ28" s="108"/>
      <c r="PCR28" s="108"/>
      <c r="PCS28" s="108"/>
      <c r="PCT28" s="108"/>
      <c r="PCU28" s="108"/>
      <c r="PCV28" s="108"/>
      <c r="PCW28" s="108"/>
      <c r="PCX28" s="108"/>
      <c r="PCY28" s="108"/>
      <c r="PCZ28" s="108"/>
      <c r="PDA28" s="108"/>
      <c r="PDB28" s="108"/>
      <c r="PDC28" s="108"/>
      <c r="PDD28" s="108"/>
      <c r="PDE28" s="108"/>
      <c r="PDF28" s="108"/>
      <c r="PDG28" s="108"/>
      <c r="PDH28" s="108"/>
      <c r="PDI28" s="108"/>
      <c r="PDJ28" s="108"/>
      <c r="PDK28" s="108"/>
      <c r="PDL28" s="108"/>
      <c r="PDM28" s="108"/>
      <c r="PDN28" s="108"/>
      <c r="PDO28" s="108"/>
      <c r="PDP28" s="108"/>
      <c r="PDQ28" s="108"/>
      <c r="PDR28" s="108"/>
      <c r="PDS28" s="108"/>
      <c r="PDT28" s="108"/>
      <c r="PDU28" s="108"/>
      <c r="PDV28" s="108"/>
      <c r="PDW28" s="108"/>
      <c r="PDX28" s="108"/>
      <c r="PDY28" s="108"/>
      <c r="PDZ28" s="108"/>
      <c r="PEA28" s="108"/>
      <c r="PEB28" s="108"/>
      <c r="PEC28" s="108"/>
      <c r="PED28" s="108"/>
      <c r="PEE28" s="108"/>
      <c r="PEF28" s="108"/>
      <c r="PEG28" s="108"/>
      <c r="PEH28" s="108"/>
      <c r="PEI28" s="108"/>
      <c r="PEJ28" s="108"/>
      <c r="PEK28" s="108"/>
      <c r="PEL28" s="108"/>
      <c r="PEM28" s="108"/>
      <c r="PEN28" s="108"/>
      <c r="PEO28" s="108"/>
      <c r="PEP28" s="108"/>
      <c r="PEQ28" s="108"/>
      <c r="PER28" s="108"/>
      <c r="PES28" s="108"/>
      <c r="PET28" s="108"/>
      <c r="PEU28" s="108"/>
      <c r="PEV28" s="108"/>
      <c r="PEW28" s="108"/>
      <c r="PEX28" s="108"/>
      <c r="PEY28" s="108"/>
      <c r="PEZ28" s="108"/>
      <c r="PFA28" s="108"/>
      <c r="PFB28" s="108"/>
      <c r="PFC28" s="108"/>
      <c r="PFD28" s="108"/>
      <c r="PFE28" s="108"/>
      <c r="PFF28" s="108"/>
      <c r="PFG28" s="108"/>
      <c r="PFH28" s="108"/>
      <c r="PFI28" s="108"/>
      <c r="PFJ28" s="108"/>
      <c r="PFK28" s="108"/>
      <c r="PFL28" s="108"/>
      <c r="PFM28" s="108"/>
      <c r="PFN28" s="108"/>
      <c r="PFO28" s="108"/>
      <c r="PFP28" s="108"/>
      <c r="PFQ28" s="108"/>
      <c r="PFR28" s="108"/>
      <c r="PFS28" s="108"/>
      <c r="PFT28" s="108"/>
      <c r="PFU28" s="108"/>
      <c r="PFV28" s="108"/>
      <c r="PFW28" s="108"/>
      <c r="PFX28" s="108"/>
      <c r="PFY28" s="108"/>
      <c r="PFZ28" s="108"/>
      <c r="PGA28" s="108"/>
      <c r="PGB28" s="108"/>
      <c r="PGC28" s="108"/>
      <c r="PGD28" s="108"/>
      <c r="PGE28" s="108"/>
      <c r="PGF28" s="108"/>
      <c r="PGG28" s="108"/>
      <c r="PGH28" s="108"/>
      <c r="PGI28" s="108"/>
      <c r="PGJ28" s="108"/>
      <c r="PGK28" s="108"/>
      <c r="PGL28" s="108"/>
      <c r="PGM28" s="108"/>
      <c r="PGN28" s="108"/>
      <c r="PGO28" s="108"/>
      <c r="PGP28" s="108"/>
      <c r="PGQ28" s="108"/>
      <c r="PGR28" s="108"/>
      <c r="PGS28" s="108"/>
      <c r="PGT28" s="108"/>
      <c r="PGU28" s="108"/>
      <c r="PGV28" s="108"/>
      <c r="PGW28" s="108"/>
      <c r="PGX28" s="108"/>
      <c r="PGY28" s="108"/>
      <c r="PGZ28" s="108"/>
      <c r="PHA28" s="108"/>
      <c r="PHB28" s="108"/>
      <c r="PHC28" s="108"/>
      <c r="PHD28" s="108"/>
      <c r="PHE28" s="108"/>
      <c r="PHF28" s="108"/>
      <c r="PHG28" s="108"/>
      <c r="PHH28" s="108"/>
      <c r="PHI28" s="108"/>
      <c r="PHJ28" s="108"/>
      <c r="PHK28" s="108"/>
      <c r="PHL28" s="108"/>
      <c r="PHM28" s="108"/>
      <c r="PHN28" s="108"/>
      <c r="PHO28" s="108"/>
      <c r="PHP28" s="108"/>
      <c r="PHQ28" s="108"/>
      <c r="PHR28" s="108"/>
      <c r="PHS28" s="108"/>
      <c r="PHT28" s="108"/>
      <c r="PHU28" s="108"/>
      <c r="PHV28" s="108"/>
      <c r="PHW28" s="108"/>
      <c r="PHX28" s="108"/>
      <c r="PHY28" s="108"/>
      <c r="PHZ28" s="108"/>
      <c r="PIA28" s="108"/>
      <c r="PIB28" s="108"/>
      <c r="PIC28" s="108"/>
      <c r="PID28" s="108"/>
      <c r="PIE28" s="108"/>
      <c r="PIF28" s="108"/>
      <c r="PIG28" s="108"/>
      <c r="PIH28" s="108"/>
      <c r="PII28" s="108"/>
      <c r="PIJ28" s="108"/>
      <c r="PIK28" s="108"/>
      <c r="PIL28" s="108"/>
      <c r="PIM28" s="108"/>
      <c r="PIN28" s="108"/>
      <c r="PIO28" s="108"/>
      <c r="PIP28" s="108"/>
      <c r="PIQ28" s="108"/>
      <c r="PIR28" s="108"/>
      <c r="PIS28" s="108"/>
      <c r="PIT28" s="108"/>
      <c r="PIU28" s="108"/>
      <c r="PIV28" s="108"/>
      <c r="PIW28" s="108"/>
      <c r="PIX28" s="108"/>
      <c r="PIY28" s="108"/>
      <c r="PIZ28" s="108"/>
      <c r="PJA28" s="108"/>
      <c r="PJB28" s="108"/>
      <c r="PJC28" s="108"/>
      <c r="PJD28" s="108"/>
      <c r="PJE28" s="108"/>
      <c r="PJF28" s="108"/>
      <c r="PJG28" s="108"/>
      <c r="PJH28" s="108"/>
      <c r="PJI28" s="108"/>
      <c r="PJJ28" s="108"/>
      <c r="PJK28" s="108"/>
      <c r="PJL28" s="108"/>
      <c r="PJM28" s="108"/>
      <c r="PJN28" s="108"/>
      <c r="PJO28" s="108"/>
      <c r="PJP28" s="108"/>
      <c r="PJQ28" s="108"/>
      <c r="PJR28" s="108"/>
      <c r="PJS28" s="108"/>
      <c r="PJT28" s="108"/>
      <c r="PJU28" s="108"/>
      <c r="PJV28" s="108"/>
      <c r="PJW28" s="108"/>
      <c r="PJX28" s="108"/>
      <c r="PJY28" s="108"/>
      <c r="PJZ28" s="108"/>
      <c r="PKA28" s="108"/>
      <c r="PKB28" s="108"/>
      <c r="PKC28" s="108"/>
      <c r="PKD28" s="108"/>
      <c r="PKE28" s="108"/>
      <c r="PKF28" s="108"/>
      <c r="PKG28" s="108"/>
      <c r="PKH28" s="108"/>
      <c r="PKI28" s="108"/>
      <c r="PKJ28" s="108"/>
      <c r="PKK28" s="108"/>
      <c r="PKL28" s="108"/>
      <c r="PKM28" s="108"/>
      <c r="PKN28" s="108"/>
      <c r="PKO28" s="108"/>
      <c r="PKP28" s="108"/>
      <c r="PKQ28" s="108"/>
      <c r="PKR28" s="108"/>
      <c r="PKS28" s="108"/>
      <c r="PKT28" s="108"/>
      <c r="PKU28" s="108"/>
      <c r="PKV28" s="108"/>
      <c r="PKW28" s="108"/>
      <c r="PKX28" s="108"/>
      <c r="PKY28" s="108"/>
      <c r="PKZ28" s="108"/>
      <c r="PLA28" s="108"/>
      <c r="PLB28" s="108"/>
      <c r="PLC28" s="108"/>
      <c r="PLD28" s="108"/>
      <c r="PLE28" s="108"/>
      <c r="PLF28" s="108"/>
      <c r="PLG28" s="108"/>
      <c r="PLH28" s="108"/>
      <c r="PLI28" s="108"/>
      <c r="PLJ28" s="108"/>
      <c r="PLK28" s="108"/>
      <c r="PLL28" s="108"/>
      <c r="PLM28" s="108"/>
      <c r="PLN28" s="108"/>
      <c r="PLO28" s="108"/>
      <c r="PLP28" s="108"/>
      <c r="PLQ28" s="108"/>
      <c r="PLR28" s="108"/>
      <c r="PLS28" s="108"/>
      <c r="PLT28" s="108"/>
      <c r="PLU28" s="108"/>
      <c r="PLV28" s="108"/>
      <c r="PLW28" s="108"/>
      <c r="PLX28" s="108"/>
      <c r="PLY28" s="108"/>
      <c r="PLZ28" s="108"/>
      <c r="PMA28" s="108"/>
      <c r="PMB28" s="108"/>
      <c r="PMC28" s="108"/>
      <c r="PMD28" s="108"/>
      <c r="PME28" s="108"/>
      <c r="PMF28" s="108"/>
      <c r="PMG28" s="108"/>
      <c r="PMH28" s="108"/>
      <c r="PMI28" s="108"/>
      <c r="PMJ28" s="108"/>
      <c r="PMK28" s="108"/>
      <c r="PML28" s="108"/>
      <c r="PMM28" s="108"/>
      <c r="PMN28" s="108"/>
      <c r="PMO28" s="108"/>
      <c r="PMP28" s="108"/>
      <c r="PMQ28" s="108"/>
      <c r="PMR28" s="108"/>
      <c r="PMS28" s="108"/>
      <c r="PMT28" s="108"/>
      <c r="PMU28" s="108"/>
      <c r="PMV28" s="108"/>
      <c r="PMW28" s="108"/>
      <c r="PMX28" s="108"/>
      <c r="PMY28" s="108"/>
      <c r="PMZ28" s="108"/>
      <c r="PNA28" s="108"/>
      <c r="PNB28" s="108"/>
      <c r="PNC28" s="108"/>
      <c r="PND28" s="108"/>
      <c r="PNE28" s="108"/>
      <c r="PNF28" s="108"/>
      <c r="PNG28" s="108"/>
      <c r="PNH28" s="108"/>
      <c r="PNI28" s="108"/>
      <c r="PNJ28" s="108"/>
      <c r="PNK28" s="108"/>
      <c r="PNL28" s="108"/>
      <c r="PNM28" s="108"/>
      <c r="PNN28" s="108"/>
      <c r="PNO28" s="108"/>
      <c r="PNP28" s="108"/>
      <c r="PNQ28" s="108"/>
      <c r="PNR28" s="108"/>
      <c r="PNS28" s="108"/>
      <c r="PNT28" s="108"/>
      <c r="PNU28" s="108"/>
      <c r="PNV28" s="108"/>
      <c r="PNW28" s="108"/>
      <c r="PNX28" s="108"/>
      <c r="PNY28" s="108"/>
      <c r="PNZ28" s="108"/>
      <c r="POA28" s="108"/>
      <c r="POB28" s="108"/>
      <c r="POC28" s="108"/>
      <c r="POD28" s="108"/>
      <c r="POE28" s="108"/>
      <c r="POF28" s="108"/>
      <c r="POG28" s="108"/>
      <c r="POH28" s="108"/>
      <c r="POI28" s="108"/>
      <c r="POJ28" s="108"/>
      <c r="POK28" s="108"/>
      <c r="POL28" s="108"/>
      <c r="POM28" s="108"/>
      <c r="PON28" s="108"/>
      <c r="POO28" s="108"/>
      <c r="POP28" s="108"/>
      <c r="POQ28" s="108"/>
      <c r="POR28" s="108"/>
      <c r="POS28" s="108"/>
      <c r="POT28" s="108"/>
      <c r="POU28" s="108"/>
      <c r="POV28" s="108"/>
      <c r="POW28" s="108"/>
      <c r="POX28" s="108"/>
      <c r="POY28" s="108"/>
      <c r="POZ28" s="108"/>
      <c r="PPA28" s="108"/>
      <c r="PPB28" s="108"/>
      <c r="PPC28" s="108"/>
      <c r="PPD28" s="108"/>
      <c r="PPE28" s="108"/>
      <c r="PPF28" s="108"/>
      <c r="PPG28" s="108"/>
      <c r="PPH28" s="108"/>
      <c r="PPI28" s="108"/>
      <c r="PPJ28" s="108"/>
      <c r="PPK28" s="108"/>
      <c r="PPL28" s="108"/>
      <c r="PPM28" s="108"/>
      <c r="PPN28" s="108"/>
      <c r="PPO28" s="108"/>
      <c r="PPP28" s="108"/>
      <c r="PPQ28" s="108"/>
      <c r="PPR28" s="108"/>
      <c r="PPS28" s="108"/>
      <c r="PPT28" s="108"/>
      <c r="PPU28" s="108"/>
      <c r="PPV28" s="108"/>
      <c r="PPW28" s="108"/>
      <c r="PPX28" s="108"/>
      <c r="PPY28" s="108"/>
      <c r="PPZ28" s="108"/>
      <c r="PQA28" s="108"/>
      <c r="PQB28" s="108"/>
      <c r="PQC28" s="108"/>
      <c r="PQD28" s="108"/>
      <c r="PQE28" s="108"/>
      <c r="PQF28" s="108"/>
      <c r="PQG28" s="108"/>
      <c r="PQH28" s="108"/>
      <c r="PQI28" s="108"/>
      <c r="PQJ28" s="108"/>
      <c r="PQK28" s="108"/>
      <c r="PQL28" s="108"/>
      <c r="PQM28" s="108"/>
      <c r="PQN28" s="108"/>
      <c r="PQO28" s="108"/>
      <c r="PQP28" s="108"/>
      <c r="PQQ28" s="108"/>
      <c r="PQR28" s="108"/>
      <c r="PQS28" s="108"/>
      <c r="PQT28" s="108"/>
      <c r="PQU28" s="108"/>
      <c r="PQV28" s="108"/>
      <c r="PQW28" s="108"/>
      <c r="PQX28" s="108"/>
      <c r="PQY28" s="108"/>
      <c r="PQZ28" s="108"/>
      <c r="PRA28" s="108"/>
      <c r="PRB28" s="108"/>
      <c r="PRC28" s="108"/>
      <c r="PRD28" s="108"/>
      <c r="PRE28" s="108"/>
      <c r="PRF28" s="108"/>
      <c r="PRG28" s="108"/>
      <c r="PRH28" s="108"/>
      <c r="PRI28" s="108"/>
      <c r="PRJ28" s="108"/>
      <c r="PRK28" s="108"/>
      <c r="PRL28" s="108"/>
      <c r="PRM28" s="108"/>
      <c r="PRN28" s="108"/>
      <c r="PRO28" s="108"/>
      <c r="PRP28" s="108"/>
      <c r="PRQ28" s="108"/>
      <c r="PRR28" s="108"/>
      <c r="PRS28" s="108"/>
      <c r="PRT28" s="108"/>
      <c r="PRU28" s="108"/>
      <c r="PRV28" s="108"/>
      <c r="PRW28" s="108"/>
      <c r="PRX28" s="108"/>
      <c r="PRY28" s="108"/>
      <c r="PRZ28" s="108"/>
      <c r="PSA28" s="108"/>
      <c r="PSB28" s="108"/>
      <c r="PSC28" s="108"/>
      <c r="PSD28" s="108"/>
      <c r="PSE28" s="108"/>
      <c r="PSF28" s="108"/>
      <c r="PSG28" s="108"/>
      <c r="PSH28" s="108"/>
      <c r="PSI28" s="108"/>
      <c r="PSJ28" s="108"/>
      <c r="PSK28" s="108"/>
      <c r="PSL28" s="108"/>
      <c r="PSM28" s="108"/>
      <c r="PSN28" s="108"/>
      <c r="PSO28" s="108"/>
      <c r="PSP28" s="108"/>
      <c r="PSQ28" s="108"/>
      <c r="PSR28" s="108"/>
      <c r="PSS28" s="108"/>
      <c r="PST28" s="108"/>
      <c r="PSU28" s="108"/>
      <c r="PSV28" s="108"/>
      <c r="PSW28" s="108"/>
      <c r="PSX28" s="108"/>
      <c r="PSY28" s="108"/>
      <c r="PSZ28" s="108"/>
      <c r="PTA28" s="108"/>
      <c r="PTB28" s="108"/>
      <c r="PTC28" s="108"/>
      <c r="PTD28" s="108"/>
      <c r="PTE28" s="108"/>
      <c r="PTF28" s="108"/>
      <c r="PTG28" s="108"/>
      <c r="PTH28" s="108"/>
      <c r="PTI28" s="108"/>
      <c r="PTJ28" s="108"/>
      <c r="PTK28" s="108"/>
      <c r="PTL28" s="108"/>
      <c r="PTM28" s="108"/>
      <c r="PTN28" s="108"/>
      <c r="PTO28" s="108"/>
      <c r="PTP28" s="108"/>
      <c r="PTQ28" s="108"/>
      <c r="PTR28" s="108"/>
      <c r="PTS28" s="108"/>
      <c r="PTT28" s="108"/>
      <c r="PTU28" s="108"/>
      <c r="PTV28" s="108"/>
      <c r="PTW28" s="108"/>
      <c r="PTX28" s="108"/>
      <c r="PTY28" s="108"/>
      <c r="PTZ28" s="108"/>
      <c r="PUA28" s="108"/>
      <c r="PUB28" s="108"/>
      <c r="PUC28" s="108"/>
      <c r="PUD28" s="108"/>
      <c r="PUE28" s="108"/>
      <c r="PUF28" s="108"/>
      <c r="PUG28" s="108"/>
      <c r="PUH28" s="108"/>
      <c r="PUI28" s="108"/>
      <c r="PUJ28" s="108"/>
      <c r="PUK28" s="108"/>
      <c r="PUL28" s="108"/>
      <c r="PUM28" s="108"/>
      <c r="PUN28" s="108"/>
      <c r="PUO28" s="108"/>
      <c r="PUP28" s="108"/>
      <c r="PUQ28" s="108"/>
      <c r="PUR28" s="108"/>
      <c r="PUS28" s="108"/>
      <c r="PUT28" s="108"/>
      <c r="PUU28" s="108"/>
      <c r="PUV28" s="108"/>
      <c r="PUW28" s="108"/>
      <c r="PUX28" s="108"/>
      <c r="PUY28" s="108"/>
      <c r="PUZ28" s="108"/>
      <c r="PVA28" s="108"/>
      <c r="PVB28" s="108"/>
      <c r="PVC28" s="108"/>
      <c r="PVD28" s="108"/>
      <c r="PVE28" s="108"/>
      <c r="PVF28" s="108"/>
      <c r="PVG28" s="108"/>
      <c r="PVH28" s="108"/>
      <c r="PVI28" s="108"/>
      <c r="PVJ28" s="108"/>
      <c r="PVK28" s="108"/>
      <c r="PVL28" s="108"/>
      <c r="PVM28" s="108"/>
      <c r="PVN28" s="108"/>
      <c r="PVO28" s="108"/>
      <c r="PVP28" s="108"/>
      <c r="PVQ28" s="108"/>
      <c r="PVR28" s="108"/>
      <c r="PVS28" s="108"/>
      <c r="PVT28" s="108"/>
      <c r="PVU28" s="108"/>
      <c r="PVV28" s="108"/>
      <c r="PVW28" s="108"/>
      <c r="PVX28" s="108"/>
      <c r="PVY28" s="108"/>
      <c r="PVZ28" s="108"/>
      <c r="PWA28" s="108"/>
      <c r="PWB28" s="108"/>
      <c r="PWC28" s="108"/>
      <c r="PWD28" s="108"/>
      <c r="PWE28" s="108"/>
      <c r="PWF28" s="108"/>
      <c r="PWG28" s="108"/>
      <c r="PWH28" s="108"/>
      <c r="PWI28" s="108"/>
      <c r="PWJ28" s="108"/>
      <c r="PWK28" s="108"/>
      <c r="PWL28" s="108"/>
      <c r="PWM28" s="108"/>
      <c r="PWN28" s="108"/>
      <c r="PWO28" s="108"/>
      <c r="PWP28" s="108"/>
      <c r="PWQ28" s="108"/>
      <c r="PWR28" s="108"/>
      <c r="PWS28" s="108"/>
      <c r="PWT28" s="108"/>
      <c r="PWU28" s="108"/>
      <c r="PWV28" s="108"/>
      <c r="PWW28" s="108"/>
      <c r="PWX28" s="108"/>
      <c r="PWY28" s="108"/>
      <c r="PWZ28" s="108"/>
      <c r="PXA28" s="108"/>
      <c r="PXB28" s="108"/>
      <c r="PXC28" s="108"/>
      <c r="PXD28" s="108"/>
      <c r="PXE28" s="108"/>
      <c r="PXF28" s="108"/>
      <c r="PXG28" s="108"/>
      <c r="PXH28" s="108"/>
      <c r="PXI28" s="108"/>
      <c r="PXJ28" s="108"/>
      <c r="PXK28" s="108"/>
      <c r="PXL28" s="108"/>
      <c r="PXM28" s="108"/>
      <c r="PXN28" s="108"/>
      <c r="PXO28" s="108"/>
      <c r="PXP28" s="108"/>
      <c r="PXQ28" s="108"/>
      <c r="PXR28" s="108"/>
      <c r="PXS28" s="108"/>
      <c r="PXT28" s="108"/>
      <c r="PXU28" s="108"/>
      <c r="PXV28" s="108"/>
      <c r="PXW28" s="108"/>
      <c r="PXX28" s="108"/>
      <c r="PXY28" s="108"/>
      <c r="PXZ28" s="108"/>
      <c r="PYA28" s="108"/>
      <c r="PYB28" s="108"/>
      <c r="PYC28" s="108"/>
      <c r="PYD28" s="108"/>
      <c r="PYE28" s="108"/>
      <c r="PYF28" s="108"/>
      <c r="PYG28" s="108"/>
      <c r="PYH28" s="108"/>
      <c r="PYI28" s="108"/>
      <c r="PYJ28" s="108"/>
      <c r="PYK28" s="108"/>
      <c r="PYL28" s="108"/>
      <c r="PYM28" s="108"/>
      <c r="PYN28" s="108"/>
      <c r="PYO28" s="108"/>
      <c r="PYP28" s="108"/>
      <c r="PYQ28" s="108"/>
      <c r="PYR28" s="108"/>
      <c r="PYS28" s="108"/>
      <c r="PYT28" s="108"/>
      <c r="PYU28" s="108"/>
      <c r="PYV28" s="108"/>
      <c r="PYW28" s="108"/>
      <c r="PYX28" s="108"/>
      <c r="PYY28" s="108"/>
      <c r="PYZ28" s="108"/>
      <c r="PZA28" s="108"/>
      <c r="PZB28" s="108"/>
      <c r="PZC28" s="108"/>
      <c r="PZD28" s="108"/>
      <c r="PZE28" s="108"/>
      <c r="PZF28" s="108"/>
      <c r="PZG28" s="108"/>
      <c r="PZH28" s="108"/>
      <c r="PZI28" s="108"/>
      <c r="PZJ28" s="108"/>
      <c r="PZK28" s="108"/>
      <c r="PZL28" s="108"/>
      <c r="PZM28" s="108"/>
      <c r="PZN28" s="108"/>
      <c r="PZO28" s="108"/>
      <c r="PZP28" s="108"/>
      <c r="PZQ28" s="108"/>
      <c r="PZR28" s="108"/>
      <c r="PZS28" s="108"/>
      <c r="PZT28" s="108"/>
      <c r="PZU28" s="108"/>
      <c r="PZV28" s="108"/>
      <c r="PZW28" s="108"/>
      <c r="PZX28" s="108"/>
      <c r="PZY28" s="108"/>
      <c r="PZZ28" s="108"/>
      <c r="QAA28" s="108"/>
      <c r="QAB28" s="108"/>
      <c r="QAC28" s="108"/>
      <c r="QAD28" s="108"/>
      <c r="QAE28" s="108"/>
      <c r="QAF28" s="108"/>
      <c r="QAG28" s="108"/>
      <c r="QAH28" s="108"/>
      <c r="QAI28" s="108"/>
      <c r="QAJ28" s="108"/>
      <c r="QAK28" s="108"/>
      <c r="QAL28" s="108"/>
      <c r="QAM28" s="108"/>
      <c r="QAN28" s="108"/>
      <c r="QAO28" s="108"/>
      <c r="QAP28" s="108"/>
      <c r="QAQ28" s="108"/>
      <c r="QAR28" s="108"/>
      <c r="QAS28" s="108"/>
      <c r="QAT28" s="108"/>
      <c r="QAU28" s="108"/>
      <c r="QAV28" s="108"/>
      <c r="QAW28" s="108"/>
      <c r="QAX28" s="108"/>
      <c r="QAY28" s="108"/>
      <c r="QAZ28" s="108"/>
      <c r="QBA28" s="108"/>
      <c r="QBB28" s="108"/>
      <c r="QBC28" s="108"/>
      <c r="QBD28" s="108"/>
      <c r="QBE28" s="108"/>
      <c r="QBF28" s="108"/>
      <c r="QBG28" s="108"/>
      <c r="QBH28" s="108"/>
      <c r="QBI28" s="108"/>
      <c r="QBJ28" s="108"/>
      <c r="QBK28" s="108"/>
      <c r="QBL28" s="108"/>
      <c r="QBM28" s="108"/>
      <c r="QBN28" s="108"/>
      <c r="QBO28" s="108"/>
      <c r="QBP28" s="108"/>
      <c r="QBQ28" s="108"/>
      <c r="QBR28" s="108"/>
      <c r="QBS28" s="108"/>
      <c r="QBT28" s="108"/>
      <c r="QBU28" s="108"/>
      <c r="QBV28" s="108"/>
      <c r="QBW28" s="108"/>
      <c r="QBX28" s="108"/>
      <c r="QBY28" s="108"/>
      <c r="QBZ28" s="108"/>
      <c r="QCA28" s="108"/>
      <c r="QCB28" s="108"/>
      <c r="QCC28" s="108"/>
      <c r="QCD28" s="108"/>
      <c r="QCE28" s="108"/>
      <c r="QCF28" s="108"/>
      <c r="QCG28" s="108"/>
      <c r="QCH28" s="108"/>
      <c r="QCI28" s="108"/>
      <c r="QCJ28" s="108"/>
      <c r="QCK28" s="108"/>
      <c r="QCL28" s="108"/>
      <c r="QCM28" s="108"/>
      <c r="QCN28" s="108"/>
      <c r="QCO28" s="108"/>
      <c r="QCP28" s="108"/>
      <c r="QCQ28" s="108"/>
      <c r="QCR28" s="108"/>
      <c r="QCS28" s="108"/>
      <c r="QCT28" s="108"/>
      <c r="QCU28" s="108"/>
      <c r="QCV28" s="108"/>
      <c r="QCW28" s="108"/>
      <c r="QCX28" s="108"/>
      <c r="QCY28" s="108"/>
      <c r="QCZ28" s="108"/>
      <c r="QDA28" s="108"/>
      <c r="QDB28" s="108"/>
      <c r="QDC28" s="108"/>
      <c r="QDD28" s="108"/>
      <c r="QDE28" s="108"/>
      <c r="QDF28" s="108"/>
      <c r="QDG28" s="108"/>
      <c r="QDH28" s="108"/>
      <c r="QDI28" s="108"/>
      <c r="QDJ28" s="108"/>
      <c r="QDK28" s="108"/>
      <c r="QDL28" s="108"/>
      <c r="QDM28" s="108"/>
      <c r="QDN28" s="108"/>
      <c r="QDO28" s="108"/>
      <c r="QDP28" s="108"/>
      <c r="QDQ28" s="108"/>
      <c r="QDR28" s="108"/>
      <c r="QDS28" s="108"/>
      <c r="QDT28" s="108"/>
      <c r="QDU28" s="108"/>
      <c r="QDV28" s="108"/>
      <c r="QDW28" s="108"/>
      <c r="QDX28" s="108"/>
      <c r="QDY28" s="108"/>
      <c r="QDZ28" s="108"/>
      <c r="QEA28" s="108"/>
      <c r="QEB28" s="108"/>
      <c r="QEC28" s="108"/>
      <c r="QED28" s="108"/>
      <c r="QEE28" s="108"/>
      <c r="QEF28" s="108"/>
      <c r="QEG28" s="108"/>
      <c r="QEH28" s="108"/>
      <c r="QEI28" s="108"/>
      <c r="QEJ28" s="108"/>
      <c r="QEK28" s="108"/>
      <c r="QEL28" s="108"/>
      <c r="QEM28" s="108"/>
      <c r="QEN28" s="108"/>
      <c r="QEO28" s="108"/>
      <c r="QEP28" s="108"/>
      <c r="QEQ28" s="108"/>
      <c r="QER28" s="108"/>
      <c r="QES28" s="108"/>
      <c r="QET28" s="108"/>
      <c r="QEU28" s="108"/>
      <c r="QEV28" s="108"/>
      <c r="QEW28" s="108"/>
      <c r="QEX28" s="108"/>
      <c r="QEY28" s="108"/>
      <c r="QEZ28" s="108"/>
      <c r="QFA28" s="108"/>
      <c r="QFB28" s="108"/>
      <c r="QFC28" s="108"/>
      <c r="QFD28" s="108"/>
      <c r="QFE28" s="108"/>
      <c r="QFF28" s="108"/>
      <c r="QFG28" s="108"/>
      <c r="QFH28" s="108"/>
      <c r="QFI28" s="108"/>
      <c r="QFJ28" s="108"/>
      <c r="QFK28" s="108"/>
      <c r="QFL28" s="108"/>
      <c r="QFM28" s="108"/>
      <c r="QFN28" s="108"/>
      <c r="QFO28" s="108"/>
      <c r="QFP28" s="108"/>
      <c r="QFQ28" s="108"/>
      <c r="QFR28" s="108"/>
      <c r="QFS28" s="108"/>
      <c r="QFT28" s="108"/>
      <c r="QFU28" s="108"/>
      <c r="QFV28" s="108"/>
      <c r="QFW28" s="108"/>
      <c r="QFX28" s="108"/>
      <c r="QFY28" s="108"/>
      <c r="QFZ28" s="108"/>
      <c r="QGA28" s="108"/>
      <c r="QGB28" s="108"/>
      <c r="QGC28" s="108"/>
      <c r="QGD28" s="108"/>
      <c r="QGE28" s="108"/>
      <c r="QGF28" s="108"/>
      <c r="QGG28" s="108"/>
      <c r="QGH28" s="108"/>
      <c r="QGI28" s="108"/>
      <c r="QGJ28" s="108"/>
      <c r="QGK28" s="108"/>
      <c r="QGL28" s="108"/>
      <c r="QGM28" s="108"/>
      <c r="QGN28" s="108"/>
      <c r="QGO28" s="108"/>
      <c r="QGP28" s="108"/>
      <c r="QGQ28" s="108"/>
      <c r="QGR28" s="108"/>
      <c r="QGS28" s="108"/>
      <c r="QGT28" s="108"/>
      <c r="QGU28" s="108"/>
      <c r="QGV28" s="108"/>
      <c r="QGW28" s="108"/>
      <c r="QGX28" s="108"/>
      <c r="QGY28" s="108"/>
      <c r="QGZ28" s="108"/>
      <c r="QHA28" s="108"/>
      <c r="QHB28" s="108"/>
      <c r="QHC28" s="108"/>
      <c r="QHD28" s="108"/>
      <c r="QHE28" s="108"/>
      <c r="QHF28" s="108"/>
      <c r="QHG28" s="108"/>
      <c r="QHH28" s="108"/>
      <c r="QHI28" s="108"/>
      <c r="QHJ28" s="108"/>
      <c r="QHK28" s="108"/>
      <c r="QHL28" s="108"/>
      <c r="QHM28" s="108"/>
      <c r="QHN28" s="108"/>
      <c r="QHO28" s="108"/>
      <c r="QHP28" s="108"/>
      <c r="QHQ28" s="108"/>
      <c r="QHR28" s="108"/>
      <c r="QHS28" s="108"/>
      <c r="QHT28" s="108"/>
      <c r="QHU28" s="108"/>
      <c r="QHV28" s="108"/>
      <c r="QHW28" s="108"/>
      <c r="QHX28" s="108"/>
      <c r="QHY28" s="108"/>
      <c r="QHZ28" s="108"/>
      <c r="QIA28" s="108"/>
      <c r="QIB28" s="108"/>
      <c r="QIC28" s="108"/>
      <c r="QID28" s="108"/>
      <c r="QIE28" s="108"/>
      <c r="QIF28" s="108"/>
      <c r="QIG28" s="108"/>
      <c r="QIH28" s="108"/>
      <c r="QII28" s="108"/>
      <c r="QIJ28" s="108"/>
      <c r="QIK28" s="108"/>
      <c r="QIL28" s="108"/>
      <c r="QIM28" s="108"/>
      <c r="QIN28" s="108"/>
      <c r="QIO28" s="108"/>
      <c r="QIP28" s="108"/>
      <c r="QIQ28" s="108"/>
      <c r="QIR28" s="108"/>
      <c r="QIS28" s="108"/>
      <c r="QIT28" s="108"/>
      <c r="QIU28" s="108"/>
      <c r="QIV28" s="108"/>
      <c r="QIW28" s="108"/>
      <c r="QIX28" s="108"/>
      <c r="QIY28" s="108"/>
      <c r="QIZ28" s="108"/>
      <c r="QJA28" s="108"/>
      <c r="QJB28" s="108"/>
      <c r="QJC28" s="108"/>
      <c r="QJD28" s="108"/>
      <c r="QJE28" s="108"/>
      <c r="QJF28" s="108"/>
      <c r="QJG28" s="108"/>
      <c r="QJH28" s="108"/>
      <c r="QJI28" s="108"/>
      <c r="QJJ28" s="108"/>
      <c r="QJK28" s="108"/>
      <c r="QJL28" s="108"/>
      <c r="QJM28" s="108"/>
      <c r="QJN28" s="108"/>
      <c r="QJO28" s="108"/>
      <c r="QJP28" s="108"/>
      <c r="QJQ28" s="108"/>
      <c r="QJR28" s="108"/>
      <c r="QJS28" s="108"/>
      <c r="QJT28" s="108"/>
      <c r="QJU28" s="108"/>
      <c r="QJV28" s="108"/>
      <c r="QJW28" s="108"/>
      <c r="QJX28" s="108"/>
      <c r="QJY28" s="108"/>
      <c r="QJZ28" s="108"/>
      <c r="QKA28" s="108"/>
      <c r="QKB28" s="108"/>
      <c r="QKC28" s="108"/>
      <c r="QKD28" s="108"/>
      <c r="QKE28" s="108"/>
      <c r="QKF28" s="108"/>
      <c r="QKG28" s="108"/>
      <c r="QKH28" s="108"/>
      <c r="QKI28" s="108"/>
      <c r="QKJ28" s="108"/>
      <c r="QKK28" s="108"/>
      <c r="QKL28" s="108"/>
      <c r="QKM28" s="108"/>
      <c r="QKN28" s="108"/>
      <c r="QKO28" s="108"/>
      <c r="QKP28" s="108"/>
      <c r="QKQ28" s="108"/>
      <c r="QKR28" s="108"/>
      <c r="QKS28" s="108"/>
      <c r="QKT28" s="108"/>
      <c r="QKU28" s="108"/>
      <c r="QKV28" s="108"/>
      <c r="QKW28" s="108"/>
      <c r="QKX28" s="108"/>
      <c r="QKY28" s="108"/>
      <c r="QKZ28" s="108"/>
      <c r="QLA28" s="108"/>
      <c r="QLB28" s="108"/>
      <c r="QLC28" s="108"/>
      <c r="QLD28" s="108"/>
      <c r="QLE28" s="108"/>
      <c r="QLF28" s="108"/>
      <c r="QLG28" s="108"/>
      <c r="QLH28" s="108"/>
      <c r="QLI28" s="108"/>
      <c r="QLJ28" s="108"/>
      <c r="QLK28" s="108"/>
      <c r="QLL28" s="108"/>
      <c r="QLM28" s="108"/>
      <c r="QLN28" s="108"/>
      <c r="QLO28" s="108"/>
      <c r="QLP28" s="108"/>
      <c r="QLQ28" s="108"/>
      <c r="QLR28" s="108"/>
      <c r="QLS28" s="108"/>
      <c r="QLT28" s="108"/>
      <c r="QLU28" s="108"/>
      <c r="QLV28" s="108"/>
      <c r="QLW28" s="108"/>
      <c r="QLX28" s="108"/>
      <c r="QLY28" s="108"/>
      <c r="QLZ28" s="108"/>
      <c r="QMA28" s="108"/>
      <c r="QMB28" s="108"/>
      <c r="QMC28" s="108"/>
      <c r="QMD28" s="108"/>
      <c r="QME28" s="108"/>
      <c r="QMF28" s="108"/>
      <c r="QMG28" s="108"/>
      <c r="QMH28" s="108"/>
      <c r="QMI28" s="108"/>
      <c r="QMJ28" s="108"/>
      <c r="QMK28" s="108"/>
      <c r="QML28" s="108"/>
      <c r="QMM28" s="108"/>
      <c r="QMN28" s="108"/>
      <c r="QMO28" s="108"/>
      <c r="QMP28" s="108"/>
      <c r="QMQ28" s="108"/>
      <c r="QMR28" s="108"/>
      <c r="QMS28" s="108"/>
      <c r="QMT28" s="108"/>
      <c r="QMU28" s="108"/>
      <c r="QMV28" s="108"/>
      <c r="QMW28" s="108"/>
      <c r="QMX28" s="108"/>
      <c r="QMY28" s="108"/>
      <c r="QMZ28" s="108"/>
      <c r="QNA28" s="108"/>
      <c r="QNB28" s="108"/>
      <c r="QNC28" s="108"/>
      <c r="QND28" s="108"/>
      <c r="QNE28" s="108"/>
      <c r="QNF28" s="108"/>
      <c r="QNG28" s="108"/>
      <c r="QNH28" s="108"/>
      <c r="QNI28" s="108"/>
      <c r="QNJ28" s="108"/>
      <c r="QNK28" s="108"/>
      <c r="QNL28" s="108"/>
      <c r="QNM28" s="108"/>
      <c r="QNN28" s="108"/>
      <c r="QNO28" s="108"/>
      <c r="QNP28" s="108"/>
      <c r="QNQ28" s="108"/>
      <c r="QNR28" s="108"/>
      <c r="QNS28" s="108"/>
      <c r="QNT28" s="108"/>
      <c r="QNU28" s="108"/>
      <c r="QNV28" s="108"/>
      <c r="QNW28" s="108"/>
      <c r="QNX28" s="108"/>
      <c r="QNY28" s="108"/>
      <c r="QNZ28" s="108"/>
      <c r="QOA28" s="108"/>
      <c r="QOB28" s="108"/>
      <c r="QOC28" s="108"/>
      <c r="QOD28" s="108"/>
      <c r="QOE28" s="108"/>
      <c r="QOF28" s="108"/>
      <c r="QOG28" s="108"/>
      <c r="QOH28" s="108"/>
      <c r="QOI28" s="108"/>
      <c r="QOJ28" s="108"/>
      <c r="QOK28" s="108"/>
      <c r="QOL28" s="108"/>
      <c r="QOM28" s="108"/>
      <c r="QON28" s="108"/>
      <c r="QOO28" s="108"/>
      <c r="QOP28" s="108"/>
      <c r="QOQ28" s="108"/>
      <c r="QOR28" s="108"/>
      <c r="QOS28" s="108"/>
      <c r="QOT28" s="108"/>
      <c r="QOU28" s="108"/>
      <c r="QOV28" s="108"/>
      <c r="QOW28" s="108"/>
      <c r="QOX28" s="108"/>
      <c r="QOY28" s="108"/>
      <c r="QOZ28" s="108"/>
      <c r="QPA28" s="108"/>
      <c r="QPB28" s="108"/>
      <c r="QPC28" s="108"/>
      <c r="QPD28" s="108"/>
      <c r="QPE28" s="108"/>
      <c r="QPF28" s="108"/>
      <c r="QPG28" s="108"/>
      <c r="QPH28" s="108"/>
      <c r="QPI28" s="108"/>
      <c r="QPJ28" s="108"/>
      <c r="QPK28" s="108"/>
      <c r="QPL28" s="108"/>
      <c r="QPM28" s="108"/>
      <c r="QPN28" s="108"/>
      <c r="QPO28" s="108"/>
      <c r="QPP28" s="108"/>
      <c r="QPQ28" s="108"/>
      <c r="QPR28" s="108"/>
      <c r="QPS28" s="108"/>
      <c r="QPT28" s="108"/>
      <c r="QPU28" s="108"/>
      <c r="QPV28" s="108"/>
      <c r="QPW28" s="108"/>
      <c r="QPX28" s="108"/>
      <c r="QPY28" s="108"/>
      <c r="QPZ28" s="108"/>
      <c r="QQA28" s="108"/>
      <c r="QQB28" s="108"/>
      <c r="QQC28" s="108"/>
      <c r="QQD28" s="108"/>
      <c r="QQE28" s="108"/>
      <c r="QQF28" s="108"/>
      <c r="QQG28" s="108"/>
      <c r="QQH28" s="108"/>
      <c r="QQI28" s="108"/>
      <c r="QQJ28" s="108"/>
      <c r="QQK28" s="108"/>
      <c r="QQL28" s="108"/>
      <c r="QQM28" s="108"/>
      <c r="QQN28" s="108"/>
      <c r="QQO28" s="108"/>
      <c r="QQP28" s="108"/>
      <c r="QQQ28" s="108"/>
      <c r="QQR28" s="108"/>
      <c r="QQS28" s="108"/>
      <c r="QQT28" s="108"/>
      <c r="QQU28" s="108"/>
      <c r="QQV28" s="108"/>
      <c r="QQW28" s="108"/>
      <c r="QQX28" s="108"/>
      <c r="QQY28" s="108"/>
      <c r="QQZ28" s="108"/>
      <c r="QRA28" s="108"/>
      <c r="QRB28" s="108"/>
      <c r="QRC28" s="108"/>
      <c r="QRD28" s="108"/>
      <c r="QRE28" s="108"/>
      <c r="QRF28" s="108"/>
      <c r="QRG28" s="108"/>
      <c r="QRH28" s="108"/>
      <c r="QRI28" s="108"/>
      <c r="QRJ28" s="108"/>
      <c r="QRK28" s="108"/>
      <c r="QRL28" s="108"/>
      <c r="QRM28" s="108"/>
      <c r="QRN28" s="108"/>
      <c r="QRO28" s="108"/>
      <c r="QRP28" s="108"/>
      <c r="QRQ28" s="108"/>
      <c r="QRR28" s="108"/>
      <c r="QRS28" s="108"/>
      <c r="QRT28" s="108"/>
      <c r="QRU28" s="108"/>
      <c r="QRV28" s="108"/>
      <c r="QRW28" s="108"/>
      <c r="QRX28" s="108"/>
      <c r="QRY28" s="108"/>
      <c r="QRZ28" s="108"/>
      <c r="QSA28" s="108"/>
      <c r="QSB28" s="108"/>
      <c r="QSC28" s="108"/>
      <c r="QSD28" s="108"/>
      <c r="QSE28" s="108"/>
      <c r="QSF28" s="108"/>
      <c r="QSG28" s="108"/>
      <c r="QSH28" s="108"/>
      <c r="QSI28" s="108"/>
      <c r="QSJ28" s="108"/>
      <c r="QSK28" s="108"/>
      <c r="QSL28" s="108"/>
      <c r="QSM28" s="108"/>
      <c r="QSN28" s="108"/>
      <c r="QSO28" s="108"/>
      <c r="QSP28" s="108"/>
      <c r="QSQ28" s="108"/>
      <c r="QSR28" s="108"/>
      <c r="QSS28" s="108"/>
      <c r="QST28" s="108"/>
      <c r="QSU28" s="108"/>
      <c r="QSV28" s="108"/>
      <c r="QSW28" s="108"/>
      <c r="QSX28" s="108"/>
      <c r="QSY28" s="108"/>
      <c r="QSZ28" s="108"/>
      <c r="QTA28" s="108"/>
      <c r="QTB28" s="108"/>
      <c r="QTC28" s="108"/>
      <c r="QTD28" s="108"/>
      <c r="QTE28" s="108"/>
      <c r="QTF28" s="108"/>
      <c r="QTG28" s="108"/>
      <c r="QTH28" s="108"/>
      <c r="QTI28" s="108"/>
      <c r="QTJ28" s="108"/>
      <c r="QTK28" s="108"/>
      <c r="QTL28" s="108"/>
      <c r="QTM28" s="108"/>
      <c r="QTN28" s="108"/>
      <c r="QTO28" s="108"/>
      <c r="QTP28" s="108"/>
      <c r="QTQ28" s="108"/>
      <c r="QTR28" s="108"/>
      <c r="QTS28" s="108"/>
      <c r="QTT28" s="108"/>
      <c r="QTU28" s="108"/>
      <c r="QTV28" s="108"/>
      <c r="QTW28" s="108"/>
      <c r="QTX28" s="108"/>
      <c r="QTY28" s="108"/>
      <c r="QTZ28" s="108"/>
      <c r="QUA28" s="108"/>
      <c r="QUB28" s="108"/>
      <c r="QUC28" s="108"/>
      <c r="QUD28" s="108"/>
      <c r="QUE28" s="108"/>
      <c r="QUF28" s="108"/>
      <c r="QUG28" s="108"/>
      <c r="QUH28" s="108"/>
      <c r="QUI28" s="108"/>
      <c r="QUJ28" s="108"/>
      <c r="QUK28" s="108"/>
      <c r="QUL28" s="108"/>
      <c r="QUM28" s="108"/>
      <c r="QUN28" s="108"/>
      <c r="QUO28" s="108"/>
      <c r="QUP28" s="108"/>
      <c r="QUQ28" s="108"/>
      <c r="QUR28" s="108"/>
      <c r="QUS28" s="108"/>
      <c r="QUT28" s="108"/>
      <c r="QUU28" s="108"/>
      <c r="QUV28" s="108"/>
      <c r="QUW28" s="108"/>
      <c r="QUX28" s="108"/>
      <c r="QUY28" s="108"/>
      <c r="QUZ28" s="108"/>
      <c r="QVA28" s="108"/>
      <c r="QVB28" s="108"/>
      <c r="QVC28" s="108"/>
      <c r="QVD28" s="108"/>
      <c r="QVE28" s="108"/>
      <c r="QVF28" s="108"/>
      <c r="QVG28" s="108"/>
      <c r="QVH28" s="108"/>
      <c r="QVI28" s="108"/>
      <c r="QVJ28" s="108"/>
      <c r="QVK28" s="108"/>
      <c r="QVL28" s="108"/>
      <c r="QVM28" s="108"/>
      <c r="QVN28" s="108"/>
      <c r="QVO28" s="108"/>
      <c r="QVP28" s="108"/>
      <c r="QVQ28" s="108"/>
      <c r="QVR28" s="108"/>
      <c r="QVS28" s="108"/>
      <c r="QVT28" s="108"/>
      <c r="QVU28" s="108"/>
      <c r="QVV28" s="108"/>
      <c r="QVW28" s="108"/>
      <c r="QVX28" s="108"/>
      <c r="QVY28" s="108"/>
      <c r="QVZ28" s="108"/>
      <c r="QWA28" s="108"/>
      <c r="QWB28" s="108"/>
      <c r="QWC28" s="108"/>
      <c r="QWD28" s="108"/>
      <c r="QWE28" s="108"/>
      <c r="QWF28" s="108"/>
      <c r="QWG28" s="108"/>
      <c r="QWH28" s="108"/>
      <c r="QWI28" s="108"/>
      <c r="QWJ28" s="108"/>
      <c r="QWK28" s="108"/>
      <c r="QWL28" s="108"/>
      <c r="QWM28" s="108"/>
      <c r="QWN28" s="108"/>
      <c r="QWO28" s="108"/>
      <c r="QWP28" s="108"/>
      <c r="QWQ28" s="108"/>
      <c r="QWR28" s="108"/>
      <c r="QWS28" s="108"/>
      <c r="QWT28" s="108"/>
      <c r="QWU28" s="108"/>
      <c r="QWV28" s="108"/>
      <c r="QWW28" s="108"/>
      <c r="QWX28" s="108"/>
      <c r="QWY28" s="108"/>
      <c r="QWZ28" s="108"/>
      <c r="QXA28" s="108"/>
      <c r="QXB28" s="108"/>
      <c r="QXC28" s="108"/>
      <c r="QXD28" s="108"/>
      <c r="QXE28" s="108"/>
      <c r="QXF28" s="108"/>
      <c r="QXG28" s="108"/>
      <c r="QXH28" s="108"/>
      <c r="QXI28" s="108"/>
      <c r="QXJ28" s="108"/>
      <c r="QXK28" s="108"/>
      <c r="QXL28" s="108"/>
      <c r="QXM28" s="108"/>
      <c r="QXN28" s="108"/>
      <c r="QXO28" s="108"/>
      <c r="QXP28" s="108"/>
      <c r="QXQ28" s="108"/>
      <c r="QXR28" s="108"/>
      <c r="QXS28" s="108"/>
      <c r="QXT28" s="108"/>
      <c r="QXU28" s="108"/>
      <c r="QXV28" s="108"/>
      <c r="QXW28" s="108"/>
      <c r="QXX28" s="108"/>
      <c r="QXY28" s="108"/>
      <c r="QXZ28" s="108"/>
      <c r="QYA28" s="108"/>
      <c r="QYB28" s="108"/>
      <c r="QYC28" s="108"/>
      <c r="QYD28" s="108"/>
      <c r="QYE28" s="108"/>
      <c r="QYF28" s="108"/>
      <c r="QYG28" s="108"/>
      <c r="QYH28" s="108"/>
      <c r="QYI28" s="108"/>
      <c r="QYJ28" s="108"/>
      <c r="QYK28" s="108"/>
      <c r="QYL28" s="108"/>
      <c r="QYM28" s="108"/>
      <c r="QYN28" s="108"/>
      <c r="QYO28" s="108"/>
      <c r="QYP28" s="108"/>
      <c r="QYQ28" s="108"/>
      <c r="QYR28" s="108"/>
      <c r="QYS28" s="108"/>
      <c r="QYT28" s="108"/>
      <c r="QYU28" s="108"/>
      <c r="QYV28" s="108"/>
      <c r="QYW28" s="108"/>
      <c r="QYX28" s="108"/>
      <c r="QYY28" s="108"/>
      <c r="QYZ28" s="108"/>
      <c r="QZA28" s="108"/>
      <c r="QZB28" s="108"/>
      <c r="QZC28" s="108"/>
      <c r="QZD28" s="108"/>
      <c r="QZE28" s="108"/>
      <c r="QZF28" s="108"/>
      <c r="QZG28" s="108"/>
      <c r="QZH28" s="108"/>
      <c r="QZI28" s="108"/>
      <c r="QZJ28" s="108"/>
      <c r="QZK28" s="108"/>
      <c r="QZL28" s="108"/>
      <c r="QZM28" s="108"/>
      <c r="QZN28" s="108"/>
      <c r="QZO28" s="108"/>
      <c r="QZP28" s="108"/>
      <c r="QZQ28" s="108"/>
      <c r="QZR28" s="108"/>
      <c r="QZS28" s="108"/>
      <c r="QZT28" s="108"/>
      <c r="QZU28" s="108"/>
      <c r="QZV28" s="108"/>
      <c r="QZW28" s="108"/>
      <c r="QZX28" s="108"/>
      <c r="QZY28" s="108"/>
      <c r="QZZ28" s="108"/>
      <c r="RAA28" s="108"/>
      <c r="RAB28" s="108"/>
      <c r="RAC28" s="108"/>
      <c r="RAD28" s="108"/>
      <c r="RAE28" s="108"/>
      <c r="RAF28" s="108"/>
      <c r="RAG28" s="108"/>
      <c r="RAH28" s="108"/>
      <c r="RAI28" s="108"/>
      <c r="RAJ28" s="108"/>
      <c r="RAK28" s="108"/>
      <c r="RAL28" s="108"/>
      <c r="RAM28" s="108"/>
      <c r="RAN28" s="108"/>
      <c r="RAO28" s="108"/>
      <c r="RAP28" s="108"/>
      <c r="RAQ28" s="108"/>
      <c r="RAR28" s="108"/>
      <c r="RAS28" s="108"/>
      <c r="RAT28" s="108"/>
      <c r="RAU28" s="108"/>
      <c r="RAV28" s="108"/>
      <c r="RAW28" s="108"/>
      <c r="RAX28" s="108"/>
      <c r="RAY28" s="108"/>
      <c r="RAZ28" s="108"/>
      <c r="RBA28" s="108"/>
      <c r="RBB28" s="108"/>
      <c r="RBC28" s="108"/>
      <c r="RBD28" s="108"/>
      <c r="RBE28" s="108"/>
      <c r="RBF28" s="108"/>
      <c r="RBG28" s="108"/>
      <c r="RBH28" s="108"/>
      <c r="RBI28" s="108"/>
      <c r="RBJ28" s="108"/>
      <c r="RBK28" s="108"/>
      <c r="RBL28" s="108"/>
      <c r="RBM28" s="108"/>
      <c r="RBN28" s="108"/>
      <c r="RBO28" s="108"/>
      <c r="RBP28" s="108"/>
      <c r="RBQ28" s="108"/>
      <c r="RBR28" s="108"/>
      <c r="RBS28" s="108"/>
      <c r="RBT28" s="108"/>
      <c r="RBU28" s="108"/>
      <c r="RBV28" s="108"/>
      <c r="RBW28" s="108"/>
      <c r="RBX28" s="108"/>
      <c r="RBY28" s="108"/>
      <c r="RBZ28" s="108"/>
      <c r="RCA28" s="108"/>
      <c r="RCB28" s="108"/>
      <c r="RCC28" s="108"/>
      <c r="RCD28" s="108"/>
      <c r="RCE28" s="108"/>
      <c r="RCF28" s="108"/>
      <c r="RCG28" s="108"/>
      <c r="RCH28" s="108"/>
      <c r="RCI28" s="108"/>
      <c r="RCJ28" s="108"/>
      <c r="RCK28" s="108"/>
      <c r="RCL28" s="108"/>
      <c r="RCM28" s="108"/>
      <c r="RCN28" s="108"/>
      <c r="RCO28" s="108"/>
      <c r="RCP28" s="108"/>
      <c r="RCQ28" s="108"/>
      <c r="RCR28" s="108"/>
      <c r="RCS28" s="108"/>
      <c r="RCT28" s="108"/>
      <c r="RCU28" s="108"/>
      <c r="RCV28" s="108"/>
      <c r="RCW28" s="108"/>
      <c r="RCX28" s="108"/>
      <c r="RCY28" s="108"/>
      <c r="RCZ28" s="108"/>
      <c r="RDA28" s="108"/>
      <c r="RDB28" s="108"/>
      <c r="RDC28" s="108"/>
      <c r="RDD28" s="108"/>
      <c r="RDE28" s="108"/>
      <c r="RDF28" s="108"/>
      <c r="RDG28" s="108"/>
      <c r="RDH28" s="108"/>
      <c r="RDI28" s="108"/>
      <c r="RDJ28" s="108"/>
      <c r="RDK28" s="108"/>
      <c r="RDL28" s="108"/>
      <c r="RDM28" s="108"/>
      <c r="RDN28" s="108"/>
      <c r="RDO28" s="108"/>
      <c r="RDP28" s="108"/>
      <c r="RDQ28" s="108"/>
      <c r="RDR28" s="108"/>
      <c r="RDS28" s="108"/>
      <c r="RDT28" s="108"/>
      <c r="RDU28" s="108"/>
      <c r="RDV28" s="108"/>
      <c r="RDW28" s="108"/>
      <c r="RDX28" s="108"/>
      <c r="RDY28" s="108"/>
      <c r="RDZ28" s="108"/>
      <c r="REA28" s="108"/>
      <c r="REB28" s="108"/>
      <c r="REC28" s="108"/>
      <c r="RED28" s="108"/>
      <c r="REE28" s="108"/>
      <c r="REF28" s="108"/>
      <c r="REG28" s="108"/>
      <c r="REH28" s="108"/>
      <c r="REI28" s="108"/>
      <c r="REJ28" s="108"/>
      <c r="REK28" s="108"/>
      <c r="REL28" s="108"/>
      <c r="REM28" s="108"/>
      <c r="REN28" s="108"/>
      <c r="REO28" s="108"/>
      <c r="REP28" s="108"/>
      <c r="REQ28" s="108"/>
      <c r="RER28" s="108"/>
      <c r="RES28" s="108"/>
      <c r="RET28" s="108"/>
      <c r="REU28" s="108"/>
      <c r="REV28" s="108"/>
      <c r="REW28" s="108"/>
      <c r="REX28" s="108"/>
      <c r="REY28" s="108"/>
      <c r="REZ28" s="108"/>
      <c r="RFA28" s="108"/>
      <c r="RFB28" s="108"/>
      <c r="RFC28" s="108"/>
      <c r="RFD28" s="108"/>
      <c r="RFE28" s="108"/>
      <c r="RFF28" s="108"/>
      <c r="RFG28" s="108"/>
      <c r="RFH28" s="108"/>
      <c r="RFI28" s="108"/>
      <c r="RFJ28" s="108"/>
      <c r="RFK28" s="108"/>
      <c r="RFL28" s="108"/>
      <c r="RFM28" s="108"/>
      <c r="RFN28" s="108"/>
      <c r="RFO28" s="108"/>
      <c r="RFP28" s="108"/>
      <c r="RFQ28" s="108"/>
      <c r="RFR28" s="108"/>
      <c r="RFS28" s="108"/>
      <c r="RFT28" s="108"/>
      <c r="RFU28" s="108"/>
      <c r="RFV28" s="108"/>
      <c r="RFW28" s="108"/>
      <c r="RFX28" s="108"/>
      <c r="RFY28" s="108"/>
      <c r="RFZ28" s="108"/>
      <c r="RGA28" s="108"/>
      <c r="RGB28" s="108"/>
      <c r="RGC28" s="108"/>
      <c r="RGD28" s="108"/>
      <c r="RGE28" s="108"/>
      <c r="RGF28" s="108"/>
      <c r="RGG28" s="108"/>
      <c r="RGH28" s="108"/>
      <c r="RGI28" s="108"/>
      <c r="RGJ28" s="108"/>
      <c r="RGK28" s="108"/>
      <c r="RGL28" s="108"/>
      <c r="RGM28" s="108"/>
      <c r="RGN28" s="108"/>
      <c r="RGO28" s="108"/>
      <c r="RGP28" s="108"/>
      <c r="RGQ28" s="108"/>
      <c r="RGR28" s="108"/>
      <c r="RGS28" s="108"/>
      <c r="RGT28" s="108"/>
      <c r="RGU28" s="108"/>
      <c r="RGV28" s="108"/>
      <c r="RGW28" s="108"/>
      <c r="RGX28" s="108"/>
      <c r="RGY28" s="108"/>
      <c r="RGZ28" s="108"/>
      <c r="RHA28" s="108"/>
      <c r="RHB28" s="108"/>
      <c r="RHC28" s="108"/>
      <c r="RHD28" s="108"/>
      <c r="RHE28" s="108"/>
      <c r="RHF28" s="108"/>
      <c r="RHG28" s="108"/>
      <c r="RHH28" s="108"/>
      <c r="RHI28" s="108"/>
      <c r="RHJ28" s="108"/>
      <c r="RHK28" s="108"/>
      <c r="RHL28" s="108"/>
      <c r="RHM28" s="108"/>
      <c r="RHN28" s="108"/>
      <c r="RHO28" s="108"/>
      <c r="RHP28" s="108"/>
      <c r="RHQ28" s="108"/>
      <c r="RHR28" s="108"/>
      <c r="RHS28" s="108"/>
      <c r="RHT28" s="108"/>
      <c r="RHU28" s="108"/>
      <c r="RHV28" s="108"/>
      <c r="RHW28" s="108"/>
      <c r="RHX28" s="108"/>
      <c r="RHY28" s="108"/>
      <c r="RHZ28" s="108"/>
      <c r="RIA28" s="108"/>
      <c r="RIB28" s="108"/>
      <c r="RIC28" s="108"/>
      <c r="RID28" s="108"/>
      <c r="RIE28" s="108"/>
      <c r="RIF28" s="108"/>
      <c r="RIG28" s="108"/>
      <c r="RIH28" s="108"/>
      <c r="RII28" s="108"/>
      <c r="RIJ28" s="108"/>
      <c r="RIK28" s="108"/>
      <c r="RIL28" s="108"/>
      <c r="RIM28" s="108"/>
      <c r="RIN28" s="108"/>
      <c r="RIO28" s="108"/>
      <c r="RIP28" s="108"/>
      <c r="RIQ28" s="108"/>
      <c r="RIR28" s="108"/>
      <c r="RIS28" s="108"/>
      <c r="RIT28" s="108"/>
      <c r="RIU28" s="108"/>
      <c r="RIV28" s="108"/>
      <c r="RIW28" s="108"/>
      <c r="RIX28" s="108"/>
      <c r="RIY28" s="108"/>
      <c r="RIZ28" s="108"/>
      <c r="RJA28" s="108"/>
      <c r="RJB28" s="108"/>
      <c r="RJC28" s="108"/>
      <c r="RJD28" s="108"/>
      <c r="RJE28" s="108"/>
      <c r="RJF28" s="108"/>
      <c r="RJG28" s="108"/>
      <c r="RJH28" s="108"/>
      <c r="RJI28" s="108"/>
      <c r="RJJ28" s="108"/>
      <c r="RJK28" s="108"/>
      <c r="RJL28" s="108"/>
      <c r="RJM28" s="108"/>
      <c r="RJN28" s="108"/>
      <c r="RJO28" s="108"/>
      <c r="RJP28" s="108"/>
      <c r="RJQ28" s="108"/>
      <c r="RJR28" s="108"/>
      <c r="RJS28" s="108"/>
      <c r="RJT28" s="108"/>
      <c r="RJU28" s="108"/>
      <c r="RJV28" s="108"/>
      <c r="RJW28" s="108"/>
      <c r="RJX28" s="108"/>
      <c r="RJY28" s="108"/>
      <c r="RJZ28" s="108"/>
      <c r="RKA28" s="108"/>
      <c r="RKB28" s="108"/>
      <c r="RKC28" s="108"/>
      <c r="RKD28" s="108"/>
      <c r="RKE28" s="108"/>
      <c r="RKF28" s="108"/>
      <c r="RKG28" s="108"/>
      <c r="RKH28" s="108"/>
      <c r="RKI28" s="108"/>
      <c r="RKJ28" s="108"/>
      <c r="RKK28" s="108"/>
      <c r="RKL28" s="108"/>
      <c r="RKM28" s="108"/>
      <c r="RKN28" s="108"/>
      <c r="RKO28" s="108"/>
      <c r="RKP28" s="108"/>
      <c r="RKQ28" s="108"/>
      <c r="RKR28" s="108"/>
      <c r="RKS28" s="108"/>
      <c r="RKT28" s="108"/>
      <c r="RKU28" s="108"/>
      <c r="RKV28" s="108"/>
      <c r="RKW28" s="108"/>
      <c r="RKX28" s="108"/>
      <c r="RKY28" s="108"/>
      <c r="RKZ28" s="108"/>
      <c r="RLA28" s="108"/>
      <c r="RLB28" s="108"/>
      <c r="RLC28" s="108"/>
      <c r="RLD28" s="108"/>
      <c r="RLE28" s="108"/>
      <c r="RLF28" s="108"/>
      <c r="RLG28" s="108"/>
      <c r="RLH28" s="108"/>
      <c r="RLI28" s="108"/>
      <c r="RLJ28" s="108"/>
      <c r="RLK28" s="108"/>
      <c r="RLL28" s="108"/>
      <c r="RLM28" s="108"/>
      <c r="RLN28" s="108"/>
      <c r="RLO28" s="108"/>
      <c r="RLP28" s="108"/>
      <c r="RLQ28" s="108"/>
      <c r="RLR28" s="108"/>
      <c r="RLS28" s="108"/>
      <c r="RLT28" s="108"/>
      <c r="RLU28" s="108"/>
      <c r="RLV28" s="108"/>
      <c r="RLW28" s="108"/>
      <c r="RLX28" s="108"/>
      <c r="RLY28" s="108"/>
      <c r="RLZ28" s="108"/>
      <c r="RMA28" s="108"/>
      <c r="RMB28" s="108"/>
      <c r="RMC28" s="108"/>
      <c r="RMD28" s="108"/>
      <c r="RME28" s="108"/>
      <c r="RMF28" s="108"/>
      <c r="RMG28" s="108"/>
      <c r="RMH28" s="108"/>
      <c r="RMI28" s="108"/>
      <c r="RMJ28" s="108"/>
      <c r="RMK28" s="108"/>
      <c r="RML28" s="108"/>
      <c r="RMM28" s="108"/>
      <c r="RMN28" s="108"/>
      <c r="RMO28" s="108"/>
      <c r="RMP28" s="108"/>
      <c r="RMQ28" s="108"/>
      <c r="RMR28" s="108"/>
      <c r="RMS28" s="108"/>
      <c r="RMT28" s="108"/>
      <c r="RMU28" s="108"/>
      <c r="RMV28" s="108"/>
      <c r="RMW28" s="108"/>
      <c r="RMX28" s="108"/>
      <c r="RMY28" s="108"/>
      <c r="RMZ28" s="108"/>
      <c r="RNA28" s="108"/>
      <c r="RNB28" s="108"/>
      <c r="RNC28" s="108"/>
      <c r="RND28" s="108"/>
      <c r="RNE28" s="108"/>
      <c r="RNF28" s="108"/>
      <c r="RNG28" s="108"/>
      <c r="RNH28" s="108"/>
      <c r="RNI28" s="108"/>
      <c r="RNJ28" s="108"/>
      <c r="RNK28" s="108"/>
      <c r="RNL28" s="108"/>
      <c r="RNM28" s="108"/>
      <c r="RNN28" s="108"/>
      <c r="RNO28" s="108"/>
      <c r="RNP28" s="108"/>
      <c r="RNQ28" s="108"/>
      <c r="RNR28" s="108"/>
      <c r="RNS28" s="108"/>
      <c r="RNT28" s="108"/>
      <c r="RNU28" s="108"/>
      <c r="RNV28" s="108"/>
      <c r="RNW28" s="108"/>
      <c r="RNX28" s="108"/>
      <c r="RNY28" s="108"/>
      <c r="RNZ28" s="108"/>
      <c r="ROA28" s="108"/>
      <c r="ROB28" s="108"/>
      <c r="ROC28" s="108"/>
      <c r="ROD28" s="108"/>
      <c r="ROE28" s="108"/>
      <c r="ROF28" s="108"/>
      <c r="ROG28" s="108"/>
      <c r="ROH28" s="108"/>
      <c r="ROI28" s="108"/>
      <c r="ROJ28" s="108"/>
      <c r="ROK28" s="108"/>
      <c r="ROL28" s="108"/>
      <c r="ROM28" s="108"/>
      <c r="RON28" s="108"/>
      <c r="ROO28" s="108"/>
      <c r="ROP28" s="108"/>
      <c r="ROQ28" s="108"/>
      <c r="ROR28" s="108"/>
      <c r="ROS28" s="108"/>
      <c r="ROT28" s="108"/>
      <c r="ROU28" s="108"/>
      <c r="ROV28" s="108"/>
      <c r="ROW28" s="108"/>
      <c r="ROX28" s="108"/>
      <c r="ROY28" s="108"/>
      <c r="ROZ28" s="108"/>
      <c r="RPA28" s="108"/>
      <c r="RPB28" s="108"/>
      <c r="RPC28" s="108"/>
      <c r="RPD28" s="108"/>
      <c r="RPE28" s="108"/>
      <c r="RPF28" s="108"/>
      <c r="RPG28" s="108"/>
      <c r="RPH28" s="108"/>
      <c r="RPI28" s="108"/>
      <c r="RPJ28" s="108"/>
      <c r="RPK28" s="108"/>
      <c r="RPL28" s="108"/>
      <c r="RPM28" s="108"/>
      <c r="RPN28" s="108"/>
      <c r="RPO28" s="108"/>
      <c r="RPP28" s="108"/>
      <c r="RPQ28" s="108"/>
      <c r="RPR28" s="108"/>
      <c r="RPS28" s="108"/>
      <c r="RPT28" s="108"/>
      <c r="RPU28" s="108"/>
      <c r="RPV28" s="108"/>
      <c r="RPW28" s="108"/>
      <c r="RPX28" s="108"/>
      <c r="RPY28" s="108"/>
      <c r="RPZ28" s="108"/>
      <c r="RQA28" s="108"/>
      <c r="RQB28" s="108"/>
      <c r="RQC28" s="108"/>
      <c r="RQD28" s="108"/>
      <c r="RQE28" s="108"/>
      <c r="RQF28" s="108"/>
      <c r="RQG28" s="108"/>
      <c r="RQH28" s="108"/>
      <c r="RQI28" s="108"/>
      <c r="RQJ28" s="108"/>
      <c r="RQK28" s="108"/>
      <c r="RQL28" s="108"/>
      <c r="RQM28" s="108"/>
      <c r="RQN28" s="108"/>
      <c r="RQO28" s="108"/>
      <c r="RQP28" s="108"/>
      <c r="RQQ28" s="108"/>
      <c r="RQR28" s="108"/>
      <c r="RQS28" s="108"/>
      <c r="RQT28" s="108"/>
      <c r="RQU28" s="108"/>
      <c r="RQV28" s="108"/>
      <c r="RQW28" s="108"/>
      <c r="RQX28" s="108"/>
      <c r="RQY28" s="108"/>
      <c r="RQZ28" s="108"/>
      <c r="RRA28" s="108"/>
      <c r="RRB28" s="108"/>
      <c r="RRC28" s="108"/>
      <c r="RRD28" s="108"/>
      <c r="RRE28" s="108"/>
      <c r="RRF28" s="108"/>
      <c r="RRG28" s="108"/>
      <c r="RRH28" s="108"/>
      <c r="RRI28" s="108"/>
      <c r="RRJ28" s="108"/>
      <c r="RRK28" s="108"/>
      <c r="RRL28" s="108"/>
      <c r="RRM28" s="108"/>
      <c r="RRN28" s="108"/>
      <c r="RRO28" s="108"/>
      <c r="RRP28" s="108"/>
      <c r="RRQ28" s="108"/>
      <c r="RRR28" s="108"/>
      <c r="RRS28" s="108"/>
      <c r="RRT28" s="108"/>
      <c r="RRU28" s="108"/>
      <c r="RRV28" s="108"/>
      <c r="RRW28" s="108"/>
      <c r="RRX28" s="108"/>
      <c r="RRY28" s="108"/>
      <c r="RRZ28" s="108"/>
      <c r="RSA28" s="108"/>
      <c r="RSB28" s="108"/>
      <c r="RSC28" s="108"/>
      <c r="RSD28" s="108"/>
      <c r="RSE28" s="108"/>
      <c r="RSF28" s="108"/>
      <c r="RSG28" s="108"/>
      <c r="RSH28" s="108"/>
      <c r="RSI28" s="108"/>
      <c r="RSJ28" s="108"/>
      <c r="RSK28" s="108"/>
      <c r="RSL28" s="108"/>
      <c r="RSM28" s="108"/>
      <c r="RSN28" s="108"/>
      <c r="RSO28" s="108"/>
      <c r="RSP28" s="108"/>
      <c r="RSQ28" s="108"/>
      <c r="RSR28" s="108"/>
      <c r="RSS28" s="108"/>
      <c r="RST28" s="108"/>
      <c r="RSU28" s="108"/>
      <c r="RSV28" s="108"/>
      <c r="RSW28" s="108"/>
      <c r="RSX28" s="108"/>
      <c r="RSY28" s="108"/>
      <c r="RSZ28" s="108"/>
      <c r="RTA28" s="108"/>
      <c r="RTB28" s="108"/>
      <c r="RTC28" s="108"/>
      <c r="RTD28" s="108"/>
      <c r="RTE28" s="108"/>
      <c r="RTF28" s="108"/>
      <c r="RTG28" s="108"/>
      <c r="RTH28" s="108"/>
      <c r="RTI28" s="108"/>
      <c r="RTJ28" s="108"/>
      <c r="RTK28" s="108"/>
      <c r="RTL28" s="108"/>
      <c r="RTM28" s="108"/>
      <c r="RTN28" s="108"/>
      <c r="RTO28" s="108"/>
      <c r="RTP28" s="108"/>
      <c r="RTQ28" s="108"/>
      <c r="RTR28" s="108"/>
      <c r="RTS28" s="108"/>
      <c r="RTT28" s="108"/>
      <c r="RTU28" s="108"/>
      <c r="RTV28" s="108"/>
      <c r="RTW28" s="108"/>
      <c r="RTX28" s="108"/>
      <c r="RTY28" s="108"/>
      <c r="RTZ28" s="108"/>
      <c r="RUA28" s="108"/>
      <c r="RUB28" s="108"/>
      <c r="RUC28" s="108"/>
      <c r="RUD28" s="108"/>
      <c r="RUE28" s="108"/>
      <c r="RUF28" s="108"/>
      <c r="RUG28" s="108"/>
      <c r="RUH28" s="108"/>
      <c r="RUI28" s="108"/>
      <c r="RUJ28" s="108"/>
      <c r="RUK28" s="108"/>
      <c r="RUL28" s="108"/>
      <c r="RUM28" s="108"/>
      <c r="RUN28" s="108"/>
      <c r="RUO28" s="108"/>
      <c r="RUP28" s="108"/>
      <c r="RUQ28" s="108"/>
      <c r="RUR28" s="108"/>
      <c r="RUS28" s="108"/>
      <c r="RUT28" s="108"/>
      <c r="RUU28" s="108"/>
      <c r="RUV28" s="108"/>
      <c r="RUW28" s="108"/>
      <c r="RUX28" s="108"/>
      <c r="RUY28" s="108"/>
      <c r="RUZ28" s="108"/>
      <c r="RVA28" s="108"/>
      <c r="RVB28" s="108"/>
      <c r="RVC28" s="108"/>
      <c r="RVD28" s="108"/>
      <c r="RVE28" s="108"/>
      <c r="RVF28" s="108"/>
      <c r="RVG28" s="108"/>
      <c r="RVH28" s="108"/>
      <c r="RVI28" s="108"/>
      <c r="RVJ28" s="108"/>
      <c r="RVK28" s="108"/>
      <c r="RVL28" s="108"/>
      <c r="RVM28" s="108"/>
      <c r="RVN28" s="108"/>
      <c r="RVO28" s="108"/>
      <c r="RVP28" s="108"/>
      <c r="RVQ28" s="108"/>
      <c r="RVR28" s="108"/>
      <c r="RVS28" s="108"/>
      <c r="RVT28" s="108"/>
      <c r="RVU28" s="108"/>
      <c r="RVV28" s="108"/>
      <c r="RVW28" s="108"/>
      <c r="RVX28" s="108"/>
      <c r="RVY28" s="108"/>
      <c r="RVZ28" s="108"/>
      <c r="RWA28" s="108"/>
      <c r="RWB28" s="108"/>
      <c r="RWC28" s="108"/>
      <c r="RWD28" s="108"/>
      <c r="RWE28" s="108"/>
      <c r="RWF28" s="108"/>
      <c r="RWG28" s="108"/>
      <c r="RWH28" s="108"/>
      <c r="RWI28" s="108"/>
      <c r="RWJ28" s="108"/>
      <c r="RWK28" s="108"/>
      <c r="RWL28" s="108"/>
      <c r="RWM28" s="108"/>
      <c r="RWN28" s="108"/>
      <c r="RWO28" s="108"/>
      <c r="RWP28" s="108"/>
      <c r="RWQ28" s="108"/>
      <c r="RWR28" s="108"/>
      <c r="RWS28" s="108"/>
      <c r="RWT28" s="108"/>
      <c r="RWU28" s="108"/>
      <c r="RWV28" s="108"/>
      <c r="RWW28" s="108"/>
      <c r="RWX28" s="108"/>
      <c r="RWY28" s="108"/>
      <c r="RWZ28" s="108"/>
      <c r="RXA28" s="108"/>
      <c r="RXB28" s="108"/>
      <c r="RXC28" s="108"/>
      <c r="RXD28" s="108"/>
      <c r="RXE28" s="108"/>
      <c r="RXF28" s="108"/>
      <c r="RXG28" s="108"/>
      <c r="RXH28" s="108"/>
      <c r="RXI28" s="108"/>
      <c r="RXJ28" s="108"/>
      <c r="RXK28" s="108"/>
      <c r="RXL28" s="108"/>
      <c r="RXM28" s="108"/>
      <c r="RXN28" s="108"/>
      <c r="RXO28" s="108"/>
      <c r="RXP28" s="108"/>
      <c r="RXQ28" s="108"/>
      <c r="RXR28" s="108"/>
      <c r="RXS28" s="108"/>
      <c r="RXT28" s="108"/>
      <c r="RXU28" s="108"/>
      <c r="RXV28" s="108"/>
      <c r="RXW28" s="108"/>
      <c r="RXX28" s="108"/>
      <c r="RXY28" s="108"/>
      <c r="RXZ28" s="108"/>
      <c r="RYA28" s="108"/>
      <c r="RYB28" s="108"/>
      <c r="RYC28" s="108"/>
      <c r="RYD28" s="108"/>
      <c r="RYE28" s="108"/>
      <c r="RYF28" s="108"/>
      <c r="RYG28" s="108"/>
      <c r="RYH28" s="108"/>
      <c r="RYI28" s="108"/>
      <c r="RYJ28" s="108"/>
      <c r="RYK28" s="108"/>
      <c r="RYL28" s="108"/>
      <c r="RYM28" s="108"/>
      <c r="RYN28" s="108"/>
      <c r="RYO28" s="108"/>
      <c r="RYP28" s="108"/>
      <c r="RYQ28" s="108"/>
      <c r="RYR28" s="108"/>
      <c r="RYS28" s="108"/>
      <c r="RYT28" s="108"/>
      <c r="RYU28" s="108"/>
      <c r="RYV28" s="108"/>
      <c r="RYW28" s="108"/>
      <c r="RYX28" s="108"/>
      <c r="RYY28" s="108"/>
      <c r="RYZ28" s="108"/>
      <c r="RZA28" s="108"/>
      <c r="RZB28" s="108"/>
      <c r="RZC28" s="108"/>
      <c r="RZD28" s="108"/>
      <c r="RZE28" s="108"/>
      <c r="RZF28" s="108"/>
      <c r="RZG28" s="108"/>
      <c r="RZH28" s="108"/>
      <c r="RZI28" s="108"/>
      <c r="RZJ28" s="108"/>
      <c r="RZK28" s="108"/>
      <c r="RZL28" s="108"/>
      <c r="RZM28" s="108"/>
      <c r="RZN28" s="108"/>
      <c r="RZO28" s="108"/>
      <c r="RZP28" s="108"/>
      <c r="RZQ28" s="108"/>
      <c r="RZR28" s="108"/>
      <c r="RZS28" s="108"/>
      <c r="RZT28" s="108"/>
      <c r="RZU28" s="108"/>
      <c r="RZV28" s="108"/>
      <c r="RZW28" s="108"/>
      <c r="RZX28" s="108"/>
      <c r="RZY28" s="108"/>
      <c r="RZZ28" s="108"/>
      <c r="SAA28" s="108"/>
      <c r="SAB28" s="108"/>
      <c r="SAC28" s="108"/>
      <c r="SAD28" s="108"/>
      <c r="SAE28" s="108"/>
      <c r="SAF28" s="108"/>
      <c r="SAG28" s="108"/>
      <c r="SAH28" s="108"/>
      <c r="SAI28" s="108"/>
      <c r="SAJ28" s="108"/>
      <c r="SAK28" s="108"/>
      <c r="SAL28" s="108"/>
      <c r="SAM28" s="108"/>
      <c r="SAN28" s="108"/>
      <c r="SAO28" s="108"/>
      <c r="SAP28" s="108"/>
      <c r="SAQ28" s="108"/>
      <c r="SAR28" s="108"/>
      <c r="SAS28" s="108"/>
      <c r="SAT28" s="108"/>
      <c r="SAU28" s="108"/>
      <c r="SAV28" s="108"/>
      <c r="SAW28" s="108"/>
      <c r="SAX28" s="108"/>
      <c r="SAY28" s="108"/>
      <c r="SAZ28" s="108"/>
      <c r="SBA28" s="108"/>
      <c r="SBB28" s="108"/>
      <c r="SBC28" s="108"/>
      <c r="SBD28" s="108"/>
      <c r="SBE28" s="108"/>
      <c r="SBF28" s="108"/>
      <c r="SBG28" s="108"/>
      <c r="SBH28" s="108"/>
      <c r="SBI28" s="108"/>
      <c r="SBJ28" s="108"/>
      <c r="SBK28" s="108"/>
      <c r="SBL28" s="108"/>
      <c r="SBM28" s="108"/>
      <c r="SBN28" s="108"/>
      <c r="SBO28" s="108"/>
      <c r="SBP28" s="108"/>
      <c r="SBQ28" s="108"/>
      <c r="SBR28" s="108"/>
      <c r="SBS28" s="108"/>
      <c r="SBT28" s="108"/>
      <c r="SBU28" s="108"/>
      <c r="SBV28" s="108"/>
      <c r="SBW28" s="108"/>
      <c r="SBX28" s="108"/>
      <c r="SBY28" s="108"/>
      <c r="SBZ28" s="108"/>
      <c r="SCA28" s="108"/>
      <c r="SCB28" s="108"/>
      <c r="SCC28" s="108"/>
      <c r="SCD28" s="108"/>
      <c r="SCE28" s="108"/>
      <c r="SCF28" s="108"/>
      <c r="SCG28" s="108"/>
      <c r="SCH28" s="108"/>
      <c r="SCI28" s="108"/>
      <c r="SCJ28" s="108"/>
      <c r="SCK28" s="108"/>
      <c r="SCL28" s="108"/>
      <c r="SCM28" s="108"/>
      <c r="SCN28" s="108"/>
      <c r="SCO28" s="108"/>
      <c r="SCP28" s="108"/>
      <c r="SCQ28" s="108"/>
      <c r="SCR28" s="108"/>
      <c r="SCS28" s="108"/>
      <c r="SCT28" s="108"/>
      <c r="SCU28" s="108"/>
      <c r="SCV28" s="108"/>
      <c r="SCW28" s="108"/>
      <c r="SCX28" s="108"/>
      <c r="SCY28" s="108"/>
      <c r="SCZ28" s="108"/>
      <c r="SDA28" s="108"/>
      <c r="SDB28" s="108"/>
      <c r="SDC28" s="108"/>
      <c r="SDD28" s="108"/>
      <c r="SDE28" s="108"/>
      <c r="SDF28" s="108"/>
      <c r="SDG28" s="108"/>
      <c r="SDH28" s="108"/>
      <c r="SDI28" s="108"/>
      <c r="SDJ28" s="108"/>
      <c r="SDK28" s="108"/>
      <c r="SDL28" s="108"/>
      <c r="SDM28" s="108"/>
      <c r="SDN28" s="108"/>
      <c r="SDO28" s="108"/>
      <c r="SDP28" s="108"/>
      <c r="SDQ28" s="108"/>
      <c r="SDR28" s="108"/>
      <c r="SDS28" s="108"/>
      <c r="SDT28" s="108"/>
      <c r="SDU28" s="108"/>
      <c r="SDV28" s="108"/>
      <c r="SDW28" s="108"/>
      <c r="SDX28" s="108"/>
      <c r="SDY28" s="108"/>
      <c r="SDZ28" s="108"/>
      <c r="SEA28" s="108"/>
      <c r="SEB28" s="108"/>
      <c r="SEC28" s="108"/>
      <c r="SED28" s="108"/>
      <c r="SEE28" s="108"/>
      <c r="SEF28" s="108"/>
      <c r="SEG28" s="108"/>
      <c r="SEH28" s="108"/>
      <c r="SEI28" s="108"/>
      <c r="SEJ28" s="108"/>
      <c r="SEK28" s="108"/>
      <c r="SEL28" s="108"/>
      <c r="SEM28" s="108"/>
      <c r="SEN28" s="108"/>
      <c r="SEO28" s="108"/>
      <c r="SEP28" s="108"/>
      <c r="SEQ28" s="108"/>
      <c r="SER28" s="108"/>
      <c r="SES28" s="108"/>
      <c r="SET28" s="108"/>
      <c r="SEU28" s="108"/>
      <c r="SEV28" s="108"/>
      <c r="SEW28" s="108"/>
      <c r="SEX28" s="108"/>
      <c r="SEY28" s="108"/>
      <c r="SEZ28" s="108"/>
      <c r="SFA28" s="108"/>
      <c r="SFB28" s="108"/>
      <c r="SFC28" s="108"/>
      <c r="SFD28" s="108"/>
      <c r="SFE28" s="108"/>
      <c r="SFF28" s="108"/>
      <c r="SFG28" s="108"/>
      <c r="SFH28" s="108"/>
      <c r="SFI28" s="108"/>
      <c r="SFJ28" s="108"/>
      <c r="SFK28" s="108"/>
      <c r="SFL28" s="108"/>
      <c r="SFM28" s="108"/>
      <c r="SFN28" s="108"/>
      <c r="SFO28" s="108"/>
      <c r="SFP28" s="108"/>
      <c r="SFQ28" s="108"/>
      <c r="SFR28" s="108"/>
      <c r="SFS28" s="108"/>
      <c r="SFT28" s="108"/>
      <c r="SFU28" s="108"/>
      <c r="SFV28" s="108"/>
      <c r="SFW28" s="108"/>
      <c r="SFX28" s="108"/>
      <c r="SFY28" s="108"/>
      <c r="SFZ28" s="108"/>
      <c r="SGA28" s="108"/>
      <c r="SGB28" s="108"/>
      <c r="SGC28" s="108"/>
      <c r="SGD28" s="108"/>
      <c r="SGE28" s="108"/>
      <c r="SGF28" s="108"/>
      <c r="SGG28" s="108"/>
      <c r="SGH28" s="108"/>
      <c r="SGI28" s="108"/>
      <c r="SGJ28" s="108"/>
      <c r="SGK28" s="108"/>
      <c r="SGL28" s="108"/>
      <c r="SGM28" s="108"/>
      <c r="SGN28" s="108"/>
      <c r="SGO28" s="108"/>
      <c r="SGP28" s="108"/>
      <c r="SGQ28" s="108"/>
      <c r="SGR28" s="108"/>
      <c r="SGS28" s="108"/>
      <c r="SGT28" s="108"/>
      <c r="SGU28" s="108"/>
      <c r="SGV28" s="108"/>
      <c r="SGW28" s="108"/>
      <c r="SGX28" s="108"/>
      <c r="SGY28" s="108"/>
      <c r="SGZ28" s="108"/>
      <c r="SHA28" s="108"/>
      <c r="SHB28" s="108"/>
      <c r="SHC28" s="108"/>
      <c r="SHD28" s="108"/>
      <c r="SHE28" s="108"/>
      <c r="SHF28" s="108"/>
      <c r="SHG28" s="108"/>
      <c r="SHH28" s="108"/>
      <c r="SHI28" s="108"/>
      <c r="SHJ28" s="108"/>
      <c r="SHK28" s="108"/>
      <c r="SHL28" s="108"/>
      <c r="SHM28" s="108"/>
      <c r="SHN28" s="108"/>
      <c r="SHO28" s="108"/>
      <c r="SHP28" s="108"/>
      <c r="SHQ28" s="108"/>
      <c r="SHR28" s="108"/>
      <c r="SHS28" s="108"/>
      <c r="SHT28" s="108"/>
      <c r="SHU28" s="108"/>
      <c r="SHV28" s="108"/>
      <c r="SHW28" s="108"/>
      <c r="SHX28" s="108"/>
      <c r="SHY28" s="108"/>
      <c r="SHZ28" s="108"/>
      <c r="SIA28" s="108"/>
      <c r="SIB28" s="108"/>
      <c r="SIC28" s="108"/>
      <c r="SID28" s="108"/>
      <c r="SIE28" s="108"/>
      <c r="SIF28" s="108"/>
      <c r="SIG28" s="108"/>
      <c r="SIH28" s="108"/>
      <c r="SII28" s="108"/>
      <c r="SIJ28" s="108"/>
      <c r="SIK28" s="108"/>
      <c r="SIL28" s="108"/>
      <c r="SIM28" s="108"/>
      <c r="SIN28" s="108"/>
      <c r="SIO28" s="108"/>
      <c r="SIP28" s="108"/>
      <c r="SIQ28" s="108"/>
      <c r="SIR28" s="108"/>
      <c r="SIS28" s="108"/>
      <c r="SIT28" s="108"/>
      <c r="SIU28" s="108"/>
      <c r="SIV28" s="108"/>
      <c r="SIW28" s="108"/>
      <c r="SIX28" s="108"/>
      <c r="SIY28" s="108"/>
      <c r="SIZ28" s="108"/>
      <c r="SJA28" s="108"/>
      <c r="SJB28" s="108"/>
      <c r="SJC28" s="108"/>
      <c r="SJD28" s="108"/>
      <c r="SJE28" s="108"/>
      <c r="SJF28" s="108"/>
      <c r="SJG28" s="108"/>
      <c r="SJH28" s="108"/>
      <c r="SJI28" s="108"/>
      <c r="SJJ28" s="108"/>
      <c r="SJK28" s="108"/>
      <c r="SJL28" s="108"/>
      <c r="SJM28" s="108"/>
      <c r="SJN28" s="108"/>
      <c r="SJO28" s="108"/>
      <c r="SJP28" s="108"/>
      <c r="SJQ28" s="108"/>
      <c r="SJR28" s="108"/>
      <c r="SJS28" s="108"/>
      <c r="SJT28" s="108"/>
      <c r="SJU28" s="108"/>
      <c r="SJV28" s="108"/>
      <c r="SJW28" s="108"/>
      <c r="SJX28" s="108"/>
      <c r="SJY28" s="108"/>
      <c r="SJZ28" s="108"/>
      <c r="SKA28" s="108"/>
      <c r="SKB28" s="108"/>
      <c r="SKC28" s="108"/>
      <c r="SKD28" s="108"/>
      <c r="SKE28" s="108"/>
      <c r="SKF28" s="108"/>
      <c r="SKG28" s="108"/>
      <c r="SKH28" s="108"/>
      <c r="SKI28" s="108"/>
      <c r="SKJ28" s="108"/>
      <c r="SKK28" s="108"/>
      <c r="SKL28" s="108"/>
      <c r="SKM28" s="108"/>
      <c r="SKN28" s="108"/>
      <c r="SKO28" s="108"/>
      <c r="SKP28" s="108"/>
      <c r="SKQ28" s="108"/>
      <c r="SKR28" s="108"/>
      <c r="SKS28" s="108"/>
      <c r="SKT28" s="108"/>
      <c r="SKU28" s="108"/>
      <c r="SKV28" s="108"/>
      <c r="SKW28" s="108"/>
      <c r="SKX28" s="108"/>
      <c r="SKY28" s="108"/>
      <c r="SKZ28" s="108"/>
      <c r="SLA28" s="108"/>
      <c r="SLB28" s="108"/>
      <c r="SLC28" s="108"/>
      <c r="SLD28" s="108"/>
      <c r="SLE28" s="108"/>
      <c r="SLF28" s="108"/>
      <c r="SLG28" s="108"/>
      <c r="SLH28" s="108"/>
      <c r="SLI28" s="108"/>
      <c r="SLJ28" s="108"/>
      <c r="SLK28" s="108"/>
      <c r="SLL28" s="108"/>
      <c r="SLM28" s="108"/>
      <c r="SLN28" s="108"/>
      <c r="SLO28" s="108"/>
      <c r="SLP28" s="108"/>
      <c r="SLQ28" s="108"/>
      <c r="SLR28" s="108"/>
      <c r="SLS28" s="108"/>
      <c r="SLT28" s="108"/>
      <c r="SLU28" s="108"/>
      <c r="SLV28" s="108"/>
      <c r="SLW28" s="108"/>
      <c r="SLX28" s="108"/>
      <c r="SLY28" s="108"/>
      <c r="SLZ28" s="108"/>
      <c r="SMA28" s="108"/>
      <c r="SMB28" s="108"/>
      <c r="SMC28" s="108"/>
      <c r="SMD28" s="108"/>
      <c r="SME28" s="108"/>
      <c r="SMF28" s="108"/>
      <c r="SMG28" s="108"/>
      <c r="SMH28" s="108"/>
      <c r="SMI28" s="108"/>
      <c r="SMJ28" s="108"/>
      <c r="SMK28" s="108"/>
      <c r="SML28" s="108"/>
      <c r="SMM28" s="108"/>
      <c r="SMN28" s="108"/>
      <c r="SMO28" s="108"/>
      <c r="SMP28" s="108"/>
      <c r="SMQ28" s="108"/>
      <c r="SMR28" s="108"/>
      <c r="SMS28" s="108"/>
      <c r="SMT28" s="108"/>
      <c r="SMU28" s="108"/>
      <c r="SMV28" s="108"/>
      <c r="SMW28" s="108"/>
      <c r="SMX28" s="108"/>
      <c r="SMY28" s="108"/>
      <c r="SMZ28" s="108"/>
      <c r="SNA28" s="108"/>
      <c r="SNB28" s="108"/>
      <c r="SNC28" s="108"/>
      <c r="SND28" s="108"/>
      <c r="SNE28" s="108"/>
      <c r="SNF28" s="108"/>
      <c r="SNG28" s="108"/>
      <c r="SNH28" s="108"/>
      <c r="SNI28" s="108"/>
      <c r="SNJ28" s="108"/>
      <c r="SNK28" s="108"/>
      <c r="SNL28" s="108"/>
      <c r="SNM28" s="108"/>
      <c r="SNN28" s="108"/>
      <c r="SNO28" s="108"/>
      <c r="SNP28" s="108"/>
      <c r="SNQ28" s="108"/>
      <c r="SNR28" s="108"/>
      <c r="SNS28" s="108"/>
      <c r="SNT28" s="108"/>
      <c r="SNU28" s="108"/>
      <c r="SNV28" s="108"/>
      <c r="SNW28" s="108"/>
      <c r="SNX28" s="108"/>
      <c r="SNY28" s="108"/>
      <c r="SNZ28" s="108"/>
      <c r="SOA28" s="108"/>
      <c r="SOB28" s="108"/>
      <c r="SOC28" s="108"/>
      <c r="SOD28" s="108"/>
      <c r="SOE28" s="108"/>
      <c r="SOF28" s="108"/>
      <c r="SOG28" s="108"/>
      <c r="SOH28" s="108"/>
      <c r="SOI28" s="108"/>
      <c r="SOJ28" s="108"/>
      <c r="SOK28" s="108"/>
      <c r="SOL28" s="108"/>
      <c r="SOM28" s="108"/>
      <c r="SON28" s="108"/>
      <c r="SOO28" s="108"/>
      <c r="SOP28" s="108"/>
      <c r="SOQ28" s="108"/>
      <c r="SOR28" s="108"/>
      <c r="SOS28" s="108"/>
      <c r="SOT28" s="108"/>
      <c r="SOU28" s="108"/>
      <c r="SOV28" s="108"/>
      <c r="SOW28" s="108"/>
      <c r="SOX28" s="108"/>
      <c r="SOY28" s="108"/>
      <c r="SOZ28" s="108"/>
      <c r="SPA28" s="108"/>
      <c r="SPB28" s="108"/>
      <c r="SPC28" s="108"/>
      <c r="SPD28" s="108"/>
      <c r="SPE28" s="108"/>
      <c r="SPF28" s="108"/>
      <c r="SPG28" s="108"/>
      <c r="SPH28" s="108"/>
      <c r="SPI28" s="108"/>
      <c r="SPJ28" s="108"/>
      <c r="SPK28" s="108"/>
      <c r="SPL28" s="108"/>
      <c r="SPM28" s="108"/>
      <c r="SPN28" s="108"/>
      <c r="SPO28" s="108"/>
      <c r="SPP28" s="108"/>
      <c r="SPQ28" s="108"/>
      <c r="SPR28" s="108"/>
      <c r="SPS28" s="108"/>
      <c r="SPT28" s="108"/>
      <c r="SPU28" s="108"/>
      <c r="SPV28" s="108"/>
      <c r="SPW28" s="108"/>
      <c r="SPX28" s="108"/>
      <c r="SPY28" s="108"/>
      <c r="SPZ28" s="108"/>
      <c r="SQA28" s="108"/>
      <c r="SQB28" s="108"/>
      <c r="SQC28" s="108"/>
      <c r="SQD28" s="108"/>
      <c r="SQE28" s="108"/>
      <c r="SQF28" s="108"/>
      <c r="SQG28" s="108"/>
      <c r="SQH28" s="108"/>
      <c r="SQI28" s="108"/>
      <c r="SQJ28" s="108"/>
      <c r="SQK28" s="108"/>
      <c r="SQL28" s="108"/>
      <c r="SQM28" s="108"/>
      <c r="SQN28" s="108"/>
      <c r="SQO28" s="108"/>
      <c r="SQP28" s="108"/>
      <c r="SQQ28" s="108"/>
      <c r="SQR28" s="108"/>
      <c r="SQS28" s="108"/>
      <c r="SQT28" s="108"/>
      <c r="SQU28" s="108"/>
      <c r="SQV28" s="108"/>
      <c r="SQW28" s="108"/>
      <c r="SQX28" s="108"/>
      <c r="SQY28" s="108"/>
      <c r="SQZ28" s="108"/>
      <c r="SRA28" s="108"/>
      <c r="SRB28" s="108"/>
      <c r="SRC28" s="108"/>
      <c r="SRD28" s="108"/>
      <c r="SRE28" s="108"/>
      <c r="SRF28" s="108"/>
      <c r="SRG28" s="108"/>
      <c r="SRH28" s="108"/>
      <c r="SRI28" s="108"/>
      <c r="SRJ28" s="108"/>
      <c r="SRK28" s="108"/>
      <c r="SRL28" s="108"/>
      <c r="SRM28" s="108"/>
      <c r="SRN28" s="108"/>
      <c r="SRO28" s="108"/>
      <c r="SRP28" s="108"/>
      <c r="SRQ28" s="108"/>
      <c r="SRR28" s="108"/>
      <c r="SRS28" s="108"/>
      <c r="SRT28" s="108"/>
      <c r="SRU28" s="108"/>
      <c r="SRV28" s="108"/>
      <c r="SRW28" s="108"/>
      <c r="SRX28" s="108"/>
      <c r="SRY28" s="108"/>
      <c r="SRZ28" s="108"/>
      <c r="SSA28" s="108"/>
      <c r="SSB28" s="108"/>
      <c r="SSC28" s="108"/>
      <c r="SSD28" s="108"/>
      <c r="SSE28" s="108"/>
      <c r="SSF28" s="108"/>
      <c r="SSG28" s="108"/>
      <c r="SSH28" s="108"/>
      <c r="SSI28" s="108"/>
      <c r="SSJ28" s="108"/>
      <c r="SSK28" s="108"/>
      <c r="SSL28" s="108"/>
      <c r="SSM28" s="108"/>
      <c r="SSN28" s="108"/>
      <c r="SSO28" s="108"/>
      <c r="SSP28" s="108"/>
      <c r="SSQ28" s="108"/>
      <c r="SSR28" s="108"/>
      <c r="SSS28" s="108"/>
      <c r="SST28" s="108"/>
      <c r="SSU28" s="108"/>
      <c r="SSV28" s="108"/>
      <c r="SSW28" s="108"/>
      <c r="SSX28" s="108"/>
      <c r="SSY28" s="108"/>
      <c r="SSZ28" s="108"/>
      <c r="STA28" s="108"/>
      <c r="STB28" s="108"/>
      <c r="STC28" s="108"/>
      <c r="STD28" s="108"/>
      <c r="STE28" s="108"/>
      <c r="STF28" s="108"/>
      <c r="STG28" s="108"/>
      <c r="STH28" s="108"/>
      <c r="STI28" s="108"/>
      <c r="STJ28" s="108"/>
      <c r="STK28" s="108"/>
      <c r="STL28" s="108"/>
      <c r="STM28" s="108"/>
      <c r="STN28" s="108"/>
      <c r="STO28" s="108"/>
      <c r="STP28" s="108"/>
      <c r="STQ28" s="108"/>
      <c r="STR28" s="108"/>
      <c r="STS28" s="108"/>
      <c r="STT28" s="108"/>
      <c r="STU28" s="108"/>
      <c r="STV28" s="108"/>
      <c r="STW28" s="108"/>
      <c r="STX28" s="108"/>
      <c r="STY28" s="108"/>
      <c r="STZ28" s="108"/>
      <c r="SUA28" s="108"/>
      <c r="SUB28" s="108"/>
      <c r="SUC28" s="108"/>
      <c r="SUD28" s="108"/>
      <c r="SUE28" s="108"/>
      <c r="SUF28" s="108"/>
      <c r="SUG28" s="108"/>
      <c r="SUH28" s="108"/>
      <c r="SUI28" s="108"/>
      <c r="SUJ28" s="108"/>
      <c r="SUK28" s="108"/>
      <c r="SUL28" s="108"/>
      <c r="SUM28" s="108"/>
      <c r="SUN28" s="108"/>
      <c r="SUO28" s="108"/>
      <c r="SUP28" s="108"/>
      <c r="SUQ28" s="108"/>
      <c r="SUR28" s="108"/>
      <c r="SUS28" s="108"/>
      <c r="SUT28" s="108"/>
      <c r="SUU28" s="108"/>
      <c r="SUV28" s="108"/>
      <c r="SUW28" s="108"/>
      <c r="SUX28" s="108"/>
      <c r="SUY28" s="108"/>
      <c r="SUZ28" s="108"/>
      <c r="SVA28" s="108"/>
      <c r="SVB28" s="108"/>
      <c r="SVC28" s="108"/>
      <c r="SVD28" s="108"/>
      <c r="SVE28" s="108"/>
      <c r="SVF28" s="108"/>
      <c r="SVG28" s="108"/>
      <c r="SVH28" s="108"/>
      <c r="SVI28" s="108"/>
      <c r="SVJ28" s="108"/>
      <c r="SVK28" s="108"/>
      <c r="SVL28" s="108"/>
      <c r="SVM28" s="108"/>
      <c r="SVN28" s="108"/>
      <c r="SVO28" s="108"/>
      <c r="SVP28" s="108"/>
      <c r="SVQ28" s="108"/>
      <c r="SVR28" s="108"/>
      <c r="SVS28" s="108"/>
      <c r="SVT28" s="108"/>
      <c r="SVU28" s="108"/>
      <c r="SVV28" s="108"/>
      <c r="SVW28" s="108"/>
      <c r="SVX28" s="108"/>
      <c r="SVY28" s="108"/>
      <c r="SVZ28" s="108"/>
      <c r="SWA28" s="108"/>
      <c r="SWB28" s="108"/>
      <c r="SWC28" s="108"/>
      <c r="SWD28" s="108"/>
      <c r="SWE28" s="108"/>
      <c r="SWF28" s="108"/>
      <c r="SWG28" s="108"/>
      <c r="SWH28" s="108"/>
      <c r="SWI28" s="108"/>
      <c r="SWJ28" s="108"/>
      <c r="SWK28" s="108"/>
      <c r="SWL28" s="108"/>
      <c r="SWM28" s="108"/>
      <c r="SWN28" s="108"/>
      <c r="SWO28" s="108"/>
      <c r="SWP28" s="108"/>
      <c r="SWQ28" s="108"/>
      <c r="SWR28" s="108"/>
      <c r="SWS28" s="108"/>
      <c r="SWT28" s="108"/>
      <c r="SWU28" s="108"/>
      <c r="SWV28" s="108"/>
      <c r="SWW28" s="108"/>
      <c r="SWX28" s="108"/>
      <c r="SWY28" s="108"/>
      <c r="SWZ28" s="108"/>
      <c r="SXA28" s="108"/>
      <c r="SXB28" s="108"/>
      <c r="SXC28" s="108"/>
      <c r="SXD28" s="108"/>
      <c r="SXE28" s="108"/>
      <c r="SXF28" s="108"/>
      <c r="SXG28" s="108"/>
      <c r="SXH28" s="108"/>
      <c r="SXI28" s="108"/>
      <c r="SXJ28" s="108"/>
      <c r="SXK28" s="108"/>
      <c r="SXL28" s="108"/>
      <c r="SXM28" s="108"/>
      <c r="SXN28" s="108"/>
      <c r="SXO28" s="108"/>
      <c r="SXP28" s="108"/>
      <c r="SXQ28" s="108"/>
      <c r="SXR28" s="108"/>
      <c r="SXS28" s="108"/>
      <c r="SXT28" s="108"/>
      <c r="SXU28" s="108"/>
      <c r="SXV28" s="108"/>
      <c r="SXW28" s="108"/>
      <c r="SXX28" s="108"/>
      <c r="SXY28" s="108"/>
      <c r="SXZ28" s="108"/>
      <c r="SYA28" s="108"/>
      <c r="SYB28" s="108"/>
      <c r="SYC28" s="108"/>
      <c r="SYD28" s="108"/>
      <c r="SYE28" s="108"/>
      <c r="SYF28" s="108"/>
      <c r="SYG28" s="108"/>
      <c r="SYH28" s="108"/>
      <c r="SYI28" s="108"/>
      <c r="SYJ28" s="108"/>
      <c r="SYK28" s="108"/>
      <c r="SYL28" s="108"/>
      <c r="SYM28" s="108"/>
      <c r="SYN28" s="108"/>
      <c r="SYO28" s="108"/>
      <c r="SYP28" s="108"/>
      <c r="SYQ28" s="108"/>
      <c r="SYR28" s="108"/>
      <c r="SYS28" s="108"/>
      <c r="SYT28" s="108"/>
      <c r="SYU28" s="108"/>
      <c r="SYV28" s="108"/>
      <c r="SYW28" s="108"/>
      <c r="SYX28" s="108"/>
      <c r="SYY28" s="108"/>
      <c r="SYZ28" s="108"/>
      <c r="SZA28" s="108"/>
      <c r="SZB28" s="108"/>
      <c r="SZC28" s="108"/>
      <c r="SZD28" s="108"/>
      <c r="SZE28" s="108"/>
      <c r="SZF28" s="108"/>
      <c r="SZG28" s="108"/>
      <c r="SZH28" s="108"/>
      <c r="SZI28" s="108"/>
      <c r="SZJ28" s="108"/>
      <c r="SZK28" s="108"/>
      <c r="SZL28" s="108"/>
      <c r="SZM28" s="108"/>
      <c r="SZN28" s="108"/>
      <c r="SZO28" s="108"/>
      <c r="SZP28" s="108"/>
      <c r="SZQ28" s="108"/>
      <c r="SZR28" s="108"/>
      <c r="SZS28" s="108"/>
      <c r="SZT28" s="108"/>
      <c r="SZU28" s="108"/>
      <c r="SZV28" s="108"/>
      <c r="SZW28" s="108"/>
      <c r="SZX28" s="108"/>
      <c r="SZY28" s="108"/>
      <c r="SZZ28" s="108"/>
      <c r="TAA28" s="108"/>
      <c r="TAB28" s="108"/>
      <c r="TAC28" s="108"/>
      <c r="TAD28" s="108"/>
      <c r="TAE28" s="108"/>
      <c r="TAF28" s="108"/>
      <c r="TAG28" s="108"/>
      <c r="TAH28" s="108"/>
      <c r="TAI28" s="108"/>
      <c r="TAJ28" s="108"/>
      <c r="TAK28" s="108"/>
      <c r="TAL28" s="108"/>
      <c r="TAM28" s="108"/>
      <c r="TAN28" s="108"/>
      <c r="TAO28" s="108"/>
      <c r="TAP28" s="108"/>
      <c r="TAQ28" s="108"/>
      <c r="TAR28" s="108"/>
      <c r="TAS28" s="108"/>
      <c r="TAT28" s="108"/>
      <c r="TAU28" s="108"/>
      <c r="TAV28" s="108"/>
      <c r="TAW28" s="108"/>
      <c r="TAX28" s="108"/>
      <c r="TAY28" s="108"/>
      <c r="TAZ28" s="108"/>
      <c r="TBA28" s="108"/>
      <c r="TBB28" s="108"/>
      <c r="TBC28" s="108"/>
      <c r="TBD28" s="108"/>
      <c r="TBE28" s="108"/>
      <c r="TBF28" s="108"/>
      <c r="TBG28" s="108"/>
      <c r="TBH28" s="108"/>
      <c r="TBI28" s="108"/>
      <c r="TBJ28" s="108"/>
      <c r="TBK28" s="108"/>
      <c r="TBL28" s="108"/>
      <c r="TBM28" s="108"/>
      <c r="TBN28" s="108"/>
      <c r="TBO28" s="108"/>
      <c r="TBP28" s="108"/>
      <c r="TBQ28" s="108"/>
      <c r="TBR28" s="108"/>
      <c r="TBS28" s="108"/>
      <c r="TBT28" s="108"/>
      <c r="TBU28" s="108"/>
      <c r="TBV28" s="108"/>
      <c r="TBW28" s="108"/>
      <c r="TBX28" s="108"/>
      <c r="TBY28" s="108"/>
      <c r="TBZ28" s="108"/>
      <c r="TCA28" s="108"/>
      <c r="TCB28" s="108"/>
      <c r="TCC28" s="108"/>
      <c r="TCD28" s="108"/>
      <c r="TCE28" s="108"/>
      <c r="TCF28" s="108"/>
      <c r="TCG28" s="108"/>
      <c r="TCH28" s="108"/>
      <c r="TCI28" s="108"/>
      <c r="TCJ28" s="108"/>
      <c r="TCK28" s="108"/>
      <c r="TCL28" s="108"/>
      <c r="TCM28" s="108"/>
      <c r="TCN28" s="108"/>
      <c r="TCO28" s="108"/>
      <c r="TCP28" s="108"/>
      <c r="TCQ28" s="108"/>
      <c r="TCR28" s="108"/>
      <c r="TCS28" s="108"/>
      <c r="TCT28" s="108"/>
      <c r="TCU28" s="108"/>
      <c r="TCV28" s="108"/>
      <c r="TCW28" s="108"/>
      <c r="TCX28" s="108"/>
      <c r="TCY28" s="108"/>
      <c r="TCZ28" s="108"/>
      <c r="TDA28" s="108"/>
      <c r="TDB28" s="108"/>
      <c r="TDC28" s="108"/>
      <c r="TDD28" s="108"/>
      <c r="TDE28" s="108"/>
      <c r="TDF28" s="108"/>
      <c r="TDG28" s="108"/>
      <c r="TDH28" s="108"/>
      <c r="TDI28" s="108"/>
      <c r="TDJ28" s="108"/>
      <c r="TDK28" s="108"/>
      <c r="TDL28" s="108"/>
      <c r="TDM28" s="108"/>
      <c r="TDN28" s="108"/>
      <c r="TDO28" s="108"/>
      <c r="TDP28" s="108"/>
      <c r="TDQ28" s="108"/>
      <c r="TDR28" s="108"/>
      <c r="TDS28" s="108"/>
      <c r="TDT28" s="108"/>
      <c r="TDU28" s="108"/>
      <c r="TDV28" s="108"/>
      <c r="TDW28" s="108"/>
      <c r="TDX28" s="108"/>
      <c r="TDY28" s="108"/>
      <c r="TDZ28" s="108"/>
      <c r="TEA28" s="108"/>
      <c r="TEB28" s="108"/>
      <c r="TEC28" s="108"/>
      <c r="TED28" s="108"/>
      <c r="TEE28" s="108"/>
      <c r="TEF28" s="108"/>
      <c r="TEG28" s="108"/>
      <c r="TEH28" s="108"/>
      <c r="TEI28" s="108"/>
      <c r="TEJ28" s="108"/>
      <c r="TEK28" s="108"/>
      <c r="TEL28" s="108"/>
      <c r="TEM28" s="108"/>
      <c r="TEN28" s="108"/>
      <c r="TEO28" s="108"/>
      <c r="TEP28" s="108"/>
      <c r="TEQ28" s="108"/>
      <c r="TER28" s="108"/>
      <c r="TES28" s="108"/>
      <c r="TET28" s="108"/>
      <c r="TEU28" s="108"/>
      <c r="TEV28" s="108"/>
      <c r="TEW28" s="108"/>
      <c r="TEX28" s="108"/>
      <c r="TEY28" s="108"/>
      <c r="TEZ28" s="108"/>
      <c r="TFA28" s="108"/>
      <c r="TFB28" s="108"/>
      <c r="TFC28" s="108"/>
      <c r="TFD28" s="108"/>
      <c r="TFE28" s="108"/>
      <c r="TFF28" s="108"/>
      <c r="TFG28" s="108"/>
      <c r="TFH28" s="108"/>
      <c r="TFI28" s="108"/>
      <c r="TFJ28" s="108"/>
      <c r="TFK28" s="108"/>
      <c r="TFL28" s="108"/>
      <c r="TFM28" s="108"/>
      <c r="TFN28" s="108"/>
      <c r="TFO28" s="108"/>
      <c r="TFP28" s="108"/>
      <c r="TFQ28" s="108"/>
      <c r="TFR28" s="108"/>
      <c r="TFS28" s="108"/>
      <c r="TFT28" s="108"/>
      <c r="TFU28" s="108"/>
      <c r="TFV28" s="108"/>
      <c r="TFW28" s="108"/>
      <c r="TFX28" s="108"/>
      <c r="TFY28" s="108"/>
      <c r="TFZ28" s="108"/>
      <c r="TGA28" s="108"/>
      <c r="TGB28" s="108"/>
      <c r="TGC28" s="108"/>
      <c r="TGD28" s="108"/>
      <c r="TGE28" s="108"/>
      <c r="TGF28" s="108"/>
      <c r="TGG28" s="108"/>
      <c r="TGH28" s="108"/>
      <c r="TGI28" s="108"/>
      <c r="TGJ28" s="108"/>
      <c r="TGK28" s="108"/>
      <c r="TGL28" s="108"/>
      <c r="TGM28" s="108"/>
      <c r="TGN28" s="108"/>
      <c r="TGO28" s="108"/>
      <c r="TGP28" s="108"/>
      <c r="TGQ28" s="108"/>
      <c r="TGR28" s="108"/>
      <c r="TGS28" s="108"/>
      <c r="TGT28" s="108"/>
      <c r="TGU28" s="108"/>
      <c r="TGV28" s="108"/>
      <c r="TGW28" s="108"/>
      <c r="TGX28" s="108"/>
      <c r="TGY28" s="108"/>
      <c r="TGZ28" s="108"/>
      <c r="THA28" s="108"/>
      <c r="THB28" s="108"/>
      <c r="THC28" s="108"/>
      <c r="THD28" s="108"/>
      <c r="THE28" s="108"/>
      <c r="THF28" s="108"/>
      <c r="THG28" s="108"/>
      <c r="THH28" s="108"/>
      <c r="THI28" s="108"/>
      <c r="THJ28" s="108"/>
      <c r="THK28" s="108"/>
      <c r="THL28" s="108"/>
      <c r="THM28" s="108"/>
      <c r="THN28" s="108"/>
      <c r="THO28" s="108"/>
      <c r="THP28" s="108"/>
      <c r="THQ28" s="108"/>
      <c r="THR28" s="108"/>
      <c r="THS28" s="108"/>
      <c r="THT28" s="108"/>
      <c r="THU28" s="108"/>
      <c r="THV28" s="108"/>
      <c r="THW28" s="108"/>
      <c r="THX28" s="108"/>
      <c r="THY28" s="108"/>
      <c r="THZ28" s="108"/>
      <c r="TIA28" s="108"/>
      <c r="TIB28" s="108"/>
      <c r="TIC28" s="108"/>
      <c r="TID28" s="108"/>
      <c r="TIE28" s="108"/>
      <c r="TIF28" s="108"/>
      <c r="TIG28" s="108"/>
      <c r="TIH28" s="108"/>
      <c r="TII28" s="108"/>
      <c r="TIJ28" s="108"/>
      <c r="TIK28" s="108"/>
      <c r="TIL28" s="108"/>
      <c r="TIM28" s="108"/>
      <c r="TIN28" s="108"/>
      <c r="TIO28" s="108"/>
      <c r="TIP28" s="108"/>
      <c r="TIQ28" s="108"/>
      <c r="TIR28" s="108"/>
      <c r="TIS28" s="108"/>
      <c r="TIT28" s="108"/>
      <c r="TIU28" s="108"/>
      <c r="TIV28" s="108"/>
      <c r="TIW28" s="108"/>
      <c r="TIX28" s="108"/>
      <c r="TIY28" s="108"/>
      <c r="TIZ28" s="108"/>
      <c r="TJA28" s="108"/>
      <c r="TJB28" s="108"/>
      <c r="TJC28" s="108"/>
      <c r="TJD28" s="108"/>
      <c r="TJE28" s="108"/>
      <c r="TJF28" s="108"/>
      <c r="TJG28" s="108"/>
      <c r="TJH28" s="108"/>
      <c r="TJI28" s="108"/>
      <c r="TJJ28" s="108"/>
      <c r="TJK28" s="108"/>
      <c r="TJL28" s="108"/>
      <c r="TJM28" s="108"/>
      <c r="TJN28" s="108"/>
      <c r="TJO28" s="108"/>
      <c r="TJP28" s="108"/>
      <c r="TJQ28" s="108"/>
      <c r="TJR28" s="108"/>
      <c r="TJS28" s="108"/>
      <c r="TJT28" s="108"/>
      <c r="TJU28" s="108"/>
      <c r="TJV28" s="108"/>
      <c r="TJW28" s="108"/>
      <c r="TJX28" s="108"/>
      <c r="TJY28" s="108"/>
      <c r="TJZ28" s="108"/>
      <c r="TKA28" s="108"/>
      <c r="TKB28" s="108"/>
      <c r="TKC28" s="108"/>
      <c r="TKD28" s="108"/>
      <c r="TKE28" s="108"/>
      <c r="TKF28" s="108"/>
      <c r="TKG28" s="108"/>
      <c r="TKH28" s="108"/>
      <c r="TKI28" s="108"/>
      <c r="TKJ28" s="108"/>
      <c r="TKK28" s="108"/>
      <c r="TKL28" s="108"/>
      <c r="TKM28" s="108"/>
      <c r="TKN28" s="108"/>
      <c r="TKO28" s="108"/>
      <c r="TKP28" s="108"/>
      <c r="TKQ28" s="108"/>
      <c r="TKR28" s="108"/>
      <c r="TKS28" s="108"/>
      <c r="TKT28" s="108"/>
      <c r="TKU28" s="108"/>
      <c r="TKV28" s="108"/>
      <c r="TKW28" s="108"/>
      <c r="TKX28" s="108"/>
      <c r="TKY28" s="108"/>
      <c r="TKZ28" s="108"/>
      <c r="TLA28" s="108"/>
      <c r="TLB28" s="108"/>
      <c r="TLC28" s="108"/>
      <c r="TLD28" s="108"/>
      <c r="TLE28" s="108"/>
      <c r="TLF28" s="108"/>
      <c r="TLG28" s="108"/>
      <c r="TLH28" s="108"/>
      <c r="TLI28" s="108"/>
      <c r="TLJ28" s="108"/>
      <c r="TLK28" s="108"/>
      <c r="TLL28" s="108"/>
      <c r="TLM28" s="108"/>
      <c r="TLN28" s="108"/>
      <c r="TLO28" s="108"/>
      <c r="TLP28" s="108"/>
      <c r="TLQ28" s="108"/>
      <c r="TLR28" s="108"/>
      <c r="TLS28" s="108"/>
      <c r="TLT28" s="108"/>
      <c r="TLU28" s="108"/>
      <c r="TLV28" s="108"/>
      <c r="TLW28" s="108"/>
      <c r="TLX28" s="108"/>
      <c r="TLY28" s="108"/>
      <c r="TLZ28" s="108"/>
      <c r="TMA28" s="108"/>
      <c r="TMB28" s="108"/>
      <c r="TMC28" s="108"/>
      <c r="TMD28" s="108"/>
      <c r="TME28" s="108"/>
      <c r="TMF28" s="108"/>
      <c r="TMG28" s="108"/>
      <c r="TMH28" s="108"/>
      <c r="TMI28" s="108"/>
      <c r="TMJ28" s="108"/>
      <c r="TMK28" s="108"/>
      <c r="TML28" s="108"/>
      <c r="TMM28" s="108"/>
      <c r="TMN28" s="108"/>
      <c r="TMO28" s="108"/>
      <c r="TMP28" s="108"/>
      <c r="TMQ28" s="108"/>
      <c r="TMR28" s="108"/>
      <c r="TMS28" s="108"/>
      <c r="TMT28" s="108"/>
      <c r="TMU28" s="108"/>
      <c r="TMV28" s="108"/>
      <c r="TMW28" s="108"/>
      <c r="TMX28" s="108"/>
      <c r="TMY28" s="108"/>
      <c r="TMZ28" s="108"/>
      <c r="TNA28" s="108"/>
      <c r="TNB28" s="108"/>
      <c r="TNC28" s="108"/>
      <c r="TND28" s="108"/>
      <c r="TNE28" s="108"/>
      <c r="TNF28" s="108"/>
      <c r="TNG28" s="108"/>
      <c r="TNH28" s="108"/>
      <c r="TNI28" s="108"/>
      <c r="TNJ28" s="108"/>
      <c r="TNK28" s="108"/>
      <c r="TNL28" s="108"/>
      <c r="TNM28" s="108"/>
      <c r="TNN28" s="108"/>
      <c r="TNO28" s="108"/>
      <c r="TNP28" s="108"/>
      <c r="TNQ28" s="108"/>
      <c r="TNR28" s="108"/>
      <c r="TNS28" s="108"/>
      <c r="TNT28" s="108"/>
      <c r="TNU28" s="108"/>
      <c r="TNV28" s="108"/>
      <c r="TNW28" s="108"/>
      <c r="TNX28" s="108"/>
      <c r="TNY28" s="108"/>
      <c r="TNZ28" s="108"/>
      <c r="TOA28" s="108"/>
      <c r="TOB28" s="108"/>
      <c r="TOC28" s="108"/>
      <c r="TOD28" s="108"/>
      <c r="TOE28" s="108"/>
      <c r="TOF28" s="108"/>
      <c r="TOG28" s="108"/>
      <c r="TOH28" s="108"/>
      <c r="TOI28" s="108"/>
      <c r="TOJ28" s="108"/>
      <c r="TOK28" s="108"/>
      <c r="TOL28" s="108"/>
      <c r="TOM28" s="108"/>
      <c r="TON28" s="108"/>
      <c r="TOO28" s="108"/>
      <c r="TOP28" s="108"/>
      <c r="TOQ28" s="108"/>
      <c r="TOR28" s="108"/>
      <c r="TOS28" s="108"/>
      <c r="TOT28" s="108"/>
      <c r="TOU28" s="108"/>
      <c r="TOV28" s="108"/>
      <c r="TOW28" s="108"/>
      <c r="TOX28" s="108"/>
      <c r="TOY28" s="108"/>
      <c r="TOZ28" s="108"/>
      <c r="TPA28" s="108"/>
      <c r="TPB28" s="108"/>
      <c r="TPC28" s="108"/>
      <c r="TPD28" s="108"/>
      <c r="TPE28" s="108"/>
      <c r="TPF28" s="108"/>
      <c r="TPG28" s="108"/>
      <c r="TPH28" s="108"/>
      <c r="TPI28" s="108"/>
      <c r="TPJ28" s="108"/>
      <c r="TPK28" s="108"/>
      <c r="TPL28" s="108"/>
      <c r="TPM28" s="108"/>
      <c r="TPN28" s="108"/>
      <c r="TPO28" s="108"/>
      <c r="TPP28" s="108"/>
      <c r="TPQ28" s="108"/>
      <c r="TPR28" s="108"/>
      <c r="TPS28" s="108"/>
      <c r="TPT28" s="108"/>
      <c r="TPU28" s="108"/>
      <c r="TPV28" s="108"/>
      <c r="TPW28" s="108"/>
      <c r="TPX28" s="108"/>
      <c r="TPY28" s="108"/>
      <c r="TPZ28" s="108"/>
      <c r="TQA28" s="108"/>
      <c r="TQB28" s="108"/>
      <c r="TQC28" s="108"/>
      <c r="TQD28" s="108"/>
      <c r="TQE28" s="108"/>
      <c r="TQF28" s="108"/>
      <c r="TQG28" s="108"/>
      <c r="TQH28" s="108"/>
      <c r="TQI28" s="108"/>
      <c r="TQJ28" s="108"/>
      <c r="TQK28" s="108"/>
      <c r="TQL28" s="108"/>
      <c r="TQM28" s="108"/>
      <c r="TQN28" s="108"/>
      <c r="TQO28" s="108"/>
      <c r="TQP28" s="108"/>
      <c r="TQQ28" s="108"/>
      <c r="TQR28" s="108"/>
      <c r="TQS28" s="108"/>
      <c r="TQT28" s="108"/>
      <c r="TQU28" s="108"/>
      <c r="TQV28" s="108"/>
      <c r="TQW28" s="108"/>
      <c r="TQX28" s="108"/>
      <c r="TQY28" s="108"/>
      <c r="TQZ28" s="108"/>
      <c r="TRA28" s="108"/>
      <c r="TRB28" s="108"/>
      <c r="TRC28" s="108"/>
      <c r="TRD28" s="108"/>
      <c r="TRE28" s="108"/>
      <c r="TRF28" s="108"/>
      <c r="TRG28" s="108"/>
      <c r="TRH28" s="108"/>
      <c r="TRI28" s="108"/>
      <c r="TRJ28" s="108"/>
      <c r="TRK28" s="108"/>
      <c r="TRL28" s="108"/>
      <c r="TRM28" s="108"/>
      <c r="TRN28" s="108"/>
      <c r="TRO28" s="108"/>
      <c r="TRP28" s="108"/>
      <c r="TRQ28" s="108"/>
      <c r="TRR28" s="108"/>
      <c r="TRS28" s="108"/>
      <c r="TRT28" s="108"/>
      <c r="TRU28" s="108"/>
      <c r="TRV28" s="108"/>
      <c r="TRW28" s="108"/>
      <c r="TRX28" s="108"/>
      <c r="TRY28" s="108"/>
      <c r="TRZ28" s="108"/>
      <c r="TSA28" s="108"/>
      <c r="TSB28" s="108"/>
      <c r="TSC28" s="108"/>
      <c r="TSD28" s="108"/>
      <c r="TSE28" s="108"/>
      <c r="TSF28" s="108"/>
      <c r="TSG28" s="108"/>
      <c r="TSH28" s="108"/>
      <c r="TSI28" s="108"/>
      <c r="TSJ28" s="108"/>
      <c r="TSK28" s="108"/>
      <c r="TSL28" s="108"/>
      <c r="TSM28" s="108"/>
      <c r="TSN28" s="108"/>
      <c r="TSO28" s="108"/>
      <c r="TSP28" s="108"/>
      <c r="TSQ28" s="108"/>
      <c r="TSR28" s="108"/>
      <c r="TSS28" s="108"/>
      <c r="TST28" s="108"/>
      <c r="TSU28" s="108"/>
      <c r="TSV28" s="108"/>
      <c r="TSW28" s="108"/>
      <c r="TSX28" s="108"/>
      <c r="TSY28" s="108"/>
      <c r="TSZ28" s="108"/>
      <c r="TTA28" s="108"/>
      <c r="TTB28" s="108"/>
      <c r="TTC28" s="108"/>
      <c r="TTD28" s="108"/>
      <c r="TTE28" s="108"/>
      <c r="TTF28" s="108"/>
      <c r="TTG28" s="108"/>
      <c r="TTH28" s="108"/>
      <c r="TTI28" s="108"/>
      <c r="TTJ28" s="108"/>
      <c r="TTK28" s="108"/>
      <c r="TTL28" s="108"/>
      <c r="TTM28" s="108"/>
      <c r="TTN28" s="108"/>
      <c r="TTO28" s="108"/>
      <c r="TTP28" s="108"/>
      <c r="TTQ28" s="108"/>
      <c r="TTR28" s="108"/>
      <c r="TTS28" s="108"/>
      <c r="TTT28" s="108"/>
      <c r="TTU28" s="108"/>
      <c r="TTV28" s="108"/>
      <c r="TTW28" s="108"/>
      <c r="TTX28" s="108"/>
      <c r="TTY28" s="108"/>
      <c r="TTZ28" s="108"/>
      <c r="TUA28" s="108"/>
      <c r="TUB28" s="108"/>
      <c r="TUC28" s="108"/>
      <c r="TUD28" s="108"/>
      <c r="TUE28" s="108"/>
      <c r="TUF28" s="108"/>
      <c r="TUG28" s="108"/>
      <c r="TUH28" s="108"/>
      <c r="TUI28" s="108"/>
      <c r="TUJ28" s="108"/>
      <c r="TUK28" s="108"/>
      <c r="TUL28" s="108"/>
      <c r="TUM28" s="108"/>
      <c r="TUN28" s="108"/>
      <c r="TUO28" s="108"/>
      <c r="TUP28" s="108"/>
      <c r="TUQ28" s="108"/>
      <c r="TUR28" s="108"/>
      <c r="TUS28" s="108"/>
      <c r="TUT28" s="108"/>
      <c r="TUU28" s="108"/>
      <c r="TUV28" s="108"/>
      <c r="TUW28" s="108"/>
      <c r="TUX28" s="108"/>
      <c r="TUY28" s="108"/>
      <c r="TUZ28" s="108"/>
      <c r="TVA28" s="108"/>
      <c r="TVB28" s="108"/>
      <c r="TVC28" s="108"/>
      <c r="TVD28" s="108"/>
      <c r="TVE28" s="108"/>
      <c r="TVF28" s="108"/>
      <c r="TVG28" s="108"/>
      <c r="TVH28" s="108"/>
      <c r="TVI28" s="108"/>
      <c r="TVJ28" s="108"/>
      <c r="TVK28" s="108"/>
      <c r="TVL28" s="108"/>
      <c r="TVM28" s="108"/>
      <c r="TVN28" s="108"/>
      <c r="TVO28" s="108"/>
      <c r="TVP28" s="108"/>
      <c r="TVQ28" s="108"/>
      <c r="TVR28" s="108"/>
      <c r="TVS28" s="108"/>
      <c r="TVT28" s="108"/>
      <c r="TVU28" s="108"/>
      <c r="TVV28" s="108"/>
      <c r="TVW28" s="108"/>
      <c r="TVX28" s="108"/>
      <c r="TVY28" s="108"/>
      <c r="TVZ28" s="108"/>
      <c r="TWA28" s="108"/>
      <c r="TWB28" s="108"/>
      <c r="TWC28" s="108"/>
      <c r="TWD28" s="108"/>
      <c r="TWE28" s="108"/>
      <c r="TWF28" s="108"/>
      <c r="TWG28" s="108"/>
      <c r="TWH28" s="108"/>
      <c r="TWI28" s="108"/>
      <c r="TWJ28" s="108"/>
      <c r="TWK28" s="108"/>
      <c r="TWL28" s="108"/>
      <c r="TWM28" s="108"/>
      <c r="TWN28" s="108"/>
      <c r="TWO28" s="108"/>
      <c r="TWP28" s="108"/>
      <c r="TWQ28" s="108"/>
      <c r="TWR28" s="108"/>
      <c r="TWS28" s="108"/>
      <c r="TWT28" s="108"/>
      <c r="TWU28" s="108"/>
      <c r="TWV28" s="108"/>
      <c r="TWW28" s="108"/>
      <c r="TWX28" s="108"/>
      <c r="TWY28" s="108"/>
      <c r="TWZ28" s="108"/>
      <c r="TXA28" s="108"/>
      <c r="TXB28" s="108"/>
      <c r="TXC28" s="108"/>
      <c r="TXD28" s="108"/>
      <c r="TXE28" s="108"/>
      <c r="TXF28" s="108"/>
      <c r="TXG28" s="108"/>
      <c r="TXH28" s="108"/>
      <c r="TXI28" s="108"/>
      <c r="TXJ28" s="108"/>
      <c r="TXK28" s="108"/>
      <c r="TXL28" s="108"/>
      <c r="TXM28" s="108"/>
      <c r="TXN28" s="108"/>
      <c r="TXO28" s="108"/>
      <c r="TXP28" s="108"/>
      <c r="TXQ28" s="108"/>
      <c r="TXR28" s="108"/>
      <c r="TXS28" s="108"/>
      <c r="TXT28" s="108"/>
      <c r="TXU28" s="108"/>
      <c r="TXV28" s="108"/>
      <c r="TXW28" s="108"/>
      <c r="TXX28" s="108"/>
      <c r="TXY28" s="108"/>
      <c r="TXZ28" s="108"/>
      <c r="TYA28" s="108"/>
      <c r="TYB28" s="108"/>
      <c r="TYC28" s="108"/>
      <c r="TYD28" s="108"/>
      <c r="TYE28" s="108"/>
      <c r="TYF28" s="108"/>
      <c r="TYG28" s="108"/>
      <c r="TYH28" s="108"/>
      <c r="TYI28" s="108"/>
      <c r="TYJ28" s="108"/>
      <c r="TYK28" s="108"/>
      <c r="TYL28" s="108"/>
      <c r="TYM28" s="108"/>
      <c r="TYN28" s="108"/>
      <c r="TYO28" s="108"/>
      <c r="TYP28" s="108"/>
      <c r="TYQ28" s="108"/>
      <c r="TYR28" s="108"/>
      <c r="TYS28" s="108"/>
      <c r="TYT28" s="108"/>
      <c r="TYU28" s="108"/>
      <c r="TYV28" s="108"/>
      <c r="TYW28" s="108"/>
      <c r="TYX28" s="108"/>
      <c r="TYY28" s="108"/>
      <c r="TYZ28" s="108"/>
      <c r="TZA28" s="108"/>
      <c r="TZB28" s="108"/>
      <c r="TZC28" s="108"/>
      <c r="TZD28" s="108"/>
      <c r="TZE28" s="108"/>
      <c r="TZF28" s="108"/>
      <c r="TZG28" s="108"/>
      <c r="TZH28" s="108"/>
      <c r="TZI28" s="108"/>
      <c r="TZJ28" s="108"/>
      <c r="TZK28" s="108"/>
      <c r="TZL28" s="108"/>
      <c r="TZM28" s="108"/>
      <c r="TZN28" s="108"/>
      <c r="TZO28" s="108"/>
      <c r="TZP28" s="108"/>
      <c r="TZQ28" s="108"/>
      <c r="TZR28" s="108"/>
      <c r="TZS28" s="108"/>
      <c r="TZT28" s="108"/>
      <c r="TZU28" s="108"/>
      <c r="TZV28" s="108"/>
      <c r="TZW28" s="108"/>
      <c r="TZX28" s="108"/>
      <c r="TZY28" s="108"/>
      <c r="TZZ28" s="108"/>
      <c r="UAA28" s="108"/>
      <c r="UAB28" s="108"/>
      <c r="UAC28" s="108"/>
      <c r="UAD28" s="108"/>
      <c r="UAE28" s="108"/>
      <c r="UAF28" s="108"/>
      <c r="UAG28" s="108"/>
      <c r="UAH28" s="108"/>
      <c r="UAI28" s="108"/>
      <c r="UAJ28" s="108"/>
      <c r="UAK28" s="108"/>
      <c r="UAL28" s="108"/>
      <c r="UAM28" s="108"/>
      <c r="UAN28" s="108"/>
      <c r="UAO28" s="108"/>
      <c r="UAP28" s="108"/>
      <c r="UAQ28" s="108"/>
      <c r="UAR28" s="108"/>
      <c r="UAS28" s="108"/>
      <c r="UAT28" s="108"/>
      <c r="UAU28" s="108"/>
      <c r="UAV28" s="108"/>
      <c r="UAW28" s="108"/>
      <c r="UAX28" s="108"/>
      <c r="UAY28" s="108"/>
      <c r="UAZ28" s="108"/>
      <c r="UBA28" s="108"/>
      <c r="UBB28" s="108"/>
      <c r="UBC28" s="108"/>
      <c r="UBD28" s="108"/>
      <c r="UBE28" s="108"/>
      <c r="UBF28" s="108"/>
      <c r="UBG28" s="108"/>
      <c r="UBH28" s="108"/>
      <c r="UBI28" s="108"/>
      <c r="UBJ28" s="108"/>
      <c r="UBK28" s="108"/>
      <c r="UBL28" s="108"/>
      <c r="UBM28" s="108"/>
      <c r="UBN28" s="108"/>
      <c r="UBO28" s="108"/>
      <c r="UBP28" s="108"/>
      <c r="UBQ28" s="108"/>
      <c r="UBR28" s="108"/>
      <c r="UBS28" s="108"/>
      <c r="UBT28" s="108"/>
      <c r="UBU28" s="108"/>
      <c r="UBV28" s="108"/>
      <c r="UBW28" s="108"/>
      <c r="UBX28" s="108"/>
      <c r="UBY28" s="108"/>
      <c r="UBZ28" s="108"/>
      <c r="UCA28" s="108"/>
      <c r="UCB28" s="108"/>
      <c r="UCC28" s="108"/>
      <c r="UCD28" s="108"/>
      <c r="UCE28" s="108"/>
      <c r="UCF28" s="108"/>
      <c r="UCG28" s="108"/>
      <c r="UCH28" s="108"/>
      <c r="UCI28" s="108"/>
      <c r="UCJ28" s="108"/>
      <c r="UCK28" s="108"/>
      <c r="UCL28" s="108"/>
      <c r="UCM28" s="108"/>
      <c r="UCN28" s="108"/>
      <c r="UCO28" s="108"/>
      <c r="UCP28" s="108"/>
      <c r="UCQ28" s="108"/>
      <c r="UCR28" s="108"/>
      <c r="UCS28" s="108"/>
      <c r="UCT28" s="108"/>
      <c r="UCU28" s="108"/>
      <c r="UCV28" s="108"/>
      <c r="UCW28" s="108"/>
      <c r="UCX28" s="108"/>
      <c r="UCY28" s="108"/>
      <c r="UCZ28" s="108"/>
      <c r="UDA28" s="108"/>
      <c r="UDB28" s="108"/>
      <c r="UDC28" s="108"/>
      <c r="UDD28" s="108"/>
      <c r="UDE28" s="108"/>
      <c r="UDF28" s="108"/>
      <c r="UDG28" s="108"/>
      <c r="UDH28" s="108"/>
      <c r="UDI28" s="108"/>
      <c r="UDJ28" s="108"/>
      <c r="UDK28" s="108"/>
      <c r="UDL28" s="108"/>
      <c r="UDM28" s="108"/>
      <c r="UDN28" s="108"/>
      <c r="UDO28" s="108"/>
      <c r="UDP28" s="108"/>
      <c r="UDQ28" s="108"/>
      <c r="UDR28" s="108"/>
      <c r="UDS28" s="108"/>
      <c r="UDT28" s="108"/>
      <c r="UDU28" s="108"/>
      <c r="UDV28" s="108"/>
      <c r="UDW28" s="108"/>
      <c r="UDX28" s="108"/>
      <c r="UDY28" s="108"/>
      <c r="UDZ28" s="108"/>
      <c r="UEA28" s="108"/>
      <c r="UEB28" s="108"/>
      <c r="UEC28" s="108"/>
      <c r="UED28" s="108"/>
      <c r="UEE28" s="108"/>
      <c r="UEF28" s="108"/>
      <c r="UEG28" s="108"/>
      <c r="UEH28" s="108"/>
      <c r="UEI28" s="108"/>
      <c r="UEJ28" s="108"/>
      <c r="UEK28" s="108"/>
      <c r="UEL28" s="108"/>
      <c r="UEM28" s="108"/>
      <c r="UEN28" s="108"/>
      <c r="UEO28" s="108"/>
      <c r="UEP28" s="108"/>
      <c r="UEQ28" s="108"/>
      <c r="UER28" s="108"/>
      <c r="UES28" s="108"/>
      <c r="UET28" s="108"/>
      <c r="UEU28" s="108"/>
      <c r="UEV28" s="108"/>
      <c r="UEW28" s="108"/>
      <c r="UEX28" s="108"/>
      <c r="UEY28" s="108"/>
      <c r="UEZ28" s="108"/>
      <c r="UFA28" s="108"/>
      <c r="UFB28" s="108"/>
      <c r="UFC28" s="108"/>
      <c r="UFD28" s="108"/>
      <c r="UFE28" s="108"/>
      <c r="UFF28" s="108"/>
      <c r="UFG28" s="108"/>
      <c r="UFH28" s="108"/>
      <c r="UFI28" s="108"/>
      <c r="UFJ28" s="108"/>
      <c r="UFK28" s="108"/>
      <c r="UFL28" s="108"/>
      <c r="UFM28" s="108"/>
      <c r="UFN28" s="108"/>
      <c r="UFO28" s="108"/>
      <c r="UFP28" s="108"/>
      <c r="UFQ28" s="108"/>
      <c r="UFR28" s="108"/>
      <c r="UFS28" s="108"/>
      <c r="UFT28" s="108"/>
      <c r="UFU28" s="108"/>
      <c r="UFV28" s="108"/>
      <c r="UFW28" s="108"/>
      <c r="UFX28" s="108"/>
      <c r="UFY28" s="108"/>
      <c r="UFZ28" s="108"/>
      <c r="UGA28" s="108"/>
      <c r="UGB28" s="108"/>
      <c r="UGC28" s="108"/>
      <c r="UGD28" s="108"/>
      <c r="UGE28" s="108"/>
      <c r="UGF28" s="108"/>
      <c r="UGG28" s="108"/>
      <c r="UGH28" s="108"/>
      <c r="UGI28" s="108"/>
      <c r="UGJ28" s="108"/>
      <c r="UGK28" s="108"/>
      <c r="UGL28" s="108"/>
      <c r="UGM28" s="108"/>
      <c r="UGN28" s="108"/>
      <c r="UGO28" s="108"/>
      <c r="UGP28" s="108"/>
      <c r="UGQ28" s="108"/>
      <c r="UGR28" s="108"/>
      <c r="UGS28" s="108"/>
      <c r="UGT28" s="108"/>
      <c r="UGU28" s="108"/>
      <c r="UGV28" s="108"/>
      <c r="UGW28" s="108"/>
      <c r="UGX28" s="108"/>
      <c r="UGY28" s="108"/>
      <c r="UGZ28" s="108"/>
      <c r="UHA28" s="108"/>
      <c r="UHB28" s="108"/>
      <c r="UHC28" s="108"/>
      <c r="UHD28" s="108"/>
      <c r="UHE28" s="108"/>
      <c r="UHF28" s="108"/>
      <c r="UHG28" s="108"/>
      <c r="UHH28" s="108"/>
      <c r="UHI28" s="108"/>
      <c r="UHJ28" s="108"/>
      <c r="UHK28" s="108"/>
      <c r="UHL28" s="108"/>
      <c r="UHM28" s="108"/>
      <c r="UHN28" s="108"/>
      <c r="UHO28" s="108"/>
      <c r="UHP28" s="108"/>
      <c r="UHQ28" s="108"/>
      <c r="UHR28" s="108"/>
      <c r="UHS28" s="108"/>
      <c r="UHT28" s="108"/>
      <c r="UHU28" s="108"/>
      <c r="UHV28" s="108"/>
      <c r="UHW28" s="108"/>
      <c r="UHX28" s="108"/>
      <c r="UHY28" s="108"/>
      <c r="UHZ28" s="108"/>
      <c r="UIA28" s="108"/>
      <c r="UIB28" s="108"/>
      <c r="UIC28" s="108"/>
      <c r="UID28" s="108"/>
      <c r="UIE28" s="108"/>
      <c r="UIF28" s="108"/>
      <c r="UIG28" s="108"/>
      <c r="UIH28" s="108"/>
      <c r="UII28" s="108"/>
      <c r="UIJ28" s="108"/>
      <c r="UIK28" s="108"/>
      <c r="UIL28" s="108"/>
      <c r="UIM28" s="108"/>
      <c r="UIN28" s="108"/>
      <c r="UIO28" s="108"/>
      <c r="UIP28" s="108"/>
      <c r="UIQ28" s="108"/>
      <c r="UIR28" s="108"/>
      <c r="UIS28" s="108"/>
      <c r="UIT28" s="108"/>
      <c r="UIU28" s="108"/>
      <c r="UIV28" s="108"/>
      <c r="UIW28" s="108"/>
      <c r="UIX28" s="108"/>
      <c r="UIY28" s="108"/>
      <c r="UIZ28" s="108"/>
      <c r="UJA28" s="108"/>
      <c r="UJB28" s="108"/>
      <c r="UJC28" s="108"/>
      <c r="UJD28" s="108"/>
      <c r="UJE28" s="108"/>
      <c r="UJF28" s="108"/>
      <c r="UJG28" s="108"/>
      <c r="UJH28" s="108"/>
      <c r="UJI28" s="108"/>
      <c r="UJJ28" s="108"/>
      <c r="UJK28" s="108"/>
      <c r="UJL28" s="108"/>
      <c r="UJM28" s="108"/>
      <c r="UJN28" s="108"/>
      <c r="UJO28" s="108"/>
      <c r="UJP28" s="108"/>
      <c r="UJQ28" s="108"/>
      <c r="UJR28" s="108"/>
      <c r="UJS28" s="108"/>
      <c r="UJT28" s="108"/>
      <c r="UJU28" s="108"/>
      <c r="UJV28" s="108"/>
      <c r="UJW28" s="108"/>
      <c r="UJX28" s="108"/>
      <c r="UJY28" s="108"/>
      <c r="UJZ28" s="108"/>
      <c r="UKA28" s="108"/>
      <c r="UKB28" s="108"/>
      <c r="UKC28" s="108"/>
      <c r="UKD28" s="108"/>
      <c r="UKE28" s="108"/>
      <c r="UKF28" s="108"/>
      <c r="UKG28" s="108"/>
      <c r="UKH28" s="108"/>
      <c r="UKI28" s="108"/>
      <c r="UKJ28" s="108"/>
      <c r="UKK28" s="108"/>
      <c r="UKL28" s="108"/>
      <c r="UKM28" s="108"/>
      <c r="UKN28" s="108"/>
      <c r="UKO28" s="108"/>
      <c r="UKP28" s="108"/>
      <c r="UKQ28" s="108"/>
      <c r="UKR28" s="108"/>
      <c r="UKS28" s="108"/>
      <c r="UKT28" s="108"/>
      <c r="UKU28" s="108"/>
      <c r="UKV28" s="108"/>
      <c r="UKW28" s="108"/>
      <c r="UKX28" s="108"/>
      <c r="UKY28" s="108"/>
      <c r="UKZ28" s="108"/>
      <c r="ULA28" s="108"/>
      <c r="ULB28" s="108"/>
      <c r="ULC28" s="108"/>
      <c r="ULD28" s="108"/>
      <c r="ULE28" s="108"/>
      <c r="ULF28" s="108"/>
      <c r="ULG28" s="108"/>
      <c r="ULH28" s="108"/>
      <c r="ULI28" s="108"/>
      <c r="ULJ28" s="108"/>
      <c r="ULK28" s="108"/>
      <c r="ULL28" s="108"/>
      <c r="ULM28" s="108"/>
      <c r="ULN28" s="108"/>
      <c r="ULO28" s="108"/>
      <c r="ULP28" s="108"/>
      <c r="ULQ28" s="108"/>
      <c r="ULR28" s="108"/>
      <c r="ULS28" s="108"/>
      <c r="ULT28" s="108"/>
      <c r="ULU28" s="108"/>
      <c r="ULV28" s="108"/>
      <c r="ULW28" s="108"/>
      <c r="ULX28" s="108"/>
      <c r="ULY28" s="108"/>
      <c r="ULZ28" s="108"/>
      <c r="UMA28" s="108"/>
      <c r="UMB28" s="108"/>
      <c r="UMC28" s="108"/>
      <c r="UMD28" s="108"/>
      <c r="UME28" s="108"/>
      <c r="UMF28" s="108"/>
      <c r="UMG28" s="108"/>
      <c r="UMH28" s="108"/>
      <c r="UMI28" s="108"/>
      <c r="UMJ28" s="108"/>
      <c r="UMK28" s="108"/>
      <c r="UML28" s="108"/>
      <c r="UMM28" s="108"/>
      <c r="UMN28" s="108"/>
      <c r="UMO28" s="108"/>
      <c r="UMP28" s="108"/>
      <c r="UMQ28" s="108"/>
      <c r="UMR28" s="108"/>
      <c r="UMS28" s="108"/>
      <c r="UMT28" s="108"/>
      <c r="UMU28" s="108"/>
      <c r="UMV28" s="108"/>
      <c r="UMW28" s="108"/>
      <c r="UMX28" s="108"/>
      <c r="UMY28" s="108"/>
      <c r="UMZ28" s="108"/>
      <c r="UNA28" s="108"/>
      <c r="UNB28" s="108"/>
      <c r="UNC28" s="108"/>
      <c r="UND28" s="108"/>
      <c r="UNE28" s="108"/>
      <c r="UNF28" s="108"/>
      <c r="UNG28" s="108"/>
      <c r="UNH28" s="108"/>
      <c r="UNI28" s="108"/>
      <c r="UNJ28" s="108"/>
      <c r="UNK28" s="108"/>
      <c r="UNL28" s="108"/>
      <c r="UNM28" s="108"/>
      <c r="UNN28" s="108"/>
      <c r="UNO28" s="108"/>
      <c r="UNP28" s="108"/>
      <c r="UNQ28" s="108"/>
      <c r="UNR28" s="108"/>
      <c r="UNS28" s="108"/>
      <c r="UNT28" s="108"/>
      <c r="UNU28" s="108"/>
      <c r="UNV28" s="108"/>
      <c r="UNW28" s="108"/>
      <c r="UNX28" s="108"/>
      <c r="UNY28" s="108"/>
      <c r="UNZ28" s="108"/>
      <c r="UOA28" s="108"/>
      <c r="UOB28" s="108"/>
      <c r="UOC28" s="108"/>
      <c r="UOD28" s="108"/>
      <c r="UOE28" s="108"/>
      <c r="UOF28" s="108"/>
      <c r="UOG28" s="108"/>
      <c r="UOH28" s="108"/>
      <c r="UOI28" s="108"/>
      <c r="UOJ28" s="108"/>
      <c r="UOK28" s="108"/>
      <c r="UOL28" s="108"/>
      <c r="UOM28" s="108"/>
      <c r="UON28" s="108"/>
      <c r="UOO28" s="108"/>
      <c r="UOP28" s="108"/>
      <c r="UOQ28" s="108"/>
      <c r="UOR28" s="108"/>
      <c r="UOS28" s="108"/>
      <c r="UOT28" s="108"/>
      <c r="UOU28" s="108"/>
      <c r="UOV28" s="108"/>
      <c r="UOW28" s="108"/>
      <c r="UOX28" s="108"/>
      <c r="UOY28" s="108"/>
      <c r="UOZ28" s="108"/>
      <c r="UPA28" s="108"/>
      <c r="UPB28" s="108"/>
      <c r="UPC28" s="108"/>
      <c r="UPD28" s="108"/>
      <c r="UPE28" s="108"/>
      <c r="UPF28" s="108"/>
      <c r="UPG28" s="108"/>
      <c r="UPH28" s="108"/>
      <c r="UPI28" s="108"/>
      <c r="UPJ28" s="108"/>
      <c r="UPK28" s="108"/>
      <c r="UPL28" s="108"/>
      <c r="UPM28" s="108"/>
      <c r="UPN28" s="108"/>
      <c r="UPO28" s="108"/>
      <c r="UPP28" s="108"/>
      <c r="UPQ28" s="108"/>
      <c r="UPR28" s="108"/>
      <c r="UPS28" s="108"/>
      <c r="UPT28" s="108"/>
      <c r="UPU28" s="108"/>
      <c r="UPV28" s="108"/>
      <c r="UPW28" s="108"/>
      <c r="UPX28" s="108"/>
      <c r="UPY28" s="108"/>
      <c r="UPZ28" s="108"/>
      <c r="UQA28" s="108"/>
      <c r="UQB28" s="108"/>
      <c r="UQC28" s="108"/>
      <c r="UQD28" s="108"/>
      <c r="UQE28" s="108"/>
      <c r="UQF28" s="108"/>
      <c r="UQG28" s="108"/>
      <c r="UQH28" s="108"/>
      <c r="UQI28" s="108"/>
      <c r="UQJ28" s="108"/>
      <c r="UQK28" s="108"/>
      <c r="UQL28" s="108"/>
      <c r="UQM28" s="108"/>
      <c r="UQN28" s="108"/>
      <c r="UQO28" s="108"/>
      <c r="UQP28" s="108"/>
      <c r="UQQ28" s="108"/>
      <c r="UQR28" s="108"/>
      <c r="UQS28" s="108"/>
      <c r="UQT28" s="108"/>
      <c r="UQU28" s="108"/>
      <c r="UQV28" s="108"/>
      <c r="UQW28" s="108"/>
      <c r="UQX28" s="108"/>
      <c r="UQY28" s="108"/>
      <c r="UQZ28" s="108"/>
      <c r="URA28" s="108"/>
      <c r="URB28" s="108"/>
      <c r="URC28" s="108"/>
      <c r="URD28" s="108"/>
      <c r="URE28" s="108"/>
      <c r="URF28" s="108"/>
      <c r="URG28" s="108"/>
      <c r="URH28" s="108"/>
      <c r="URI28" s="108"/>
      <c r="URJ28" s="108"/>
      <c r="URK28" s="108"/>
      <c r="URL28" s="108"/>
      <c r="URM28" s="108"/>
      <c r="URN28" s="108"/>
      <c r="URO28" s="108"/>
      <c r="URP28" s="108"/>
      <c r="URQ28" s="108"/>
      <c r="URR28" s="108"/>
      <c r="URS28" s="108"/>
      <c r="URT28" s="108"/>
      <c r="URU28" s="108"/>
      <c r="URV28" s="108"/>
      <c r="URW28" s="108"/>
      <c r="URX28" s="108"/>
      <c r="URY28" s="108"/>
      <c r="URZ28" s="108"/>
      <c r="USA28" s="108"/>
      <c r="USB28" s="108"/>
      <c r="USC28" s="108"/>
      <c r="USD28" s="108"/>
      <c r="USE28" s="108"/>
      <c r="USF28" s="108"/>
      <c r="USG28" s="108"/>
      <c r="USH28" s="108"/>
      <c r="USI28" s="108"/>
      <c r="USJ28" s="108"/>
      <c r="USK28" s="108"/>
      <c r="USL28" s="108"/>
      <c r="USM28" s="108"/>
      <c r="USN28" s="108"/>
      <c r="USO28" s="108"/>
      <c r="USP28" s="108"/>
      <c r="USQ28" s="108"/>
      <c r="USR28" s="108"/>
      <c r="USS28" s="108"/>
      <c r="UST28" s="108"/>
      <c r="USU28" s="108"/>
      <c r="USV28" s="108"/>
      <c r="USW28" s="108"/>
      <c r="USX28" s="108"/>
      <c r="USY28" s="108"/>
      <c r="USZ28" s="108"/>
      <c r="UTA28" s="108"/>
      <c r="UTB28" s="108"/>
      <c r="UTC28" s="108"/>
      <c r="UTD28" s="108"/>
      <c r="UTE28" s="108"/>
      <c r="UTF28" s="108"/>
      <c r="UTG28" s="108"/>
      <c r="UTH28" s="108"/>
      <c r="UTI28" s="108"/>
      <c r="UTJ28" s="108"/>
      <c r="UTK28" s="108"/>
      <c r="UTL28" s="108"/>
      <c r="UTM28" s="108"/>
      <c r="UTN28" s="108"/>
      <c r="UTO28" s="108"/>
      <c r="UTP28" s="108"/>
      <c r="UTQ28" s="108"/>
      <c r="UTR28" s="108"/>
      <c r="UTS28" s="108"/>
      <c r="UTT28" s="108"/>
      <c r="UTU28" s="108"/>
      <c r="UTV28" s="108"/>
      <c r="UTW28" s="108"/>
      <c r="UTX28" s="108"/>
      <c r="UTY28" s="108"/>
      <c r="UTZ28" s="108"/>
      <c r="UUA28" s="108"/>
      <c r="UUB28" s="108"/>
      <c r="UUC28" s="108"/>
      <c r="UUD28" s="108"/>
      <c r="UUE28" s="108"/>
      <c r="UUF28" s="108"/>
      <c r="UUG28" s="108"/>
      <c r="UUH28" s="108"/>
      <c r="UUI28" s="108"/>
      <c r="UUJ28" s="108"/>
      <c r="UUK28" s="108"/>
      <c r="UUL28" s="108"/>
      <c r="UUM28" s="108"/>
      <c r="UUN28" s="108"/>
      <c r="UUO28" s="108"/>
      <c r="UUP28" s="108"/>
      <c r="UUQ28" s="108"/>
      <c r="UUR28" s="108"/>
      <c r="UUS28" s="108"/>
      <c r="UUT28" s="108"/>
      <c r="UUU28" s="108"/>
      <c r="UUV28" s="108"/>
      <c r="UUW28" s="108"/>
      <c r="UUX28" s="108"/>
      <c r="UUY28" s="108"/>
      <c r="UUZ28" s="108"/>
      <c r="UVA28" s="108"/>
      <c r="UVB28" s="108"/>
      <c r="UVC28" s="108"/>
      <c r="UVD28" s="108"/>
      <c r="UVE28" s="108"/>
      <c r="UVF28" s="108"/>
      <c r="UVG28" s="108"/>
      <c r="UVH28" s="108"/>
      <c r="UVI28" s="108"/>
      <c r="UVJ28" s="108"/>
      <c r="UVK28" s="108"/>
      <c r="UVL28" s="108"/>
      <c r="UVM28" s="108"/>
      <c r="UVN28" s="108"/>
      <c r="UVO28" s="108"/>
      <c r="UVP28" s="108"/>
      <c r="UVQ28" s="108"/>
      <c r="UVR28" s="108"/>
      <c r="UVS28" s="108"/>
      <c r="UVT28" s="108"/>
      <c r="UVU28" s="108"/>
      <c r="UVV28" s="108"/>
      <c r="UVW28" s="108"/>
      <c r="UVX28" s="108"/>
      <c r="UVY28" s="108"/>
      <c r="UVZ28" s="108"/>
      <c r="UWA28" s="108"/>
      <c r="UWB28" s="108"/>
      <c r="UWC28" s="108"/>
      <c r="UWD28" s="108"/>
      <c r="UWE28" s="108"/>
      <c r="UWF28" s="108"/>
      <c r="UWG28" s="108"/>
      <c r="UWH28" s="108"/>
      <c r="UWI28" s="108"/>
      <c r="UWJ28" s="108"/>
      <c r="UWK28" s="108"/>
      <c r="UWL28" s="108"/>
      <c r="UWM28" s="108"/>
      <c r="UWN28" s="108"/>
      <c r="UWO28" s="108"/>
      <c r="UWP28" s="108"/>
      <c r="UWQ28" s="108"/>
      <c r="UWR28" s="108"/>
      <c r="UWS28" s="108"/>
      <c r="UWT28" s="108"/>
      <c r="UWU28" s="108"/>
      <c r="UWV28" s="108"/>
      <c r="UWW28" s="108"/>
      <c r="UWX28" s="108"/>
      <c r="UWY28" s="108"/>
      <c r="UWZ28" s="108"/>
      <c r="UXA28" s="108"/>
      <c r="UXB28" s="108"/>
      <c r="UXC28" s="108"/>
      <c r="UXD28" s="108"/>
      <c r="UXE28" s="108"/>
      <c r="UXF28" s="108"/>
      <c r="UXG28" s="108"/>
      <c r="UXH28" s="108"/>
      <c r="UXI28" s="108"/>
      <c r="UXJ28" s="108"/>
      <c r="UXK28" s="108"/>
      <c r="UXL28" s="108"/>
      <c r="UXM28" s="108"/>
      <c r="UXN28" s="108"/>
      <c r="UXO28" s="108"/>
      <c r="UXP28" s="108"/>
      <c r="UXQ28" s="108"/>
      <c r="UXR28" s="108"/>
      <c r="UXS28" s="108"/>
      <c r="UXT28" s="108"/>
      <c r="UXU28" s="108"/>
      <c r="UXV28" s="108"/>
      <c r="UXW28" s="108"/>
      <c r="UXX28" s="108"/>
      <c r="UXY28" s="108"/>
      <c r="UXZ28" s="108"/>
      <c r="UYA28" s="108"/>
      <c r="UYB28" s="108"/>
      <c r="UYC28" s="108"/>
      <c r="UYD28" s="108"/>
      <c r="UYE28" s="108"/>
      <c r="UYF28" s="108"/>
      <c r="UYG28" s="108"/>
      <c r="UYH28" s="108"/>
      <c r="UYI28" s="108"/>
      <c r="UYJ28" s="108"/>
      <c r="UYK28" s="108"/>
      <c r="UYL28" s="108"/>
      <c r="UYM28" s="108"/>
      <c r="UYN28" s="108"/>
      <c r="UYO28" s="108"/>
      <c r="UYP28" s="108"/>
      <c r="UYQ28" s="108"/>
      <c r="UYR28" s="108"/>
      <c r="UYS28" s="108"/>
      <c r="UYT28" s="108"/>
      <c r="UYU28" s="108"/>
      <c r="UYV28" s="108"/>
      <c r="UYW28" s="108"/>
      <c r="UYX28" s="108"/>
      <c r="UYY28" s="108"/>
      <c r="UYZ28" s="108"/>
      <c r="UZA28" s="108"/>
      <c r="UZB28" s="108"/>
      <c r="UZC28" s="108"/>
      <c r="UZD28" s="108"/>
      <c r="UZE28" s="108"/>
      <c r="UZF28" s="108"/>
      <c r="UZG28" s="108"/>
      <c r="UZH28" s="108"/>
      <c r="UZI28" s="108"/>
      <c r="UZJ28" s="108"/>
      <c r="UZK28" s="108"/>
      <c r="UZL28" s="108"/>
      <c r="UZM28" s="108"/>
      <c r="UZN28" s="108"/>
      <c r="UZO28" s="108"/>
      <c r="UZP28" s="108"/>
      <c r="UZQ28" s="108"/>
      <c r="UZR28" s="108"/>
      <c r="UZS28" s="108"/>
      <c r="UZT28" s="108"/>
      <c r="UZU28" s="108"/>
      <c r="UZV28" s="108"/>
      <c r="UZW28" s="108"/>
      <c r="UZX28" s="108"/>
      <c r="UZY28" s="108"/>
      <c r="UZZ28" s="108"/>
      <c r="VAA28" s="108"/>
      <c r="VAB28" s="108"/>
      <c r="VAC28" s="108"/>
      <c r="VAD28" s="108"/>
      <c r="VAE28" s="108"/>
      <c r="VAF28" s="108"/>
      <c r="VAG28" s="108"/>
      <c r="VAH28" s="108"/>
      <c r="VAI28" s="108"/>
      <c r="VAJ28" s="108"/>
      <c r="VAK28" s="108"/>
      <c r="VAL28" s="108"/>
      <c r="VAM28" s="108"/>
      <c r="VAN28" s="108"/>
      <c r="VAO28" s="108"/>
      <c r="VAP28" s="108"/>
      <c r="VAQ28" s="108"/>
      <c r="VAR28" s="108"/>
      <c r="VAS28" s="108"/>
      <c r="VAT28" s="108"/>
      <c r="VAU28" s="108"/>
      <c r="VAV28" s="108"/>
      <c r="VAW28" s="108"/>
      <c r="VAX28" s="108"/>
      <c r="VAY28" s="108"/>
      <c r="VAZ28" s="108"/>
      <c r="VBA28" s="108"/>
      <c r="VBB28" s="108"/>
      <c r="VBC28" s="108"/>
      <c r="VBD28" s="108"/>
      <c r="VBE28" s="108"/>
      <c r="VBF28" s="108"/>
      <c r="VBG28" s="108"/>
      <c r="VBH28" s="108"/>
      <c r="VBI28" s="108"/>
      <c r="VBJ28" s="108"/>
      <c r="VBK28" s="108"/>
      <c r="VBL28" s="108"/>
      <c r="VBM28" s="108"/>
      <c r="VBN28" s="108"/>
      <c r="VBO28" s="108"/>
      <c r="VBP28" s="108"/>
      <c r="VBQ28" s="108"/>
      <c r="VBR28" s="108"/>
      <c r="VBS28" s="108"/>
      <c r="VBT28" s="108"/>
      <c r="VBU28" s="108"/>
      <c r="VBV28" s="108"/>
      <c r="VBW28" s="108"/>
      <c r="VBX28" s="108"/>
      <c r="VBY28" s="108"/>
      <c r="VBZ28" s="108"/>
      <c r="VCA28" s="108"/>
      <c r="VCB28" s="108"/>
      <c r="VCC28" s="108"/>
      <c r="VCD28" s="108"/>
      <c r="VCE28" s="108"/>
      <c r="VCF28" s="108"/>
      <c r="VCG28" s="108"/>
      <c r="VCH28" s="108"/>
      <c r="VCI28" s="108"/>
      <c r="VCJ28" s="108"/>
      <c r="VCK28" s="108"/>
      <c r="VCL28" s="108"/>
      <c r="VCM28" s="108"/>
      <c r="VCN28" s="108"/>
      <c r="VCO28" s="108"/>
      <c r="VCP28" s="108"/>
      <c r="VCQ28" s="108"/>
      <c r="VCR28" s="108"/>
      <c r="VCS28" s="108"/>
      <c r="VCT28" s="108"/>
      <c r="VCU28" s="108"/>
      <c r="VCV28" s="108"/>
      <c r="VCW28" s="108"/>
      <c r="VCX28" s="108"/>
      <c r="VCY28" s="108"/>
      <c r="VCZ28" s="108"/>
      <c r="VDA28" s="108"/>
      <c r="VDB28" s="108"/>
      <c r="VDC28" s="108"/>
      <c r="VDD28" s="108"/>
      <c r="VDE28" s="108"/>
      <c r="VDF28" s="108"/>
      <c r="VDG28" s="108"/>
      <c r="VDH28" s="108"/>
      <c r="VDI28" s="108"/>
      <c r="VDJ28" s="108"/>
      <c r="VDK28" s="108"/>
      <c r="VDL28" s="108"/>
      <c r="VDM28" s="108"/>
      <c r="VDN28" s="108"/>
      <c r="VDO28" s="108"/>
      <c r="VDP28" s="108"/>
      <c r="VDQ28" s="108"/>
      <c r="VDR28" s="108"/>
      <c r="VDS28" s="108"/>
      <c r="VDT28" s="108"/>
      <c r="VDU28" s="108"/>
      <c r="VDV28" s="108"/>
      <c r="VDW28" s="108"/>
      <c r="VDX28" s="108"/>
      <c r="VDY28" s="108"/>
      <c r="VDZ28" s="108"/>
      <c r="VEA28" s="108"/>
      <c r="VEB28" s="108"/>
      <c r="VEC28" s="108"/>
      <c r="VED28" s="108"/>
      <c r="VEE28" s="108"/>
      <c r="VEF28" s="108"/>
      <c r="VEG28" s="108"/>
      <c r="VEH28" s="108"/>
      <c r="VEI28" s="108"/>
      <c r="VEJ28" s="108"/>
      <c r="VEK28" s="108"/>
      <c r="VEL28" s="108"/>
      <c r="VEM28" s="108"/>
      <c r="VEN28" s="108"/>
      <c r="VEO28" s="108"/>
      <c r="VEP28" s="108"/>
      <c r="VEQ28" s="108"/>
      <c r="VER28" s="108"/>
      <c r="VES28" s="108"/>
      <c r="VET28" s="108"/>
      <c r="VEU28" s="108"/>
      <c r="VEV28" s="108"/>
      <c r="VEW28" s="108"/>
      <c r="VEX28" s="108"/>
      <c r="VEY28" s="108"/>
      <c r="VEZ28" s="108"/>
      <c r="VFA28" s="108"/>
      <c r="VFB28" s="108"/>
      <c r="VFC28" s="108"/>
      <c r="VFD28" s="108"/>
      <c r="VFE28" s="108"/>
      <c r="VFF28" s="108"/>
      <c r="VFG28" s="108"/>
      <c r="VFH28" s="108"/>
      <c r="VFI28" s="108"/>
      <c r="VFJ28" s="108"/>
      <c r="VFK28" s="108"/>
      <c r="VFL28" s="108"/>
      <c r="VFM28" s="108"/>
      <c r="VFN28" s="108"/>
      <c r="VFO28" s="108"/>
      <c r="VFP28" s="108"/>
      <c r="VFQ28" s="108"/>
      <c r="VFR28" s="108"/>
      <c r="VFS28" s="108"/>
      <c r="VFT28" s="108"/>
      <c r="VFU28" s="108"/>
      <c r="VFV28" s="108"/>
      <c r="VFW28" s="108"/>
      <c r="VFX28" s="108"/>
      <c r="VFY28" s="108"/>
      <c r="VFZ28" s="108"/>
      <c r="VGA28" s="108"/>
      <c r="VGB28" s="108"/>
      <c r="VGC28" s="108"/>
      <c r="VGD28" s="108"/>
      <c r="VGE28" s="108"/>
      <c r="VGF28" s="108"/>
      <c r="VGG28" s="108"/>
      <c r="VGH28" s="108"/>
      <c r="VGI28" s="108"/>
      <c r="VGJ28" s="108"/>
      <c r="VGK28" s="108"/>
      <c r="VGL28" s="108"/>
      <c r="VGM28" s="108"/>
      <c r="VGN28" s="108"/>
      <c r="VGO28" s="108"/>
      <c r="VGP28" s="108"/>
      <c r="VGQ28" s="108"/>
      <c r="VGR28" s="108"/>
      <c r="VGS28" s="108"/>
      <c r="VGT28" s="108"/>
      <c r="VGU28" s="108"/>
      <c r="VGV28" s="108"/>
      <c r="VGW28" s="108"/>
      <c r="VGX28" s="108"/>
      <c r="VGY28" s="108"/>
      <c r="VGZ28" s="108"/>
      <c r="VHA28" s="108"/>
      <c r="VHB28" s="108"/>
      <c r="VHC28" s="108"/>
      <c r="VHD28" s="108"/>
      <c r="VHE28" s="108"/>
      <c r="VHF28" s="108"/>
      <c r="VHG28" s="108"/>
      <c r="VHH28" s="108"/>
      <c r="VHI28" s="108"/>
      <c r="VHJ28" s="108"/>
      <c r="VHK28" s="108"/>
      <c r="VHL28" s="108"/>
      <c r="VHM28" s="108"/>
      <c r="VHN28" s="108"/>
      <c r="VHO28" s="108"/>
      <c r="VHP28" s="108"/>
      <c r="VHQ28" s="108"/>
      <c r="VHR28" s="108"/>
      <c r="VHS28" s="108"/>
      <c r="VHT28" s="108"/>
      <c r="VHU28" s="108"/>
      <c r="VHV28" s="108"/>
      <c r="VHW28" s="108"/>
      <c r="VHX28" s="108"/>
      <c r="VHY28" s="108"/>
      <c r="VHZ28" s="108"/>
      <c r="VIA28" s="108"/>
      <c r="VIB28" s="108"/>
      <c r="VIC28" s="108"/>
      <c r="VID28" s="108"/>
      <c r="VIE28" s="108"/>
      <c r="VIF28" s="108"/>
      <c r="VIG28" s="108"/>
      <c r="VIH28" s="108"/>
      <c r="VII28" s="108"/>
      <c r="VIJ28" s="108"/>
      <c r="VIK28" s="108"/>
      <c r="VIL28" s="108"/>
      <c r="VIM28" s="108"/>
      <c r="VIN28" s="108"/>
      <c r="VIO28" s="108"/>
      <c r="VIP28" s="108"/>
      <c r="VIQ28" s="108"/>
      <c r="VIR28" s="108"/>
      <c r="VIS28" s="108"/>
      <c r="VIT28" s="108"/>
      <c r="VIU28" s="108"/>
      <c r="VIV28" s="108"/>
      <c r="VIW28" s="108"/>
      <c r="VIX28" s="108"/>
      <c r="VIY28" s="108"/>
      <c r="VIZ28" s="108"/>
      <c r="VJA28" s="108"/>
      <c r="VJB28" s="108"/>
      <c r="VJC28" s="108"/>
      <c r="VJD28" s="108"/>
      <c r="VJE28" s="108"/>
      <c r="VJF28" s="108"/>
      <c r="VJG28" s="108"/>
      <c r="VJH28" s="108"/>
      <c r="VJI28" s="108"/>
      <c r="VJJ28" s="108"/>
      <c r="VJK28" s="108"/>
      <c r="VJL28" s="108"/>
      <c r="VJM28" s="108"/>
      <c r="VJN28" s="108"/>
      <c r="VJO28" s="108"/>
      <c r="VJP28" s="108"/>
      <c r="VJQ28" s="108"/>
      <c r="VJR28" s="108"/>
      <c r="VJS28" s="108"/>
      <c r="VJT28" s="108"/>
      <c r="VJU28" s="108"/>
      <c r="VJV28" s="108"/>
      <c r="VJW28" s="108"/>
      <c r="VJX28" s="108"/>
      <c r="VJY28" s="108"/>
      <c r="VJZ28" s="108"/>
      <c r="VKA28" s="108"/>
      <c r="VKB28" s="108"/>
      <c r="VKC28" s="108"/>
      <c r="VKD28" s="108"/>
      <c r="VKE28" s="108"/>
      <c r="VKF28" s="108"/>
      <c r="VKG28" s="108"/>
      <c r="VKH28" s="108"/>
      <c r="VKI28" s="108"/>
      <c r="VKJ28" s="108"/>
      <c r="VKK28" s="108"/>
      <c r="VKL28" s="108"/>
      <c r="VKM28" s="108"/>
      <c r="VKN28" s="108"/>
      <c r="VKO28" s="108"/>
      <c r="VKP28" s="108"/>
      <c r="VKQ28" s="108"/>
      <c r="VKR28" s="108"/>
      <c r="VKS28" s="108"/>
      <c r="VKT28" s="108"/>
      <c r="VKU28" s="108"/>
      <c r="VKV28" s="108"/>
      <c r="VKW28" s="108"/>
      <c r="VKX28" s="108"/>
      <c r="VKY28" s="108"/>
      <c r="VKZ28" s="108"/>
      <c r="VLA28" s="108"/>
      <c r="VLB28" s="108"/>
      <c r="VLC28" s="108"/>
      <c r="VLD28" s="108"/>
      <c r="VLE28" s="108"/>
      <c r="VLF28" s="108"/>
      <c r="VLG28" s="108"/>
      <c r="VLH28" s="108"/>
      <c r="VLI28" s="108"/>
      <c r="VLJ28" s="108"/>
      <c r="VLK28" s="108"/>
      <c r="VLL28" s="108"/>
      <c r="VLM28" s="108"/>
      <c r="VLN28" s="108"/>
      <c r="VLO28" s="108"/>
      <c r="VLP28" s="108"/>
      <c r="VLQ28" s="108"/>
      <c r="VLR28" s="108"/>
      <c r="VLS28" s="108"/>
      <c r="VLT28" s="108"/>
      <c r="VLU28" s="108"/>
      <c r="VLV28" s="108"/>
      <c r="VLW28" s="108"/>
      <c r="VLX28" s="108"/>
      <c r="VLY28" s="108"/>
      <c r="VLZ28" s="108"/>
      <c r="VMA28" s="108"/>
      <c r="VMB28" s="108"/>
      <c r="VMC28" s="108"/>
      <c r="VMD28" s="108"/>
      <c r="VME28" s="108"/>
      <c r="VMF28" s="108"/>
      <c r="VMG28" s="108"/>
      <c r="VMH28" s="108"/>
      <c r="VMI28" s="108"/>
      <c r="VMJ28" s="108"/>
      <c r="VMK28" s="108"/>
      <c r="VML28" s="108"/>
      <c r="VMM28" s="108"/>
      <c r="VMN28" s="108"/>
      <c r="VMO28" s="108"/>
      <c r="VMP28" s="108"/>
      <c r="VMQ28" s="108"/>
      <c r="VMR28" s="108"/>
      <c r="VMS28" s="108"/>
      <c r="VMT28" s="108"/>
      <c r="VMU28" s="108"/>
      <c r="VMV28" s="108"/>
      <c r="VMW28" s="108"/>
      <c r="VMX28" s="108"/>
      <c r="VMY28" s="108"/>
      <c r="VMZ28" s="108"/>
      <c r="VNA28" s="108"/>
      <c r="VNB28" s="108"/>
      <c r="VNC28" s="108"/>
      <c r="VND28" s="108"/>
      <c r="VNE28" s="108"/>
      <c r="VNF28" s="108"/>
      <c r="VNG28" s="108"/>
      <c r="VNH28" s="108"/>
      <c r="VNI28" s="108"/>
      <c r="VNJ28" s="108"/>
      <c r="VNK28" s="108"/>
      <c r="VNL28" s="108"/>
      <c r="VNM28" s="108"/>
      <c r="VNN28" s="108"/>
      <c r="VNO28" s="108"/>
      <c r="VNP28" s="108"/>
      <c r="VNQ28" s="108"/>
      <c r="VNR28" s="108"/>
      <c r="VNS28" s="108"/>
      <c r="VNT28" s="108"/>
      <c r="VNU28" s="108"/>
      <c r="VNV28" s="108"/>
      <c r="VNW28" s="108"/>
      <c r="VNX28" s="108"/>
      <c r="VNY28" s="108"/>
      <c r="VNZ28" s="108"/>
      <c r="VOA28" s="108"/>
      <c r="VOB28" s="108"/>
      <c r="VOC28" s="108"/>
      <c r="VOD28" s="108"/>
      <c r="VOE28" s="108"/>
      <c r="VOF28" s="108"/>
      <c r="VOG28" s="108"/>
      <c r="VOH28" s="108"/>
      <c r="VOI28" s="108"/>
      <c r="VOJ28" s="108"/>
      <c r="VOK28" s="108"/>
      <c r="VOL28" s="108"/>
      <c r="VOM28" s="108"/>
      <c r="VON28" s="108"/>
      <c r="VOO28" s="108"/>
      <c r="VOP28" s="108"/>
      <c r="VOQ28" s="108"/>
      <c r="VOR28" s="108"/>
      <c r="VOS28" s="108"/>
      <c r="VOT28" s="108"/>
      <c r="VOU28" s="108"/>
      <c r="VOV28" s="108"/>
      <c r="VOW28" s="108"/>
      <c r="VOX28" s="108"/>
      <c r="VOY28" s="108"/>
      <c r="VOZ28" s="108"/>
      <c r="VPA28" s="108"/>
      <c r="VPB28" s="108"/>
      <c r="VPC28" s="108"/>
      <c r="VPD28" s="108"/>
      <c r="VPE28" s="108"/>
      <c r="VPF28" s="108"/>
      <c r="VPG28" s="108"/>
      <c r="VPH28" s="108"/>
      <c r="VPI28" s="108"/>
      <c r="VPJ28" s="108"/>
      <c r="VPK28" s="108"/>
      <c r="VPL28" s="108"/>
      <c r="VPM28" s="108"/>
      <c r="VPN28" s="108"/>
      <c r="VPO28" s="108"/>
      <c r="VPP28" s="108"/>
      <c r="VPQ28" s="108"/>
      <c r="VPR28" s="108"/>
      <c r="VPS28" s="108"/>
      <c r="VPT28" s="108"/>
      <c r="VPU28" s="108"/>
      <c r="VPV28" s="108"/>
      <c r="VPW28" s="108"/>
      <c r="VPX28" s="108"/>
      <c r="VPY28" s="108"/>
      <c r="VPZ28" s="108"/>
      <c r="VQA28" s="108"/>
      <c r="VQB28" s="108"/>
      <c r="VQC28" s="108"/>
      <c r="VQD28" s="108"/>
      <c r="VQE28" s="108"/>
      <c r="VQF28" s="108"/>
      <c r="VQG28" s="108"/>
      <c r="VQH28" s="108"/>
      <c r="VQI28" s="108"/>
      <c r="VQJ28" s="108"/>
      <c r="VQK28" s="108"/>
      <c r="VQL28" s="108"/>
      <c r="VQM28" s="108"/>
      <c r="VQN28" s="108"/>
      <c r="VQO28" s="108"/>
      <c r="VQP28" s="108"/>
      <c r="VQQ28" s="108"/>
      <c r="VQR28" s="108"/>
      <c r="VQS28" s="108"/>
      <c r="VQT28" s="108"/>
      <c r="VQU28" s="108"/>
      <c r="VQV28" s="108"/>
      <c r="VQW28" s="108"/>
      <c r="VQX28" s="108"/>
      <c r="VQY28" s="108"/>
      <c r="VQZ28" s="108"/>
      <c r="VRA28" s="108"/>
      <c r="VRB28" s="108"/>
      <c r="VRC28" s="108"/>
      <c r="VRD28" s="108"/>
      <c r="VRE28" s="108"/>
      <c r="VRF28" s="108"/>
      <c r="VRG28" s="108"/>
      <c r="VRH28" s="108"/>
      <c r="VRI28" s="108"/>
      <c r="VRJ28" s="108"/>
      <c r="VRK28" s="108"/>
      <c r="VRL28" s="108"/>
      <c r="VRM28" s="108"/>
      <c r="VRN28" s="108"/>
      <c r="VRO28" s="108"/>
      <c r="VRP28" s="108"/>
      <c r="VRQ28" s="108"/>
      <c r="VRR28" s="108"/>
      <c r="VRS28" s="108"/>
      <c r="VRT28" s="108"/>
      <c r="VRU28" s="108"/>
      <c r="VRV28" s="108"/>
      <c r="VRW28" s="108"/>
      <c r="VRX28" s="108"/>
      <c r="VRY28" s="108"/>
      <c r="VRZ28" s="108"/>
      <c r="VSA28" s="108"/>
      <c r="VSB28" s="108"/>
      <c r="VSC28" s="108"/>
      <c r="VSD28" s="108"/>
      <c r="VSE28" s="108"/>
      <c r="VSF28" s="108"/>
      <c r="VSG28" s="108"/>
      <c r="VSH28" s="108"/>
      <c r="VSI28" s="108"/>
      <c r="VSJ28" s="108"/>
      <c r="VSK28" s="108"/>
      <c r="VSL28" s="108"/>
      <c r="VSM28" s="108"/>
      <c r="VSN28" s="108"/>
      <c r="VSO28" s="108"/>
      <c r="VSP28" s="108"/>
      <c r="VSQ28" s="108"/>
      <c r="VSR28" s="108"/>
      <c r="VSS28" s="108"/>
      <c r="VST28" s="108"/>
      <c r="VSU28" s="108"/>
      <c r="VSV28" s="108"/>
      <c r="VSW28" s="108"/>
      <c r="VSX28" s="108"/>
      <c r="VSY28" s="108"/>
      <c r="VSZ28" s="108"/>
      <c r="VTA28" s="108"/>
      <c r="VTB28" s="108"/>
      <c r="VTC28" s="108"/>
      <c r="VTD28" s="108"/>
      <c r="VTE28" s="108"/>
      <c r="VTF28" s="108"/>
      <c r="VTG28" s="108"/>
      <c r="VTH28" s="108"/>
      <c r="VTI28" s="108"/>
      <c r="VTJ28" s="108"/>
      <c r="VTK28" s="108"/>
      <c r="VTL28" s="108"/>
      <c r="VTM28" s="108"/>
      <c r="VTN28" s="108"/>
      <c r="VTO28" s="108"/>
      <c r="VTP28" s="108"/>
      <c r="VTQ28" s="108"/>
      <c r="VTR28" s="108"/>
      <c r="VTS28" s="108"/>
      <c r="VTT28" s="108"/>
      <c r="VTU28" s="108"/>
      <c r="VTV28" s="108"/>
      <c r="VTW28" s="108"/>
      <c r="VTX28" s="108"/>
      <c r="VTY28" s="108"/>
      <c r="VTZ28" s="108"/>
      <c r="VUA28" s="108"/>
      <c r="VUB28" s="108"/>
      <c r="VUC28" s="108"/>
      <c r="VUD28" s="108"/>
      <c r="VUE28" s="108"/>
      <c r="VUF28" s="108"/>
      <c r="VUG28" s="108"/>
      <c r="VUH28" s="108"/>
      <c r="VUI28" s="108"/>
      <c r="VUJ28" s="108"/>
      <c r="VUK28" s="108"/>
      <c r="VUL28" s="108"/>
      <c r="VUM28" s="108"/>
      <c r="VUN28" s="108"/>
      <c r="VUO28" s="108"/>
      <c r="VUP28" s="108"/>
      <c r="VUQ28" s="108"/>
      <c r="VUR28" s="108"/>
      <c r="VUS28" s="108"/>
      <c r="VUT28" s="108"/>
      <c r="VUU28" s="108"/>
      <c r="VUV28" s="108"/>
      <c r="VUW28" s="108"/>
      <c r="VUX28" s="108"/>
      <c r="VUY28" s="108"/>
      <c r="VUZ28" s="108"/>
      <c r="VVA28" s="108"/>
      <c r="VVB28" s="108"/>
      <c r="VVC28" s="108"/>
      <c r="VVD28" s="108"/>
      <c r="VVE28" s="108"/>
      <c r="VVF28" s="108"/>
      <c r="VVG28" s="108"/>
      <c r="VVH28" s="108"/>
      <c r="VVI28" s="108"/>
      <c r="VVJ28" s="108"/>
      <c r="VVK28" s="108"/>
      <c r="VVL28" s="108"/>
      <c r="VVM28" s="108"/>
      <c r="VVN28" s="108"/>
      <c r="VVO28" s="108"/>
      <c r="VVP28" s="108"/>
      <c r="VVQ28" s="108"/>
      <c r="VVR28" s="108"/>
      <c r="VVS28" s="108"/>
      <c r="VVT28" s="108"/>
      <c r="VVU28" s="108"/>
      <c r="VVV28" s="108"/>
      <c r="VVW28" s="108"/>
      <c r="VVX28" s="108"/>
      <c r="VVY28" s="108"/>
      <c r="VVZ28" s="108"/>
      <c r="VWA28" s="108"/>
      <c r="VWB28" s="108"/>
      <c r="VWC28" s="108"/>
      <c r="VWD28" s="108"/>
      <c r="VWE28" s="108"/>
      <c r="VWF28" s="108"/>
      <c r="VWG28" s="108"/>
      <c r="VWH28" s="108"/>
      <c r="VWI28" s="108"/>
      <c r="VWJ28" s="108"/>
      <c r="VWK28" s="108"/>
      <c r="VWL28" s="108"/>
      <c r="VWM28" s="108"/>
      <c r="VWN28" s="108"/>
      <c r="VWO28" s="108"/>
      <c r="VWP28" s="108"/>
      <c r="VWQ28" s="108"/>
      <c r="VWR28" s="108"/>
      <c r="VWS28" s="108"/>
      <c r="VWT28" s="108"/>
      <c r="VWU28" s="108"/>
      <c r="VWV28" s="108"/>
      <c r="VWW28" s="108"/>
      <c r="VWX28" s="108"/>
      <c r="VWY28" s="108"/>
      <c r="VWZ28" s="108"/>
      <c r="VXA28" s="108"/>
      <c r="VXB28" s="108"/>
      <c r="VXC28" s="108"/>
      <c r="VXD28" s="108"/>
      <c r="VXE28" s="108"/>
      <c r="VXF28" s="108"/>
      <c r="VXG28" s="108"/>
      <c r="VXH28" s="108"/>
      <c r="VXI28" s="108"/>
      <c r="VXJ28" s="108"/>
      <c r="VXK28" s="108"/>
      <c r="VXL28" s="108"/>
      <c r="VXM28" s="108"/>
      <c r="VXN28" s="108"/>
      <c r="VXO28" s="108"/>
      <c r="VXP28" s="108"/>
      <c r="VXQ28" s="108"/>
      <c r="VXR28" s="108"/>
      <c r="VXS28" s="108"/>
      <c r="VXT28" s="108"/>
      <c r="VXU28" s="108"/>
      <c r="VXV28" s="108"/>
      <c r="VXW28" s="108"/>
      <c r="VXX28" s="108"/>
      <c r="VXY28" s="108"/>
      <c r="VXZ28" s="108"/>
      <c r="VYA28" s="108"/>
      <c r="VYB28" s="108"/>
      <c r="VYC28" s="108"/>
      <c r="VYD28" s="108"/>
      <c r="VYE28" s="108"/>
      <c r="VYF28" s="108"/>
      <c r="VYG28" s="108"/>
      <c r="VYH28" s="108"/>
      <c r="VYI28" s="108"/>
      <c r="VYJ28" s="108"/>
      <c r="VYK28" s="108"/>
      <c r="VYL28" s="108"/>
      <c r="VYM28" s="108"/>
      <c r="VYN28" s="108"/>
      <c r="VYO28" s="108"/>
      <c r="VYP28" s="108"/>
      <c r="VYQ28" s="108"/>
      <c r="VYR28" s="108"/>
      <c r="VYS28" s="108"/>
      <c r="VYT28" s="108"/>
      <c r="VYU28" s="108"/>
      <c r="VYV28" s="108"/>
      <c r="VYW28" s="108"/>
      <c r="VYX28" s="108"/>
      <c r="VYY28" s="108"/>
      <c r="VYZ28" s="108"/>
      <c r="VZA28" s="108"/>
      <c r="VZB28" s="108"/>
      <c r="VZC28" s="108"/>
      <c r="VZD28" s="108"/>
      <c r="VZE28" s="108"/>
      <c r="VZF28" s="108"/>
      <c r="VZG28" s="108"/>
      <c r="VZH28" s="108"/>
      <c r="VZI28" s="108"/>
      <c r="VZJ28" s="108"/>
      <c r="VZK28" s="108"/>
      <c r="VZL28" s="108"/>
      <c r="VZM28" s="108"/>
      <c r="VZN28" s="108"/>
      <c r="VZO28" s="108"/>
      <c r="VZP28" s="108"/>
      <c r="VZQ28" s="108"/>
      <c r="VZR28" s="108"/>
      <c r="VZS28" s="108"/>
      <c r="VZT28" s="108"/>
      <c r="VZU28" s="108"/>
      <c r="VZV28" s="108"/>
      <c r="VZW28" s="108"/>
      <c r="VZX28" s="108"/>
      <c r="VZY28" s="108"/>
      <c r="VZZ28" s="108"/>
      <c r="WAA28" s="108"/>
      <c r="WAB28" s="108"/>
      <c r="WAC28" s="108"/>
      <c r="WAD28" s="108"/>
      <c r="WAE28" s="108"/>
      <c r="WAF28" s="108"/>
      <c r="WAG28" s="108"/>
      <c r="WAH28" s="108"/>
      <c r="WAI28" s="108"/>
      <c r="WAJ28" s="108"/>
      <c r="WAK28" s="108"/>
      <c r="WAL28" s="108"/>
      <c r="WAM28" s="108"/>
      <c r="WAN28" s="108"/>
      <c r="WAO28" s="108"/>
      <c r="WAP28" s="108"/>
      <c r="WAQ28" s="108"/>
      <c r="WAR28" s="108"/>
      <c r="WAS28" s="108"/>
      <c r="WAT28" s="108"/>
      <c r="WAU28" s="108"/>
      <c r="WAV28" s="108"/>
      <c r="WAW28" s="108"/>
      <c r="WAX28" s="108"/>
      <c r="WAY28" s="108"/>
      <c r="WAZ28" s="108"/>
      <c r="WBA28" s="108"/>
      <c r="WBB28" s="108"/>
      <c r="WBC28" s="108"/>
      <c r="WBD28" s="108"/>
      <c r="WBE28" s="108"/>
      <c r="WBF28" s="108"/>
      <c r="WBG28" s="108"/>
      <c r="WBH28" s="108"/>
      <c r="WBI28" s="108"/>
      <c r="WBJ28" s="108"/>
      <c r="WBK28" s="108"/>
      <c r="WBL28" s="108"/>
      <c r="WBM28" s="108"/>
      <c r="WBN28" s="108"/>
      <c r="WBO28" s="108"/>
      <c r="WBP28" s="108"/>
      <c r="WBQ28" s="108"/>
      <c r="WBR28" s="108"/>
      <c r="WBS28" s="108"/>
      <c r="WBT28" s="108"/>
      <c r="WBU28" s="108"/>
      <c r="WBV28" s="108"/>
      <c r="WBW28" s="108"/>
      <c r="WBX28" s="108"/>
      <c r="WBY28" s="108"/>
      <c r="WBZ28" s="108"/>
      <c r="WCA28" s="108"/>
      <c r="WCB28" s="108"/>
      <c r="WCC28" s="108"/>
      <c r="WCD28" s="108"/>
      <c r="WCE28" s="108"/>
      <c r="WCF28" s="108"/>
      <c r="WCG28" s="108"/>
      <c r="WCH28" s="108"/>
      <c r="WCI28" s="108"/>
      <c r="WCJ28" s="108"/>
      <c r="WCK28" s="108"/>
      <c r="WCL28" s="108"/>
      <c r="WCM28" s="108"/>
      <c r="WCN28" s="108"/>
      <c r="WCO28" s="108"/>
      <c r="WCP28" s="108"/>
      <c r="WCQ28" s="108"/>
      <c r="WCR28" s="108"/>
      <c r="WCS28" s="108"/>
      <c r="WCT28" s="108"/>
      <c r="WCU28" s="108"/>
      <c r="WCV28" s="108"/>
      <c r="WCW28" s="108"/>
      <c r="WCX28" s="108"/>
      <c r="WCY28" s="108"/>
      <c r="WCZ28" s="108"/>
      <c r="WDA28" s="108"/>
      <c r="WDB28" s="108"/>
      <c r="WDC28" s="108"/>
      <c r="WDD28" s="108"/>
      <c r="WDE28" s="108"/>
      <c r="WDF28" s="108"/>
      <c r="WDG28" s="108"/>
      <c r="WDH28" s="108"/>
      <c r="WDI28" s="108"/>
      <c r="WDJ28" s="108"/>
      <c r="WDK28" s="108"/>
      <c r="WDL28" s="108"/>
      <c r="WDM28" s="108"/>
      <c r="WDN28" s="108"/>
      <c r="WDO28" s="108"/>
      <c r="WDP28" s="108"/>
      <c r="WDQ28" s="108"/>
      <c r="WDR28" s="108"/>
      <c r="WDS28" s="108"/>
      <c r="WDT28" s="108"/>
      <c r="WDU28" s="108"/>
      <c r="WDV28" s="108"/>
      <c r="WDW28" s="108"/>
      <c r="WDX28" s="108"/>
      <c r="WDY28" s="108"/>
      <c r="WDZ28" s="108"/>
      <c r="WEA28" s="108"/>
      <c r="WEB28" s="108"/>
      <c r="WEC28" s="108"/>
      <c r="WED28" s="108"/>
      <c r="WEE28" s="108"/>
      <c r="WEF28" s="108"/>
      <c r="WEG28" s="108"/>
      <c r="WEH28" s="108"/>
      <c r="WEI28" s="108"/>
      <c r="WEJ28" s="108"/>
      <c r="WEK28" s="108"/>
      <c r="WEL28" s="108"/>
      <c r="WEM28" s="108"/>
      <c r="WEN28" s="108"/>
      <c r="WEO28" s="108"/>
      <c r="WEP28" s="108"/>
      <c r="WEQ28" s="108"/>
      <c r="WER28" s="108"/>
      <c r="WES28" s="108"/>
      <c r="WET28" s="108"/>
      <c r="WEU28" s="108"/>
      <c r="WEV28" s="108"/>
      <c r="WEW28" s="108"/>
      <c r="WEX28" s="108"/>
      <c r="WEY28" s="108"/>
      <c r="WEZ28" s="108"/>
      <c r="WFA28" s="108"/>
      <c r="WFB28" s="108"/>
      <c r="WFC28" s="108"/>
      <c r="WFD28" s="108"/>
      <c r="WFE28" s="108"/>
      <c r="WFF28" s="108"/>
      <c r="WFG28" s="108"/>
      <c r="WFH28" s="108"/>
      <c r="WFI28" s="108"/>
      <c r="WFJ28" s="108"/>
      <c r="WFK28" s="108"/>
      <c r="WFL28" s="108"/>
      <c r="WFM28" s="108"/>
      <c r="WFN28" s="108"/>
      <c r="WFO28" s="108"/>
      <c r="WFP28" s="108"/>
      <c r="WFQ28" s="108"/>
      <c r="WFR28" s="108"/>
      <c r="WFS28" s="108"/>
      <c r="WFT28" s="108"/>
      <c r="WFU28" s="108"/>
      <c r="WFV28" s="108"/>
      <c r="WFW28" s="108"/>
      <c r="WFX28" s="108"/>
      <c r="WFY28" s="108"/>
      <c r="WFZ28" s="108"/>
      <c r="WGA28" s="108"/>
      <c r="WGB28" s="108"/>
      <c r="WGC28" s="108"/>
      <c r="WGD28" s="108"/>
      <c r="WGE28" s="108"/>
      <c r="WGF28" s="108"/>
      <c r="WGG28" s="108"/>
      <c r="WGH28" s="108"/>
      <c r="WGI28" s="108"/>
      <c r="WGJ28" s="108"/>
      <c r="WGK28" s="108"/>
      <c r="WGL28" s="108"/>
      <c r="WGM28" s="108"/>
      <c r="WGN28" s="108"/>
      <c r="WGO28" s="108"/>
      <c r="WGP28" s="108"/>
      <c r="WGQ28" s="108"/>
      <c r="WGR28" s="108"/>
      <c r="WGS28" s="108"/>
      <c r="WGT28" s="108"/>
      <c r="WGU28" s="108"/>
      <c r="WGV28" s="108"/>
      <c r="WGW28" s="108"/>
      <c r="WGX28" s="108"/>
      <c r="WGY28" s="108"/>
      <c r="WGZ28" s="108"/>
      <c r="WHA28" s="108"/>
      <c r="WHB28" s="108"/>
      <c r="WHC28" s="108"/>
      <c r="WHD28" s="108"/>
      <c r="WHE28" s="108"/>
      <c r="WHF28" s="108"/>
      <c r="WHG28" s="108"/>
      <c r="WHH28" s="108"/>
      <c r="WHI28" s="108"/>
      <c r="WHJ28" s="108"/>
      <c r="WHK28" s="108"/>
      <c r="WHL28" s="108"/>
      <c r="WHM28" s="108"/>
      <c r="WHN28" s="108"/>
      <c r="WHO28" s="108"/>
      <c r="WHP28" s="108"/>
      <c r="WHQ28" s="108"/>
      <c r="WHR28" s="108"/>
      <c r="WHS28" s="108"/>
      <c r="WHT28" s="108"/>
      <c r="WHU28" s="108"/>
      <c r="WHV28" s="108"/>
      <c r="WHW28" s="108"/>
      <c r="WHX28" s="108"/>
      <c r="WHY28" s="108"/>
      <c r="WHZ28" s="108"/>
      <c r="WIA28" s="108"/>
      <c r="WIB28" s="108"/>
      <c r="WIC28" s="108"/>
      <c r="WID28" s="108"/>
      <c r="WIE28" s="108"/>
      <c r="WIF28" s="108"/>
      <c r="WIG28" s="108"/>
      <c r="WIH28" s="108"/>
      <c r="WII28" s="108"/>
      <c r="WIJ28" s="108"/>
      <c r="WIK28" s="108"/>
      <c r="WIL28" s="108"/>
      <c r="WIM28" s="108"/>
      <c r="WIN28" s="108"/>
      <c r="WIO28" s="108"/>
      <c r="WIP28" s="108"/>
      <c r="WIQ28" s="108"/>
      <c r="WIR28" s="108"/>
      <c r="WIS28" s="108"/>
      <c r="WIT28" s="108"/>
      <c r="WIU28" s="108"/>
      <c r="WIV28" s="108"/>
      <c r="WIW28" s="108"/>
      <c r="WIX28" s="108"/>
      <c r="WIY28" s="108"/>
      <c r="WIZ28" s="108"/>
      <c r="WJA28" s="108"/>
      <c r="WJB28" s="108"/>
      <c r="WJC28" s="108"/>
      <c r="WJD28" s="108"/>
      <c r="WJE28" s="108"/>
      <c r="WJF28" s="108"/>
      <c r="WJG28" s="108"/>
      <c r="WJH28" s="108"/>
      <c r="WJI28" s="108"/>
      <c r="WJJ28" s="108"/>
      <c r="WJK28" s="108"/>
      <c r="WJL28" s="108"/>
      <c r="WJM28" s="108"/>
      <c r="WJN28" s="108"/>
      <c r="WJO28" s="108"/>
      <c r="WJP28" s="108"/>
      <c r="WJQ28" s="108"/>
      <c r="WJR28" s="108"/>
      <c r="WJS28" s="108"/>
      <c r="WJT28" s="108"/>
      <c r="WJU28" s="108"/>
      <c r="WJV28" s="108"/>
      <c r="WJW28" s="108"/>
      <c r="WJX28" s="108"/>
      <c r="WJY28" s="108"/>
      <c r="WJZ28" s="108"/>
      <c r="WKA28" s="108"/>
      <c r="WKB28" s="108"/>
      <c r="WKC28" s="108"/>
      <c r="WKD28" s="108"/>
      <c r="WKE28" s="108"/>
      <c r="WKF28" s="108"/>
      <c r="WKG28" s="108"/>
      <c r="WKH28" s="108"/>
      <c r="WKI28" s="108"/>
      <c r="WKJ28" s="108"/>
      <c r="WKK28" s="108"/>
      <c r="WKL28" s="108"/>
      <c r="WKM28" s="108"/>
      <c r="WKN28" s="108"/>
      <c r="WKO28" s="108"/>
      <c r="WKP28" s="108"/>
      <c r="WKQ28" s="108"/>
      <c r="WKR28" s="108"/>
      <c r="WKS28" s="108"/>
      <c r="WKT28" s="108"/>
      <c r="WKU28" s="108"/>
      <c r="WKV28" s="108"/>
      <c r="WKW28" s="108"/>
      <c r="WKX28" s="108"/>
      <c r="WKY28" s="108"/>
      <c r="WKZ28" s="108"/>
      <c r="WLA28" s="108"/>
      <c r="WLB28" s="108"/>
      <c r="WLC28" s="108"/>
      <c r="WLD28" s="108"/>
      <c r="WLE28" s="108"/>
      <c r="WLF28" s="108"/>
      <c r="WLG28" s="108"/>
      <c r="WLH28" s="108"/>
      <c r="WLI28" s="108"/>
      <c r="WLJ28" s="108"/>
      <c r="WLK28" s="108"/>
      <c r="WLL28" s="108"/>
      <c r="WLM28" s="108"/>
      <c r="WLN28" s="108"/>
      <c r="WLO28" s="108"/>
      <c r="WLP28" s="108"/>
      <c r="WLQ28" s="108"/>
      <c r="WLR28" s="108"/>
      <c r="WLS28" s="108"/>
      <c r="WLT28" s="108"/>
      <c r="WLU28" s="108"/>
      <c r="WLV28" s="108"/>
      <c r="WLW28" s="108"/>
      <c r="WLX28" s="108"/>
      <c r="WLY28" s="108"/>
      <c r="WLZ28" s="108"/>
      <c r="WMA28" s="108"/>
      <c r="WMB28" s="108"/>
      <c r="WMC28" s="108"/>
      <c r="WMD28" s="108"/>
      <c r="WME28" s="108"/>
      <c r="WMF28" s="108"/>
      <c r="WMG28" s="108"/>
      <c r="WMH28" s="108"/>
      <c r="WMI28" s="108"/>
      <c r="WMJ28" s="108"/>
      <c r="WMK28" s="108"/>
      <c r="WML28" s="108"/>
      <c r="WMM28" s="108"/>
      <c r="WMN28" s="108"/>
      <c r="WMO28" s="108"/>
      <c r="WMP28" s="108"/>
      <c r="WMQ28" s="108"/>
      <c r="WMR28" s="108"/>
      <c r="WMS28" s="108"/>
      <c r="WMT28" s="108"/>
      <c r="WMU28" s="108"/>
      <c r="WMV28" s="108"/>
      <c r="WMW28" s="108"/>
      <c r="WMX28" s="108"/>
      <c r="WMY28" s="108"/>
      <c r="WMZ28" s="108"/>
      <c r="WNA28" s="108"/>
      <c r="WNB28" s="108"/>
      <c r="WNC28" s="108"/>
      <c r="WND28" s="108"/>
      <c r="WNE28" s="108"/>
      <c r="WNF28" s="108"/>
      <c r="WNG28" s="108"/>
      <c r="WNH28" s="108"/>
      <c r="WNI28" s="108"/>
      <c r="WNJ28" s="108"/>
      <c r="WNK28" s="108"/>
      <c r="WNL28" s="108"/>
      <c r="WNM28" s="108"/>
      <c r="WNN28" s="108"/>
      <c r="WNO28" s="108"/>
      <c r="WNP28" s="108"/>
      <c r="WNQ28" s="108"/>
      <c r="WNR28" s="108"/>
      <c r="WNS28" s="108"/>
      <c r="WNT28" s="108"/>
      <c r="WNU28" s="108"/>
      <c r="WNV28" s="108"/>
      <c r="WNW28" s="108"/>
      <c r="WNX28" s="108"/>
      <c r="WNY28" s="108"/>
      <c r="WNZ28" s="108"/>
      <c r="WOA28" s="108"/>
      <c r="WOB28" s="108"/>
      <c r="WOC28" s="108"/>
      <c r="WOD28" s="108"/>
      <c r="WOE28" s="108"/>
      <c r="WOF28" s="108"/>
      <c r="WOG28" s="108"/>
      <c r="WOH28" s="108"/>
      <c r="WOI28" s="108"/>
      <c r="WOJ28" s="108"/>
      <c r="WOK28" s="108"/>
      <c r="WOL28" s="108"/>
      <c r="WOM28" s="108"/>
      <c r="WON28" s="108"/>
      <c r="WOO28" s="108"/>
      <c r="WOP28" s="108"/>
      <c r="WOQ28" s="108"/>
      <c r="WOR28" s="108"/>
      <c r="WOS28" s="108"/>
      <c r="WOT28" s="108"/>
      <c r="WOU28" s="108"/>
      <c r="WOV28" s="108"/>
      <c r="WOW28" s="108"/>
      <c r="WOX28" s="108"/>
      <c r="WOY28" s="108"/>
      <c r="WOZ28" s="108"/>
      <c r="WPA28" s="108"/>
      <c r="WPB28" s="108"/>
      <c r="WPC28" s="108"/>
      <c r="WPD28" s="108"/>
      <c r="WPE28" s="108"/>
      <c r="WPF28" s="108"/>
      <c r="WPG28" s="108"/>
      <c r="WPH28" s="108"/>
      <c r="WPI28" s="108"/>
      <c r="WPJ28" s="108"/>
      <c r="WPK28" s="108"/>
      <c r="WPL28" s="108"/>
      <c r="WPM28" s="108"/>
      <c r="WPN28" s="108"/>
      <c r="WPO28" s="108"/>
      <c r="WPP28" s="108"/>
      <c r="WPQ28" s="108"/>
      <c r="WPR28" s="108"/>
      <c r="WPS28" s="108"/>
      <c r="WPT28" s="108"/>
      <c r="WPU28" s="108"/>
      <c r="WPV28" s="108"/>
      <c r="WPW28" s="108"/>
      <c r="WPX28" s="108"/>
      <c r="WPY28" s="108"/>
      <c r="WPZ28" s="108"/>
      <c r="WQA28" s="108"/>
      <c r="WQB28" s="108"/>
      <c r="WQC28" s="108"/>
      <c r="WQD28" s="108"/>
      <c r="WQE28" s="108"/>
      <c r="WQF28" s="108"/>
      <c r="WQG28" s="108"/>
      <c r="WQH28" s="108"/>
      <c r="WQI28" s="108"/>
      <c r="WQJ28" s="108"/>
      <c r="WQK28" s="108"/>
      <c r="WQL28" s="108"/>
      <c r="WQM28" s="108"/>
      <c r="WQN28" s="108"/>
      <c r="WQO28" s="108"/>
      <c r="WQP28" s="108"/>
      <c r="WQQ28" s="108"/>
      <c r="WQR28" s="108"/>
      <c r="WQS28" s="108"/>
      <c r="WQT28" s="108"/>
      <c r="WQU28" s="108"/>
      <c r="WQV28" s="108"/>
      <c r="WQW28" s="108"/>
      <c r="WQX28" s="108"/>
      <c r="WQY28" s="108"/>
      <c r="WQZ28" s="108"/>
      <c r="WRA28" s="108"/>
      <c r="WRB28" s="108"/>
      <c r="WRC28" s="108"/>
      <c r="WRD28" s="108"/>
      <c r="WRE28" s="108"/>
      <c r="WRF28" s="108"/>
      <c r="WRG28" s="108"/>
      <c r="WRH28" s="108"/>
      <c r="WRI28" s="108"/>
      <c r="WRJ28" s="108"/>
      <c r="WRK28" s="108"/>
      <c r="WRL28" s="108"/>
      <c r="WRM28" s="108"/>
      <c r="WRN28" s="108"/>
      <c r="WRO28" s="108"/>
      <c r="WRP28" s="108"/>
      <c r="WRQ28" s="108"/>
      <c r="WRR28" s="108"/>
      <c r="WRS28" s="108"/>
      <c r="WRT28" s="108"/>
      <c r="WRU28" s="108"/>
      <c r="WRV28" s="108"/>
      <c r="WRW28" s="108"/>
      <c r="WRX28" s="108"/>
      <c r="WRY28" s="108"/>
      <c r="WRZ28" s="108"/>
      <c r="WSA28" s="108"/>
      <c r="WSB28" s="108"/>
      <c r="WSC28" s="108"/>
      <c r="WSD28" s="108"/>
      <c r="WSE28" s="108"/>
      <c r="WSF28" s="108"/>
      <c r="WSG28" s="108"/>
      <c r="WSH28" s="108"/>
      <c r="WSI28" s="108"/>
      <c r="WSJ28" s="108"/>
      <c r="WSK28" s="108"/>
      <c r="WSL28" s="108"/>
      <c r="WSM28" s="108"/>
      <c r="WSN28" s="108"/>
      <c r="WSO28" s="108"/>
      <c r="WSP28" s="108"/>
      <c r="WSQ28" s="108"/>
      <c r="WSR28" s="108"/>
      <c r="WSS28" s="108"/>
      <c r="WST28" s="108"/>
      <c r="WSU28" s="108"/>
      <c r="WSV28" s="108"/>
      <c r="WSW28" s="108"/>
      <c r="WSX28" s="108"/>
      <c r="WSY28" s="108"/>
      <c r="WSZ28" s="108"/>
      <c r="WTA28" s="108"/>
      <c r="WTB28" s="108"/>
      <c r="WTC28" s="108"/>
      <c r="WTD28" s="108"/>
      <c r="WTE28" s="108"/>
      <c r="WTF28" s="108"/>
      <c r="WTG28" s="108"/>
      <c r="WTH28" s="108"/>
      <c r="WTI28" s="108"/>
      <c r="WTJ28" s="108"/>
      <c r="WTK28" s="108"/>
      <c r="WTL28" s="108"/>
      <c r="WTM28" s="108"/>
      <c r="WTN28" s="108"/>
      <c r="WTO28" s="108"/>
      <c r="WTP28" s="108"/>
      <c r="WTQ28" s="108"/>
      <c r="WTR28" s="108"/>
      <c r="WTS28" s="108"/>
      <c r="WTT28" s="108"/>
      <c r="WTU28" s="108"/>
      <c r="WTV28" s="108"/>
      <c r="WTW28" s="108"/>
      <c r="WTX28" s="108"/>
      <c r="WTY28" s="108"/>
      <c r="WTZ28" s="108"/>
      <c r="WUA28" s="108"/>
      <c r="WUB28" s="108"/>
      <c r="WUC28" s="108"/>
      <c r="WUD28" s="108"/>
      <c r="WUE28" s="108"/>
      <c r="WUF28" s="108"/>
      <c r="WUG28" s="108"/>
      <c r="WUH28" s="108"/>
      <c r="WUI28" s="108"/>
      <c r="WUJ28" s="108"/>
      <c r="WUK28" s="108"/>
      <c r="WUL28" s="108"/>
      <c r="WUM28" s="108"/>
      <c r="WUN28" s="108"/>
      <c r="WUO28" s="108"/>
      <c r="WUP28" s="108"/>
      <c r="WUQ28" s="108"/>
      <c r="WUR28" s="108"/>
      <c r="WUS28" s="108"/>
      <c r="WUT28" s="108"/>
      <c r="WUU28" s="108"/>
      <c r="WUV28" s="108"/>
      <c r="WUW28" s="108"/>
      <c r="WUX28" s="108"/>
      <c r="WUY28" s="108"/>
      <c r="WUZ28" s="108"/>
      <c r="WVA28" s="108"/>
      <c r="WVB28" s="108"/>
      <c r="WVC28" s="108"/>
      <c r="WVD28" s="108"/>
      <c r="WVE28" s="108"/>
      <c r="WVF28" s="108"/>
      <c r="WVG28" s="108"/>
      <c r="WVH28" s="108"/>
      <c r="WVI28" s="108"/>
      <c r="WVJ28" s="108"/>
      <c r="WVK28" s="108"/>
      <c r="WVL28" s="108"/>
      <c r="WVM28" s="108"/>
      <c r="WVN28" s="108"/>
      <c r="WVO28" s="108"/>
      <c r="WVP28" s="108"/>
      <c r="WVQ28" s="108"/>
      <c r="WVR28" s="108"/>
      <c r="WVS28" s="108"/>
      <c r="WVT28" s="108"/>
      <c r="WVU28" s="108"/>
      <c r="WVV28" s="108"/>
      <c r="WVW28" s="108"/>
      <c r="WVX28" s="108"/>
      <c r="WVY28" s="108"/>
      <c r="WVZ28" s="108"/>
      <c r="WWA28" s="108"/>
      <c r="WWB28" s="108"/>
      <c r="WWC28" s="108"/>
      <c r="WWD28" s="108"/>
      <c r="WWE28" s="108"/>
      <c r="WWF28" s="108"/>
      <c r="WWG28" s="108"/>
      <c r="WWH28" s="108"/>
      <c r="WWI28" s="108"/>
      <c r="WWJ28" s="108"/>
      <c r="WWK28" s="108"/>
      <c r="WWL28" s="108"/>
      <c r="WWM28" s="108"/>
      <c r="WWN28" s="108"/>
      <c r="WWO28" s="108"/>
      <c r="WWP28" s="108"/>
      <c r="WWQ28" s="108"/>
      <c r="WWR28" s="108"/>
      <c r="WWS28" s="108"/>
      <c r="WWT28" s="108"/>
      <c r="WWU28" s="108"/>
      <c r="WWV28" s="108"/>
      <c r="WWW28" s="108"/>
      <c r="WWX28" s="108"/>
      <c r="WWY28" s="108"/>
      <c r="WWZ28" s="108"/>
      <c r="WXA28" s="108"/>
      <c r="WXB28" s="108"/>
      <c r="WXC28" s="108"/>
      <c r="WXD28" s="108"/>
      <c r="WXE28" s="108"/>
      <c r="WXF28" s="108"/>
      <c r="WXG28" s="108"/>
      <c r="WXH28" s="108"/>
      <c r="WXI28" s="108"/>
      <c r="WXJ28" s="108"/>
      <c r="WXK28" s="108"/>
      <c r="WXL28" s="108"/>
      <c r="WXM28" s="108"/>
      <c r="WXN28" s="108"/>
      <c r="WXO28" s="108"/>
      <c r="WXP28" s="108"/>
      <c r="WXQ28" s="108"/>
      <c r="WXR28" s="108"/>
      <c r="WXS28" s="108"/>
      <c r="WXT28" s="108"/>
      <c r="WXU28" s="108"/>
      <c r="WXV28" s="108"/>
      <c r="WXW28" s="108"/>
      <c r="WXX28" s="108"/>
      <c r="WXY28" s="108"/>
      <c r="WXZ28" s="108"/>
      <c r="WYA28" s="108"/>
      <c r="WYB28" s="108"/>
      <c r="WYC28" s="108"/>
      <c r="WYD28" s="108"/>
      <c r="WYE28" s="108"/>
      <c r="WYF28" s="108"/>
      <c r="WYG28" s="108"/>
      <c r="WYH28" s="108"/>
      <c r="WYI28" s="108"/>
      <c r="WYJ28" s="108"/>
      <c r="WYK28" s="108"/>
      <c r="WYL28" s="108"/>
      <c r="WYM28" s="108"/>
      <c r="WYN28" s="108"/>
      <c r="WYO28" s="108"/>
      <c r="WYP28" s="108"/>
      <c r="WYQ28" s="108"/>
      <c r="WYR28" s="108"/>
      <c r="WYS28" s="108"/>
      <c r="WYT28" s="108"/>
      <c r="WYU28" s="108"/>
      <c r="WYV28" s="108"/>
      <c r="WYW28" s="108"/>
      <c r="WYX28" s="108"/>
      <c r="WYY28" s="108"/>
      <c r="WYZ28" s="108"/>
      <c r="WZA28" s="108"/>
      <c r="WZB28" s="108"/>
      <c r="WZC28" s="108"/>
      <c r="WZD28" s="108"/>
      <c r="WZE28" s="108"/>
      <c r="WZF28" s="108"/>
      <c r="WZG28" s="108"/>
      <c r="WZH28" s="108"/>
      <c r="WZI28" s="108"/>
      <c r="WZJ28" s="108"/>
      <c r="WZK28" s="108"/>
      <c r="WZL28" s="108"/>
      <c r="WZM28" s="108"/>
      <c r="WZN28" s="108"/>
      <c r="WZO28" s="108"/>
      <c r="WZP28" s="108"/>
      <c r="WZQ28" s="108"/>
      <c r="WZR28" s="108"/>
      <c r="WZS28" s="108"/>
      <c r="WZT28" s="108"/>
      <c r="WZU28" s="108"/>
      <c r="WZV28" s="108"/>
      <c r="WZW28" s="108"/>
      <c r="WZX28" s="108"/>
      <c r="WZY28" s="108"/>
      <c r="WZZ28" s="108"/>
      <c r="XAA28" s="108"/>
      <c r="XAB28" s="108"/>
      <c r="XAC28" s="108"/>
      <c r="XAD28" s="108"/>
      <c r="XAE28" s="108"/>
      <c r="XAF28" s="108"/>
      <c r="XAG28" s="108"/>
      <c r="XAH28" s="108"/>
      <c r="XAI28" s="108"/>
      <c r="XAJ28" s="108"/>
      <c r="XAK28" s="108"/>
      <c r="XAL28" s="108"/>
      <c r="XAM28" s="108"/>
      <c r="XAN28" s="108"/>
      <c r="XAO28" s="108"/>
      <c r="XAP28" s="108"/>
      <c r="XAQ28" s="108"/>
      <c r="XAR28" s="108"/>
      <c r="XAS28" s="108"/>
      <c r="XAT28" s="108"/>
      <c r="XAU28" s="108"/>
      <c r="XAV28" s="108"/>
      <c r="XAW28" s="108"/>
      <c r="XAX28" s="108"/>
      <c r="XAY28" s="108"/>
      <c r="XAZ28" s="108"/>
      <c r="XBA28" s="108"/>
      <c r="XBB28" s="108"/>
      <c r="XBC28" s="108"/>
      <c r="XBD28" s="108"/>
      <c r="XBE28" s="108"/>
      <c r="XBF28" s="108"/>
      <c r="XBG28" s="108"/>
      <c r="XBH28" s="108"/>
      <c r="XBI28" s="108"/>
      <c r="XBJ28" s="108"/>
      <c r="XBK28" s="108"/>
      <c r="XBL28" s="108"/>
      <c r="XBM28" s="108"/>
      <c r="XBN28" s="108"/>
      <c r="XBO28" s="108"/>
      <c r="XBP28" s="108"/>
      <c r="XBQ28" s="108"/>
      <c r="XBR28" s="108"/>
      <c r="XBS28" s="108"/>
      <c r="XBT28" s="108"/>
      <c r="XBU28" s="108"/>
      <c r="XBV28" s="108"/>
      <c r="XBW28" s="108"/>
      <c r="XBX28" s="108"/>
      <c r="XBY28" s="108"/>
      <c r="XBZ28" s="108"/>
      <c r="XCA28" s="108"/>
      <c r="XCB28" s="108"/>
      <c r="XCC28" s="108"/>
      <c r="XCD28" s="108"/>
      <c r="XCE28" s="108"/>
      <c r="XCF28" s="108"/>
      <c r="XCG28" s="108"/>
      <c r="XCH28" s="108"/>
      <c r="XCI28" s="108"/>
      <c r="XCJ28" s="108"/>
      <c r="XCK28" s="108"/>
      <c r="XCL28" s="108"/>
      <c r="XCM28" s="108"/>
      <c r="XCN28" s="108"/>
      <c r="XCO28" s="108"/>
      <c r="XCP28" s="108"/>
      <c r="XCQ28" s="108"/>
      <c r="XCR28" s="108"/>
      <c r="XCS28" s="108"/>
      <c r="XCT28" s="108"/>
      <c r="XCU28" s="108"/>
      <c r="XCV28" s="108"/>
      <c r="XCW28" s="108"/>
      <c r="XCX28" s="108"/>
      <c r="XCY28" s="108"/>
      <c r="XCZ28" s="108"/>
      <c r="XDA28" s="108"/>
      <c r="XDB28" s="108"/>
      <c r="XDC28" s="108"/>
      <c r="XDD28" s="108"/>
      <c r="XDE28" s="108"/>
      <c r="XDF28" s="108"/>
      <c r="XDG28" s="108"/>
      <c r="XDH28" s="108"/>
      <c r="XDI28" s="108"/>
      <c r="XDJ28" s="108"/>
      <c r="XDK28" s="108"/>
      <c r="XDL28" s="108"/>
      <c r="XDM28" s="108"/>
      <c r="XDN28" s="108"/>
      <c r="XDO28" s="108"/>
      <c r="XDP28" s="108"/>
      <c r="XDQ28" s="108"/>
      <c r="XDR28" s="108"/>
      <c r="XDS28" s="108"/>
      <c r="XDT28" s="108"/>
      <c r="XDU28" s="108"/>
      <c r="XDV28" s="108"/>
      <c r="XDW28" s="108"/>
      <c r="XDX28" s="108"/>
      <c r="XDY28" s="108"/>
      <c r="XDZ28" s="108"/>
      <c r="XEA28" s="108"/>
      <c r="XEB28" s="108"/>
      <c r="XEC28" s="108"/>
      <c r="XED28" s="108"/>
      <c r="XEE28" s="108"/>
      <c r="XEF28" s="108"/>
      <c r="XEG28" s="108"/>
      <c r="XEH28" s="108"/>
      <c r="XEI28" s="108"/>
      <c r="XEJ28" s="108"/>
      <c r="XEK28" s="108"/>
      <c r="XEL28" s="108"/>
      <c r="XEM28" s="108"/>
      <c r="XEN28" s="108"/>
      <c r="XEO28" s="108"/>
      <c r="XEP28" s="108"/>
      <c r="XEQ28" s="108"/>
      <c r="XER28" s="108"/>
      <c r="XES28" s="108"/>
      <c r="XET28" s="108"/>
      <c r="XEU28" s="108"/>
      <c r="XEV28" s="108"/>
      <c r="XEW28" s="108"/>
      <c r="XEX28" s="108"/>
      <c r="XEY28" s="108"/>
      <c r="XEZ28" s="108"/>
      <c r="XFA28" s="108"/>
      <c r="XFB28" s="108"/>
      <c r="XFC28" s="108"/>
      <c r="XFD28" s="108"/>
    </row>
    <row r="29" spans="1:16384" s="109" customFormat="1" ht="12.75" x14ac:dyDescent="0.25">
      <c r="A29" s="110">
        <v>9072</v>
      </c>
      <c r="B29" s="111" t="s">
        <v>50</v>
      </c>
      <c r="C29" s="112" t="s">
        <v>71</v>
      </c>
      <c r="D29" s="112"/>
      <c r="E29" s="112" t="s">
        <v>31</v>
      </c>
      <c r="F29" s="112" t="s">
        <v>39</v>
      </c>
      <c r="G29" s="111" t="s">
        <v>46</v>
      </c>
      <c r="H29" s="113">
        <v>2015</v>
      </c>
      <c r="I29" s="114">
        <f>MIN(I30:I32)</f>
        <v>32</v>
      </c>
      <c r="J29" s="122">
        <f>MIN(J30:J32)</f>
        <v>42219</v>
      </c>
      <c r="K29" s="122">
        <f>MAX(K30:K32)</f>
        <v>42337</v>
      </c>
      <c r="L29" s="123">
        <f>M29*7</f>
        <v>0</v>
      </c>
      <c r="M29" s="124"/>
      <c r="N29" s="125">
        <v>0</v>
      </c>
      <c r="O29" s="124">
        <f t="shared" ref="O29" si="719">NETWORKDAYS(J29,K29)</f>
        <v>85</v>
      </c>
      <c r="P29" s="126">
        <f t="shared" ref="P29" si="720">ROUNDDOWN(N29*L29,0)</f>
        <v>0</v>
      </c>
      <c r="Q29" s="124">
        <f t="shared" ref="Q29" si="721">L29-P29</f>
        <v>0</v>
      </c>
      <c r="R29" s="127"/>
    </row>
    <row r="30" spans="1:16384" s="98" customFormat="1" ht="12.75" x14ac:dyDescent="0.25">
      <c r="A30" s="20" t="str">
        <f ca="1">IF(ISERROR(VALUE(SUBSTITUTE(OFFSET(A30,-1,0,1,1),".",""))),"0.1",IF(ISERROR(FIND("`",SUBSTITUTE(OFFSET(A30,-1,0,1,1),".","`",1))),OFFSET(A30,-1,0,1,1)&amp;".1",LEFT(OFFSET(A30,-1,0,1,1),FIND("`",SUBSTITUTE(OFFSET(A30,-1,0,1,1),".","`",1)))&amp;IF(ISERROR(FIND("`",SUBSTITUTE(OFFSET(A30,-1,0,1,1),".","`",2))),VALUE(RIGHT(OFFSET(A30,-1,0,1,1),LEN(OFFSET(A30,-1,0,1,1))-FIND("`",SUBSTITUTE(OFFSET(A30,-1,0,1,1),".","`",1))))+1,VALUE(MID(OFFSET(A30,-1,0,1,1),FIND("`",SUBSTITUTE(OFFSET(A30,-1,0,1,1),".","`",1))+1,(FIND("`",SUBSTITUTE(OFFSET(A30,-1,0,1,1),".","`",2))-FIND("`",SUBSTITUTE(OFFSET(A30,-1,0,1,1),".","`",1))-1)))+1)))</f>
        <v>9072.1</v>
      </c>
      <c r="B30" s="74" t="str">
        <f>B$29</f>
        <v>C</v>
      </c>
      <c r="C30" s="28" t="s">
        <v>17</v>
      </c>
      <c r="D30" s="28"/>
      <c r="E30" s="28" t="s">
        <v>31</v>
      </c>
      <c r="F30" s="28"/>
      <c r="G30" s="74"/>
      <c r="H30" s="105">
        <v>2015</v>
      </c>
      <c r="I30" s="63">
        <v>32</v>
      </c>
      <c r="J30" s="64">
        <f>IsoWeekToDateB2(H30,I30)</f>
        <v>42219</v>
      </c>
      <c r="K30" s="21">
        <f>J30+L30-1</f>
        <v>42232</v>
      </c>
      <c r="L30" s="22">
        <f t="shared" ref="L30:L32" si="722">M30*7</f>
        <v>14</v>
      </c>
      <c r="M30" s="52">
        <v>2</v>
      </c>
      <c r="N30" s="53">
        <v>0</v>
      </c>
      <c r="O30" s="22">
        <f t="shared" ref="O30:O32" si="723">NETWORKDAYS(J30,K30)</f>
        <v>10</v>
      </c>
      <c r="P30" s="23">
        <f t="shared" ref="P30:P32" si="724">ROUNDDOWN(N30*L30,0)</f>
        <v>0</v>
      </c>
      <c r="Q30" s="22">
        <f t="shared" ref="Q30:Q32" si="725">L30-P30</f>
        <v>14</v>
      </c>
      <c r="R30" s="2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  <c r="BR30" s="109"/>
      <c r="BS30" s="109"/>
      <c r="BT30" s="109"/>
      <c r="BU30" s="109"/>
      <c r="BV30" s="109"/>
      <c r="BW30" s="109"/>
      <c r="BX30" s="109"/>
      <c r="BY30" s="109"/>
      <c r="BZ30" s="109"/>
      <c r="CA30" s="109"/>
      <c r="CB30" s="109"/>
      <c r="CC30" s="109"/>
      <c r="CD30" s="109"/>
      <c r="CE30" s="109"/>
      <c r="CF30" s="109"/>
      <c r="CG30" s="109"/>
      <c r="CH30" s="109"/>
      <c r="CI30" s="109"/>
      <c r="CJ30" s="109"/>
      <c r="CK30" s="109"/>
      <c r="CL30" s="109"/>
      <c r="CM30" s="109"/>
      <c r="CN30" s="109"/>
      <c r="CO30" s="109"/>
      <c r="CP30" s="109"/>
      <c r="CQ30" s="109"/>
      <c r="CR30" s="109"/>
      <c r="CS30" s="109"/>
      <c r="CT30" s="109"/>
      <c r="CU30" s="109"/>
      <c r="CV30" s="109"/>
      <c r="CW30" s="109"/>
      <c r="CX30" s="109"/>
      <c r="CY30" s="109"/>
      <c r="CZ30" s="109"/>
      <c r="DA30" s="109"/>
      <c r="DB30" s="109"/>
      <c r="DC30" s="109"/>
      <c r="DD30" s="109"/>
      <c r="DE30" s="109"/>
      <c r="DF30" s="109"/>
      <c r="DG30" s="109"/>
      <c r="DH30" s="109"/>
      <c r="DI30" s="109"/>
      <c r="DJ30" s="109"/>
      <c r="DK30" s="109"/>
      <c r="DL30" s="109"/>
      <c r="DM30" s="109"/>
      <c r="DN30" s="109"/>
      <c r="DO30" s="109"/>
      <c r="DP30" s="109"/>
      <c r="DQ30" s="109"/>
      <c r="DR30" s="109"/>
      <c r="DS30" s="109"/>
      <c r="DT30" s="109"/>
      <c r="DU30" s="109"/>
      <c r="DV30" s="109"/>
      <c r="DW30" s="109"/>
      <c r="DX30" s="109"/>
      <c r="DY30" s="109"/>
      <c r="DZ30" s="109"/>
      <c r="EA30" s="109"/>
      <c r="EB30" s="109"/>
      <c r="EC30" s="109"/>
      <c r="ED30" s="109"/>
      <c r="EE30" s="109"/>
      <c r="EF30" s="109"/>
      <c r="EG30" s="109"/>
      <c r="EH30" s="109"/>
      <c r="EI30" s="109"/>
      <c r="EJ30" s="109"/>
      <c r="EK30" s="109"/>
      <c r="EL30" s="109"/>
      <c r="EM30" s="109"/>
      <c r="EN30" s="109"/>
      <c r="EO30" s="109"/>
      <c r="EP30" s="109"/>
      <c r="EQ30" s="109"/>
      <c r="ER30" s="109"/>
      <c r="ES30" s="109"/>
      <c r="ET30" s="109"/>
      <c r="EU30" s="109"/>
      <c r="EV30" s="109"/>
      <c r="EW30" s="109"/>
      <c r="EX30" s="109"/>
      <c r="EY30" s="109"/>
      <c r="EZ30" s="109"/>
      <c r="FA30" s="109"/>
      <c r="FB30" s="109"/>
      <c r="FC30" s="109"/>
      <c r="FD30" s="109"/>
      <c r="FE30" s="109"/>
      <c r="FF30" s="109"/>
      <c r="FG30" s="109"/>
      <c r="FH30" s="109"/>
      <c r="FI30" s="109"/>
      <c r="FJ30" s="109"/>
      <c r="FK30" s="109"/>
      <c r="FL30" s="109"/>
      <c r="FM30" s="109"/>
      <c r="FN30" s="109"/>
      <c r="FO30" s="109"/>
      <c r="FP30" s="109"/>
      <c r="FQ30" s="109"/>
      <c r="FR30" s="109"/>
      <c r="FS30" s="109"/>
      <c r="FT30" s="109"/>
      <c r="FU30" s="109"/>
      <c r="FV30" s="109"/>
      <c r="FW30" s="109"/>
      <c r="FX30" s="109"/>
      <c r="FY30" s="109"/>
      <c r="FZ30" s="109"/>
      <c r="GA30" s="109"/>
      <c r="GB30" s="109"/>
      <c r="GC30" s="109"/>
      <c r="GD30" s="109"/>
      <c r="GE30" s="109"/>
      <c r="GF30" s="109"/>
      <c r="GG30" s="109"/>
      <c r="GH30" s="109"/>
      <c r="GI30" s="109"/>
      <c r="GJ30" s="109"/>
      <c r="GK30" s="109"/>
      <c r="GL30" s="109"/>
      <c r="GM30" s="109"/>
      <c r="GN30" s="109"/>
      <c r="GO30" s="109"/>
      <c r="GP30" s="109"/>
      <c r="GQ30" s="109"/>
      <c r="GR30" s="109"/>
      <c r="GS30" s="109"/>
      <c r="GT30" s="109"/>
      <c r="GU30" s="109"/>
      <c r="GV30" s="109"/>
      <c r="GW30" s="109"/>
      <c r="GX30" s="109"/>
      <c r="GY30" s="109"/>
      <c r="GZ30" s="109"/>
      <c r="HA30" s="109"/>
      <c r="HB30" s="109"/>
      <c r="HC30" s="109"/>
      <c r="HD30" s="109"/>
      <c r="HE30" s="109"/>
      <c r="HF30" s="109"/>
      <c r="HG30" s="109"/>
      <c r="HH30" s="109"/>
      <c r="HI30" s="109"/>
      <c r="HJ30" s="109"/>
      <c r="HK30" s="109"/>
      <c r="HL30" s="109"/>
      <c r="HM30" s="109"/>
      <c r="HN30" s="109"/>
      <c r="HO30" s="109"/>
      <c r="HP30" s="109"/>
      <c r="HQ30" s="109"/>
      <c r="HR30" s="109"/>
      <c r="HS30" s="109"/>
      <c r="HT30" s="109"/>
      <c r="HU30" s="109"/>
      <c r="HV30" s="109"/>
      <c r="HW30" s="109"/>
      <c r="HX30" s="109"/>
      <c r="HY30" s="109"/>
      <c r="HZ30" s="109"/>
      <c r="IA30" s="109"/>
      <c r="IB30" s="109"/>
      <c r="IC30" s="109"/>
      <c r="ID30" s="109"/>
      <c r="IE30" s="109"/>
      <c r="IF30" s="109"/>
      <c r="IG30" s="109"/>
      <c r="IH30" s="109"/>
      <c r="II30" s="109"/>
      <c r="IJ30" s="109"/>
      <c r="IK30" s="109"/>
      <c r="IL30" s="109"/>
      <c r="IM30" s="109"/>
      <c r="IN30" s="109"/>
      <c r="IO30" s="109"/>
      <c r="IP30" s="109"/>
      <c r="IQ30" s="109"/>
      <c r="IR30" s="109"/>
      <c r="IS30" s="109"/>
      <c r="IT30" s="109"/>
      <c r="IU30" s="109"/>
      <c r="IV30" s="109"/>
      <c r="IW30" s="109"/>
      <c r="IX30" s="109"/>
      <c r="IY30" s="109"/>
      <c r="IZ30" s="109"/>
      <c r="JA30" s="109"/>
      <c r="JB30" s="109"/>
      <c r="JC30" s="109"/>
      <c r="JD30" s="109"/>
      <c r="JE30" s="109"/>
      <c r="JF30" s="109"/>
      <c r="JG30" s="109"/>
      <c r="JH30" s="109"/>
      <c r="JI30" s="109"/>
      <c r="JJ30" s="109"/>
      <c r="JK30" s="109"/>
      <c r="JL30" s="109"/>
      <c r="JM30" s="109"/>
      <c r="JN30" s="109"/>
      <c r="JO30" s="109"/>
      <c r="JP30" s="109"/>
      <c r="JQ30" s="109"/>
      <c r="JR30" s="109"/>
      <c r="JS30" s="109"/>
      <c r="JT30" s="109"/>
      <c r="JU30" s="109"/>
      <c r="JV30" s="109"/>
      <c r="JW30" s="109"/>
      <c r="JX30" s="109"/>
      <c r="JY30" s="109"/>
      <c r="JZ30" s="109"/>
      <c r="KA30" s="109"/>
      <c r="KB30" s="109"/>
      <c r="KC30" s="109"/>
      <c r="KD30" s="109"/>
      <c r="KE30" s="109"/>
      <c r="KF30" s="109"/>
      <c r="KG30" s="109"/>
      <c r="KH30" s="109"/>
      <c r="KI30" s="109"/>
      <c r="KJ30" s="109"/>
      <c r="KK30" s="109"/>
      <c r="KL30" s="109"/>
      <c r="KM30" s="109"/>
      <c r="KN30" s="109"/>
      <c r="KO30" s="109"/>
      <c r="KP30" s="109"/>
      <c r="KQ30" s="109"/>
      <c r="KR30" s="109"/>
      <c r="KS30" s="109"/>
      <c r="KT30" s="109"/>
      <c r="KU30" s="109"/>
      <c r="KV30" s="109"/>
      <c r="KW30" s="109"/>
      <c r="KX30" s="109"/>
      <c r="KY30" s="109"/>
      <c r="KZ30" s="109"/>
      <c r="LA30" s="109"/>
      <c r="LB30" s="109"/>
      <c r="LC30" s="109"/>
      <c r="LD30" s="109"/>
      <c r="LE30" s="109"/>
      <c r="LF30" s="109"/>
      <c r="LG30" s="109"/>
      <c r="LH30" s="109"/>
      <c r="LI30" s="109"/>
      <c r="LJ30" s="109"/>
      <c r="LK30" s="109"/>
      <c r="LL30" s="109"/>
      <c r="LM30" s="109"/>
      <c r="LN30" s="109"/>
      <c r="LO30" s="109"/>
      <c r="LP30" s="109"/>
      <c r="LQ30" s="109"/>
      <c r="LR30" s="109"/>
      <c r="LS30" s="109"/>
      <c r="LT30" s="109"/>
      <c r="LU30" s="109"/>
      <c r="LV30" s="109"/>
      <c r="LW30" s="109"/>
      <c r="LX30" s="109"/>
      <c r="LY30" s="109"/>
      <c r="LZ30" s="109"/>
      <c r="MA30" s="109"/>
      <c r="MB30" s="109"/>
      <c r="MC30" s="109"/>
      <c r="MD30" s="109"/>
      <c r="ME30" s="109"/>
      <c r="MF30" s="109"/>
      <c r="MG30" s="109"/>
      <c r="MH30" s="109"/>
      <c r="MI30" s="109"/>
      <c r="MJ30" s="109"/>
      <c r="MK30" s="109"/>
      <c r="ML30" s="109"/>
      <c r="MM30" s="109"/>
      <c r="MN30" s="109"/>
      <c r="MO30" s="109"/>
      <c r="MP30" s="109"/>
      <c r="MQ30" s="109"/>
      <c r="MR30" s="109"/>
      <c r="MS30" s="109"/>
      <c r="MT30" s="109"/>
      <c r="MU30" s="109"/>
      <c r="MV30" s="109"/>
      <c r="MW30" s="109"/>
      <c r="MX30" s="109"/>
      <c r="MY30" s="109"/>
      <c r="MZ30" s="109"/>
      <c r="NA30" s="109"/>
      <c r="NB30" s="109"/>
      <c r="NC30" s="109"/>
      <c r="ND30" s="109"/>
      <c r="NE30" s="109"/>
      <c r="NF30" s="109"/>
      <c r="NG30" s="109"/>
      <c r="NH30" s="109"/>
      <c r="NI30" s="109"/>
      <c r="NJ30" s="109"/>
      <c r="NK30" s="109"/>
      <c r="NL30" s="109"/>
      <c r="NM30" s="109"/>
      <c r="NN30" s="109"/>
      <c r="NO30" s="109"/>
      <c r="NP30" s="109"/>
      <c r="NQ30" s="109"/>
      <c r="NR30" s="109"/>
      <c r="NS30" s="109"/>
      <c r="NT30" s="109"/>
      <c r="NU30" s="109"/>
      <c r="NV30" s="109"/>
      <c r="NW30" s="109"/>
      <c r="NX30" s="109"/>
      <c r="NY30" s="109"/>
      <c r="NZ30" s="109"/>
      <c r="OA30" s="109"/>
      <c r="OB30" s="109"/>
      <c r="OC30" s="109"/>
      <c r="OD30" s="109"/>
      <c r="OE30" s="109"/>
      <c r="OF30" s="109"/>
      <c r="OG30" s="109"/>
      <c r="OH30" s="109"/>
      <c r="OI30" s="109"/>
      <c r="OJ30" s="109"/>
      <c r="OK30" s="109"/>
      <c r="OL30" s="109"/>
      <c r="OM30" s="109"/>
      <c r="ON30" s="109"/>
      <c r="OO30" s="109"/>
      <c r="OP30" s="109"/>
      <c r="OQ30" s="109"/>
      <c r="OR30" s="109"/>
      <c r="OS30" s="109"/>
      <c r="OT30" s="109"/>
      <c r="OU30" s="109"/>
      <c r="OV30" s="109"/>
      <c r="OW30" s="109"/>
      <c r="OX30" s="109"/>
      <c r="OY30" s="109"/>
      <c r="OZ30" s="109"/>
      <c r="PA30" s="109"/>
      <c r="PB30" s="109"/>
      <c r="PC30" s="109"/>
      <c r="PD30" s="109"/>
      <c r="PE30" s="109"/>
      <c r="PF30" s="109"/>
      <c r="PG30" s="109"/>
      <c r="PH30" s="109"/>
      <c r="PI30" s="109"/>
      <c r="PJ30" s="109"/>
      <c r="PK30" s="109"/>
      <c r="PL30" s="109"/>
      <c r="PM30" s="109"/>
      <c r="PN30" s="109"/>
      <c r="PO30" s="109"/>
      <c r="PP30" s="109"/>
      <c r="PQ30" s="109"/>
      <c r="PR30" s="109"/>
      <c r="PS30" s="109"/>
      <c r="PT30" s="109"/>
      <c r="PU30" s="109"/>
      <c r="PV30" s="109"/>
      <c r="PW30" s="109"/>
      <c r="PX30" s="109"/>
      <c r="PY30" s="109"/>
      <c r="PZ30" s="109"/>
      <c r="QA30" s="109"/>
      <c r="QB30" s="109"/>
      <c r="QC30" s="109"/>
      <c r="QD30" s="109"/>
      <c r="QE30" s="109"/>
      <c r="QF30" s="109"/>
      <c r="QG30" s="109"/>
      <c r="QH30" s="109"/>
      <c r="QI30" s="109"/>
      <c r="QJ30" s="109"/>
      <c r="QK30" s="109"/>
      <c r="QL30" s="109"/>
      <c r="QM30" s="109"/>
      <c r="QN30" s="109"/>
      <c r="QO30" s="109"/>
      <c r="QP30" s="109"/>
      <c r="QQ30" s="109"/>
      <c r="QR30" s="109"/>
      <c r="QS30" s="109"/>
      <c r="QT30" s="109"/>
      <c r="QU30" s="109"/>
      <c r="QV30" s="109"/>
      <c r="QW30" s="109"/>
      <c r="QX30" s="109"/>
      <c r="QY30" s="109"/>
      <c r="QZ30" s="109"/>
      <c r="RA30" s="109"/>
      <c r="RB30" s="109"/>
      <c r="RC30" s="109"/>
      <c r="RD30" s="109"/>
      <c r="RE30" s="109"/>
      <c r="RF30" s="109"/>
      <c r="RG30" s="109"/>
      <c r="RH30" s="109"/>
      <c r="RI30" s="109"/>
      <c r="RJ30" s="109"/>
      <c r="RK30" s="109"/>
      <c r="RL30" s="109"/>
      <c r="RM30" s="109"/>
      <c r="RN30" s="109"/>
      <c r="RO30" s="109"/>
      <c r="RP30" s="109"/>
      <c r="RQ30" s="109"/>
      <c r="RR30" s="109"/>
      <c r="RS30" s="109"/>
      <c r="RT30" s="109"/>
      <c r="RU30" s="109"/>
      <c r="RV30" s="109"/>
      <c r="RW30" s="109"/>
      <c r="RX30" s="109"/>
      <c r="RY30" s="109"/>
      <c r="RZ30" s="109"/>
      <c r="SA30" s="109"/>
      <c r="SB30" s="109"/>
      <c r="SC30" s="109"/>
      <c r="SD30" s="109"/>
      <c r="SE30" s="109"/>
      <c r="SF30" s="109"/>
      <c r="SG30" s="109"/>
      <c r="SH30" s="109"/>
      <c r="SI30" s="109"/>
      <c r="SJ30" s="109"/>
      <c r="SK30" s="109"/>
      <c r="SL30" s="109"/>
      <c r="SM30" s="109"/>
      <c r="SN30" s="109"/>
      <c r="SO30" s="109"/>
      <c r="SP30" s="109"/>
      <c r="SQ30" s="109"/>
      <c r="SR30" s="109"/>
      <c r="SS30" s="109"/>
      <c r="ST30" s="109"/>
      <c r="SU30" s="109"/>
      <c r="SV30" s="109"/>
      <c r="SW30" s="109"/>
      <c r="SX30" s="109"/>
      <c r="SY30" s="109"/>
      <c r="SZ30" s="109"/>
      <c r="TA30" s="109"/>
      <c r="TB30" s="109"/>
      <c r="TC30" s="109"/>
      <c r="TD30" s="109"/>
      <c r="TE30" s="109"/>
      <c r="TF30" s="109"/>
      <c r="TG30" s="109"/>
      <c r="TH30" s="109"/>
      <c r="TI30" s="109"/>
      <c r="TJ30" s="109"/>
      <c r="TK30" s="109"/>
      <c r="TL30" s="109"/>
      <c r="TM30" s="109"/>
      <c r="TN30" s="109"/>
      <c r="TO30" s="109"/>
      <c r="TP30" s="109"/>
      <c r="TQ30" s="109"/>
      <c r="TR30" s="109"/>
      <c r="TS30" s="109"/>
      <c r="TT30" s="109"/>
      <c r="TU30" s="109"/>
      <c r="TV30" s="109"/>
      <c r="TW30" s="109"/>
      <c r="TX30" s="109"/>
      <c r="TY30" s="109"/>
      <c r="TZ30" s="109"/>
      <c r="UA30" s="109"/>
      <c r="UB30" s="109"/>
      <c r="UC30" s="109"/>
      <c r="UD30" s="109"/>
      <c r="UE30" s="109"/>
      <c r="UF30" s="109"/>
      <c r="UG30" s="109"/>
      <c r="UH30" s="109"/>
      <c r="UI30" s="109"/>
      <c r="UJ30" s="109"/>
      <c r="UK30" s="109"/>
      <c r="UL30" s="109"/>
      <c r="UM30" s="109"/>
      <c r="UN30" s="109"/>
      <c r="UO30" s="109"/>
      <c r="UP30" s="109"/>
      <c r="UQ30" s="109"/>
      <c r="UR30" s="109"/>
      <c r="US30" s="109"/>
      <c r="UT30" s="109"/>
      <c r="UU30" s="109"/>
      <c r="UV30" s="109"/>
      <c r="UW30" s="109"/>
      <c r="UX30" s="109"/>
      <c r="UY30" s="109"/>
      <c r="UZ30" s="109"/>
      <c r="VA30" s="109"/>
      <c r="VB30" s="109"/>
      <c r="VC30" s="109"/>
      <c r="VD30" s="109"/>
      <c r="VE30" s="109"/>
      <c r="VF30" s="109"/>
      <c r="VG30" s="109"/>
      <c r="VH30" s="109"/>
      <c r="VI30" s="109"/>
      <c r="VJ30" s="109"/>
      <c r="VK30" s="109"/>
      <c r="VL30" s="109"/>
      <c r="VM30" s="109"/>
      <c r="VN30" s="109"/>
      <c r="VO30" s="109"/>
      <c r="VP30" s="109"/>
      <c r="VQ30" s="109"/>
      <c r="VR30" s="109"/>
      <c r="VS30" s="109"/>
      <c r="VT30" s="109"/>
      <c r="VU30" s="109"/>
      <c r="VV30" s="109"/>
      <c r="VW30" s="109"/>
      <c r="VX30" s="109"/>
      <c r="VY30" s="109"/>
      <c r="VZ30" s="109"/>
      <c r="WA30" s="109"/>
      <c r="WB30" s="109"/>
      <c r="WC30" s="109"/>
      <c r="WD30" s="109"/>
      <c r="WE30" s="109"/>
      <c r="WF30" s="109"/>
      <c r="WG30" s="109"/>
      <c r="WH30" s="109"/>
      <c r="WI30" s="109"/>
      <c r="WJ30" s="109"/>
      <c r="WK30" s="109"/>
      <c r="WL30" s="109"/>
      <c r="WM30" s="109"/>
      <c r="WN30" s="109"/>
      <c r="WO30" s="109"/>
      <c r="WP30" s="109"/>
      <c r="WQ30" s="109"/>
      <c r="WR30" s="109"/>
      <c r="WS30" s="109"/>
      <c r="WT30" s="109"/>
      <c r="WU30" s="109"/>
      <c r="WV30" s="109"/>
      <c r="WW30" s="109"/>
      <c r="WX30" s="109"/>
      <c r="WY30" s="109"/>
      <c r="WZ30" s="109"/>
      <c r="XA30" s="109"/>
      <c r="XB30" s="109"/>
      <c r="XC30" s="109"/>
      <c r="XD30" s="109"/>
      <c r="XE30" s="109"/>
      <c r="XF30" s="109"/>
      <c r="XG30" s="109"/>
      <c r="XH30" s="109"/>
      <c r="XI30" s="109"/>
      <c r="XJ30" s="109"/>
      <c r="XK30" s="109"/>
      <c r="XL30" s="109"/>
      <c r="XM30" s="109"/>
      <c r="XN30" s="109"/>
      <c r="XO30" s="109"/>
      <c r="XP30" s="109"/>
      <c r="XQ30" s="109"/>
      <c r="XR30" s="109"/>
      <c r="XS30" s="109"/>
      <c r="XT30" s="109"/>
      <c r="XU30" s="109"/>
      <c r="XV30" s="109"/>
      <c r="XW30" s="109"/>
      <c r="XX30" s="109"/>
      <c r="XY30" s="109"/>
      <c r="XZ30" s="109"/>
      <c r="YA30" s="109"/>
      <c r="YB30" s="109"/>
      <c r="YC30" s="109"/>
      <c r="YD30" s="109"/>
      <c r="YE30" s="109"/>
      <c r="YF30" s="109"/>
      <c r="YG30" s="109"/>
      <c r="YH30" s="109"/>
      <c r="YI30" s="109"/>
      <c r="YJ30" s="109"/>
      <c r="YK30" s="109"/>
      <c r="YL30" s="109"/>
      <c r="YM30" s="109"/>
      <c r="YN30" s="109"/>
      <c r="YO30" s="109"/>
      <c r="YP30" s="109"/>
      <c r="YQ30" s="109"/>
      <c r="YR30" s="109"/>
      <c r="YS30" s="109"/>
      <c r="YT30" s="109"/>
      <c r="YU30" s="109"/>
      <c r="YV30" s="109"/>
      <c r="YW30" s="109"/>
      <c r="YX30" s="109"/>
      <c r="YY30" s="109"/>
      <c r="YZ30" s="109"/>
      <c r="ZA30" s="109"/>
      <c r="ZB30" s="109"/>
      <c r="ZC30" s="109"/>
      <c r="ZD30" s="109"/>
      <c r="ZE30" s="109"/>
      <c r="ZF30" s="109"/>
      <c r="ZG30" s="109"/>
      <c r="ZH30" s="109"/>
      <c r="ZI30" s="109"/>
      <c r="ZJ30" s="109"/>
      <c r="ZK30" s="109"/>
      <c r="ZL30" s="109"/>
      <c r="ZM30" s="109"/>
      <c r="ZN30" s="109"/>
      <c r="ZO30" s="109"/>
      <c r="ZP30" s="109"/>
      <c r="ZQ30" s="109"/>
      <c r="ZR30" s="109"/>
      <c r="ZS30" s="109"/>
      <c r="ZT30" s="109"/>
      <c r="ZU30" s="109"/>
      <c r="ZV30" s="109"/>
      <c r="ZW30" s="109"/>
      <c r="ZX30" s="109"/>
      <c r="ZY30" s="109"/>
      <c r="ZZ30" s="109"/>
      <c r="AAA30" s="109"/>
      <c r="AAB30" s="109"/>
      <c r="AAC30" s="109"/>
      <c r="AAD30" s="109"/>
      <c r="AAE30" s="109"/>
      <c r="AAF30" s="109"/>
      <c r="AAG30" s="109"/>
      <c r="AAH30" s="109"/>
      <c r="AAI30" s="109"/>
      <c r="AAJ30" s="109"/>
      <c r="AAK30" s="109"/>
      <c r="AAL30" s="109"/>
      <c r="AAM30" s="109"/>
      <c r="AAN30" s="109"/>
      <c r="AAO30" s="109"/>
      <c r="AAP30" s="109"/>
      <c r="AAQ30" s="109"/>
      <c r="AAR30" s="109"/>
      <c r="AAS30" s="109"/>
      <c r="AAT30" s="109"/>
      <c r="AAU30" s="109"/>
      <c r="AAV30" s="109"/>
      <c r="AAW30" s="109"/>
      <c r="AAX30" s="109"/>
      <c r="AAY30" s="109"/>
      <c r="AAZ30" s="109"/>
      <c r="ABA30" s="109"/>
      <c r="ABB30" s="109"/>
      <c r="ABC30" s="109"/>
      <c r="ABD30" s="109"/>
      <c r="ABE30" s="109"/>
      <c r="ABF30" s="109"/>
      <c r="ABG30" s="109"/>
      <c r="ABH30" s="109"/>
      <c r="ABI30" s="109"/>
      <c r="ABJ30" s="109"/>
      <c r="ABK30" s="109"/>
      <c r="ABL30" s="109"/>
      <c r="ABM30" s="109"/>
      <c r="ABN30" s="109"/>
      <c r="ABO30" s="109"/>
      <c r="ABP30" s="109"/>
      <c r="ABQ30" s="109"/>
      <c r="ABR30" s="109"/>
      <c r="ABS30" s="109"/>
      <c r="ABT30" s="109"/>
      <c r="ABU30" s="109"/>
      <c r="ABV30" s="109"/>
      <c r="ABW30" s="109"/>
      <c r="ABX30" s="109"/>
      <c r="ABY30" s="109"/>
      <c r="ABZ30" s="109"/>
      <c r="ACA30" s="109"/>
      <c r="ACB30" s="109"/>
      <c r="ACC30" s="109"/>
      <c r="ACD30" s="109"/>
      <c r="ACE30" s="109"/>
      <c r="ACF30" s="109"/>
      <c r="ACG30" s="109"/>
      <c r="ACH30" s="109"/>
      <c r="ACI30" s="109"/>
      <c r="ACJ30" s="109"/>
      <c r="ACK30" s="109"/>
      <c r="ACL30" s="109"/>
      <c r="ACM30" s="109"/>
      <c r="ACN30" s="109"/>
      <c r="ACO30" s="109"/>
      <c r="ACP30" s="109"/>
      <c r="ACQ30" s="109"/>
      <c r="ACR30" s="109"/>
      <c r="ACS30" s="109"/>
      <c r="ACT30" s="109"/>
      <c r="ACU30" s="109"/>
      <c r="ACV30" s="109"/>
      <c r="ACW30" s="109"/>
      <c r="ACX30" s="109"/>
      <c r="ACY30" s="109"/>
      <c r="ACZ30" s="109"/>
      <c r="ADA30" s="109"/>
      <c r="ADB30" s="109"/>
      <c r="ADC30" s="109"/>
      <c r="ADD30" s="109"/>
      <c r="ADE30" s="109"/>
      <c r="ADF30" s="109"/>
      <c r="ADG30" s="109"/>
      <c r="ADH30" s="109"/>
      <c r="ADI30" s="109"/>
      <c r="ADJ30" s="109"/>
      <c r="ADK30" s="109"/>
      <c r="ADL30" s="109"/>
      <c r="ADM30" s="109"/>
      <c r="ADN30" s="109"/>
      <c r="ADO30" s="109"/>
      <c r="ADP30" s="109"/>
      <c r="ADQ30" s="109"/>
      <c r="ADR30" s="109"/>
      <c r="ADS30" s="109"/>
      <c r="ADT30" s="109"/>
      <c r="ADU30" s="109"/>
      <c r="ADV30" s="109"/>
      <c r="ADW30" s="109"/>
      <c r="ADX30" s="109"/>
      <c r="ADY30" s="109"/>
      <c r="ADZ30" s="109"/>
      <c r="AEA30" s="109"/>
      <c r="AEB30" s="109"/>
      <c r="AEC30" s="109"/>
      <c r="AED30" s="109"/>
      <c r="AEE30" s="109"/>
      <c r="AEF30" s="109"/>
      <c r="AEG30" s="109"/>
      <c r="AEH30" s="109"/>
      <c r="AEI30" s="109"/>
      <c r="AEJ30" s="109"/>
      <c r="AEK30" s="109"/>
      <c r="AEL30" s="109"/>
      <c r="AEM30" s="109"/>
      <c r="AEN30" s="109"/>
      <c r="AEO30" s="109"/>
      <c r="AEP30" s="109"/>
      <c r="AEQ30" s="109"/>
      <c r="AER30" s="109"/>
      <c r="AES30" s="109"/>
      <c r="AET30" s="109"/>
      <c r="AEU30" s="109"/>
      <c r="AEV30" s="109"/>
      <c r="AEW30" s="109"/>
      <c r="AEX30" s="109"/>
      <c r="AEY30" s="109"/>
      <c r="AEZ30" s="109"/>
      <c r="AFA30" s="109"/>
      <c r="AFB30" s="109"/>
      <c r="AFC30" s="109"/>
      <c r="AFD30" s="109"/>
      <c r="AFE30" s="109"/>
      <c r="AFF30" s="109"/>
      <c r="AFG30" s="109"/>
      <c r="AFH30" s="109"/>
      <c r="AFI30" s="109"/>
      <c r="AFJ30" s="109"/>
      <c r="AFK30" s="109"/>
      <c r="AFL30" s="109"/>
      <c r="AFM30" s="109"/>
      <c r="AFN30" s="109"/>
      <c r="AFO30" s="109"/>
      <c r="AFP30" s="109"/>
      <c r="AFQ30" s="109"/>
      <c r="AFR30" s="109"/>
      <c r="AFS30" s="109"/>
      <c r="AFT30" s="109"/>
      <c r="AFU30" s="109"/>
      <c r="AFV30" s="109"/>
      <c r="AFW30" s="109"/>
      <c r="AFX30" s="109"/>
      <c r="AFY30" s="109"/>
      <c r="AFZ30" s="109"/>
      <c r="AGA30" s="109"/>
      <c r="AGB30" s="109"/>
      <c r="AGC30" s="109"/>
      <c r="AGD30" s="109"/>
      <c r="AGE30" s="109"/>
      <c r="AGF30" s="109"/>
      <c r="AGG30" s="109"/>
      <c r="AGH30" s="109"/>
      <c r="AGI30" s="109"/>
      <c r="AGJ30" s="109"/>
      <c r="AGK30" s="109"/>
      <c r="AGL30" s="109"/>
      <c r="AGM30" s="109"/>
      <c r="AGN30" s="109"/>
      <c r="AGO30" s="109"/>
      <c r="AGP30" s="109"/>
      <c r="AGQ30" s="109"/>
      <c r="AGR30" s="109"/>
      <c r="AGS30" s="109"/>
      <c r="AGT30" s="109"/>
      <c r="AGU30" s="109"/>
      <c r="AGV30" s="109"/>
      <c r="AGW30" s="109"/>
      <c r="AGX30" s="109"/>
      <c r="AGY30" s="109"/>
      <c r="AGZ30" s="109"/>
      <c r="AHA30" s="109"/>
      <c r="AHB30" s="109"/>
      <c r="AHC30" s="109"/>
      <c r="AHD30" s="109"/>
      <c r="AHE30" s="109"/>
      <c r="AHF30" s="109"/>
      <c r="AHG30" s="109"/>
      <c r="AHH30" s="109"/>
      <c r="AHI30" s="109"/>
      <c r="AHJ30" s="109"/>
      <c r="AHK30" s="109"/>
      <c r="AHL30" s="109"/>
      <c r="AHM30" s="109"/>
      <c r="AHN30" s="109"/>
      <c r="AHO30" s="109"/>
      <c r="AHP30" s="109"/>
      <c r="AHQ30" s="109"/>
      <c r="AHR30" s="109"/>
      <c r="AHS30" s="109"/>
      <c r="AHT30" s="109"/>
      <c r="AHU30" s="109"/>
      <c r="AHV30" s="109"/>
      <c r="AHW30" s="109"/>
      <c r="AHX30" s="109"/>
      <c r="AHY30" s="109"/>
      <c r="AHZ30" s="109"/>
      <c r="AIA30" s="109"/>
      <c r="AIB30" s="109"/>
      <c r="AIC30" s="109"/>
      <c r="AID30" s="109"/>
      <c r="AIE30" s="109"/>
      <c r="AIF30" s="109"/>
      <c r="AIG30" s="109"/>
      <c r="AIH30" s="109"/>
      <c r="AII30" s="109"/>
      <c r="AIJ30" s="109"/>
      <c r="AIK30" s="109"/>
      <c r="AIL30" s="109"/>
      <c r="AIM30" s="109"/>
      <c r="AIN30" s="109"/>
      <c r="AIO30" s="109"/>
      <c r="AIP30" s="109"/>
      <c r="AIQ30" s="109"/>
      <c r="AIR30" s="109"/>
      <c r="AIS30" s="109"/>
      <c r="AIT30" s="109"/>
      <c r="AIU30" s="109"/>
      <c r="AIV30" s="109"/>
      <c r="AIW30" s="109"/>
      <c r="AIX30" s="109"/>
      <c r="AIY30" s="109"/>
      <c r="AIZ30" s="109"/>
      <c r="AJA30" s="109"/>
      <c r="AJB30" s="109"/>
      <c r="AJC30" s="109"/>
      <c r="AJD30" s="109"/>
      <c r="AJE30" s="109"/>
      <c r="AJF30" s="109"/>
      <c r="AJG30" s="109"/>
      <c r="AJH30" s="109"/>
      <c r="AJI30" s="109"/>
      <c r="AJJ30" s="109"/>
      <c r="AJK30" s="109"/>
      <c r="AJL30" s="109"/>
      <c r="AJM30" s="109"/>
      <c r="AJN30" s="109"/>
      <c r="AJO30" s="109"/>
      <c r="AJP30" s="109"/>
      <c r="AJQ30" s="109"/>
      <c r="AJR30" s="109"/>
      <c r="AJS30" s="109"/>
      <c r="AJT30" s="109"/>
      <c r="AJU30" s="109"/>
      <c r="AJV30" s="109"/>
      <c r="AJW30" s="109"/>
      <c r="AJX30" s="109"/>
      <c r="AJY30" s="109"/>
      <c r="AJZ30" s="109"/>
      <c r="AKA30" s="109"/>
      <c r="AKB30" s="109"/>
      <c r="AKC30" s="109"/>
      <c r="AKD30" s="109"/>
      <c r="AKE30" s="109"/>
      <c r="AKF30" s="109"/>
      <c r="AKG30" s="109"/>
      <c r="AKH30" s="109"/>
      <c r="AKI30" s="109"/>
      <c r="AKJ30" s="109"/>
      <c r="AKK30" s="109"/>
      <c r="AKL30" s="109"/>
      <c r="AKM30" s="109"/>
      <c r="AKN30" s="109"/>
      <c r="AKO30" s="109"/>
      <c r="AKP30" s="109"/>
      <c r="AKQ30" s="109"/>
      <c r="AKR30" s="109"/>
      <c r="AKS30" s="109"/>
      <c r="AKT30" s="109"/>
      <c r="AKU30" s="109"/>
      <c r="AKV30" s="109"/>
      <c r="AKW30" s="109"/>
      <c r="AKX30" s="109"/>
      <c r="AKY30" s="109"/>
      <c r="AKZ30" s="109"/>
      <c r="ALA30" s="109"/>
      <c r="ALB30" s="109"/>
      <c r="ALC30" s="109"/>
      <c r="ALD30" s="109"/>
      <c r="ALE30" s="109"/>
      <c r="ALF30" s="109"/>
      <c r="ALG30" s="109"/>
      <c r="ALH30" s="109"/>
      <c r="ALI30" s="109"/>
      <c r="ALJ30" s="109"/>
      <c r="ALK30" s="109"/>
      <c r="ALL30" s="109"/>
      <c r="ALM30" s="109"/>
      <c r="ALN30" s="109"/>
      <c r="ALO30" s="109"/>
      <c r="ALP30" s="109"/>
      <c r="ALQ30" s="109"/>
      <c r="ALR30" s="109"/>
      <c r="ALS30" s="109"/>
      <c r="ALT30" s="109"/>
      <c r="ALU30" s="109"/>
      <c r="ALV30" s="109"/>
      <c r="ALW30" s="109"/>
      <c r="ALX30" s="109"/>
      <c r="ALY30" s="109"/>
      <c r="ALZ30" s="109"/>
      <c r="AMA30" s="109"/>
      <c r="AMB30" s="109"/>
      <c r="AMC30" s="109"/>
      <c r="AMD30" s="109"/>
      <c r="AME30" s="109"/>
      <c r="AMF30" s="109"/>
      <c r="AMG30" s="109"/>
      <c r="AMH30" s="109"/>
      <c r="AMI30" s="109"/>
      <c r="AMJ30" s="109"/>
      <c r="AMK30" s="109"/>
      <c r="AML30" s="109"/>
      <c r="AMM30" s="109"/>
      <c r="AMN30" s="109"/>
      <c r="AMO30" s="109"/>
      <c r="AMP30" s="109"/>
      <c r="AMQ30" s="109"/>
      <c r="AMR30" s="109"/>
      <c r="AMS30" s="109"/>
      <c r="AMT30" s="109"/>
      <c r="AMU30" s="109"/>
      <c r="AMV30" s="109"/>
      <c r="AMW30" s="109"/>
      <c r="AMX30" s="109"/>
      <c r="AMY30" s="109"/>
      <c r="AMZ30" s="109"/>
      <c r="ANA30" s="109"/>
      <c r="ANB30" s="109"/>
      <c r="ANC30" s="109"/>
      <c r="AND30" s="109"/>
      <c r="ANE30" s="109"/>
      <c r="ANF30" s="109"/>
      <c r="ANG30" s="109"/>
      <c r="ANH30" s="109"/>
      <c r="ANI30" s="109"/>
      <c r="ANJ30" s="109"/>
      <c r="ANK30" s="109"/>
      <c r="ANL30" s="109"/>
      <c r="ANM30" s="109"/>
      <c r="ANN30" s="109"/>
      <c r="ANO30" s="109"/>
      <c r="ANP30" s="109"/>
      <c r="ANQ30" s="109"/>
      <c r="ANR30" s="109"/>
      <c r="ANS30" s="109"/>
      <c r="ANT30" s="109"/>
      <c r="ANU30" s="109"/>
      <c r="ANV30" s="109"/>
      <c r="ANW30" s="109"/>
      <c r="ANX30" s="109"/>
      <c r="ANY30" s="109"/>
      <c r="ANZ30" s="109"/>
      <c r="AOA30" s="109"/>
      <c r="AOB30" s="109"/>
      <c r="AOC30" s="109"/>
      <c r="AOD30" s="109"/>
      <c r="AOE30" s="109"/>
      <c r="AOF30" s="109"/>
      <c r="AOG30" s="109"/>
      <c r="AOH30" s="109"/>
      <c r="AOI30" s="109"/>
      <c r="AOJ30" s="109"/>
      <c r="AOK30" s="109"/>
      <c r="AOL30" s="109"/>
      <c r="AOM30" s="109"/>
      <c r="AON30" s="109"/>
      <c r="AOO30" s="109"/>
      <c r="AOP30" s="109"/>
      <c r="AOQ30" s="109"/>
      <c r="AOR30" s="109"/>
      <c r="AOS30" s="109"/>
      <c r="AOT30" s="109"/>
      <c r="AOU30" s="109"/>
      <c r="AOV30" s="109"/>
      <c r="AOW30" s="109"/>
      <c r="AOX30" s="109"/>
      <c r="AOY30" s="109"/>
      <c r="AOZ30" s="109"/>
      <c r="APA30" s="109"/>
      <c r="APB30" s="109"/>
      <c r="APC30" s="109"/>
      <c r="APD30" s="109"/>
      <c r="APE30" s="109"/>
      <c r="APF30" s="109"/>
      <c r="APG30" s="109"/>
      <c r="APH30" s="109"/>
      <c r="API30" s="109"/>
      <c r="APJ30" s="109"/>
      <c r="APK30" s="109"/>
      <c r="APL30" s="109"/>
      <c r="APM30" s="109"/>
      <c r="APN30" s="109"/>
      <c r="APO30" s="109"/>
      <c r="APP30" s="109"/>
      <c r="APQ30" s="109"/>
      <c r="APR30" s="109"/>
      <c r="APS30" s="109"/>
      <c r="APT30" s="109"/>
      <c r="APU30" s="109"/>
      <c r="APV30" s="109"/>
      <c r="APW30" s="109"/>
      <c r="APX30" s="109"/>
      <c r="APY30" s="109"/>
      <c r="APZ30" s="109"/>
      <c r="AQA30" s="109"/>
      <c r="AQB30" s="109"/>
      <c r="AQC30" s="109"/>
      <c r="AQD30" s="109"/>
      <c r="AQE30" s="109"/>
      <c r="AQF30" s="109"/>
      <c r="AQG30" s="109"/>
      <c r="AQH30" s="109"/>
      <c r="AQI30" s="109"/>
      <c r="AQJ30" s="109"/>
      <c r="AQK30" s="109"/>
      <c r="AQL30" s="109"/>
      <c r="AQM30" s="109"/>
      <c r="AQN30" s="109"/>
      <c r="AQO30" s="109"/>
      <c r="AQP30" s="109"/>
      <c r="AQQ30" s="109"/>
      <c r="AQR30" s="109"/>
      <c r="AQS30" s="109"/>
      <c r="AQT30" s="109"/>
      <c r="AQU30" s="109"/>
      <c r="AQV30" s="109"/>
      <c r="AQW30" s="109"/>
      <c r="AQX30" s="109"/>
      <c r="AQY30" s="109"/>
      <c r="AQZ30" s="109"/>
      <c r="ARA30" s="109"/>
      <c r="ARB30" s="109"/>
      <c r="ARC30" s="109"/>
      <c r="ARD30" s="109"/>
      <c r="ARE30" s="109"/>
      <c r="ARF30" s="109"/>
      <c r="ARG30" s="109"/>
      <c r="ARH30" s="109"/>
      <c r="ARI30" s="109"/>
      <c r="ARJ30" s="109"/>
      <c r="ARK30" s="109"/>
      <c r="ARL30" s="109"/>
      <c r="ARM30" s="109"/>
      <c r="ARN30" s="109"/>
      <c r="ARO30" s="109"/>
      <c r="ARP30" s="109"/>
      <c r="ARQ30" s="109"/>
      <c r="ARR30" s="109"/>
      <c r="ARS30" s="109"/>
      <c r="ART30" s="109"/>
      <c r="ARU30" s="109"/>
      <c r="ARV30" s="109"/>
      <c r="ARW30" s="109"/>
      <c r="ARX30" s="109"/>
      <c r="ARY30" s="109"/>
      <c r="ARZ30" s="109"/>
      <c r="ASA30" s="109"/>
      <c r="ASB30" s="109"/>
      <c r="ASC30" s="109"/>
      <c r="ASD30" s="109"/>
      <c r="ASE30" s="109"/>
      <c r="ASF30" s="109"/>
      <c r="ASG30" s="109"/>
      <c r="ASH30" s="109"/>
      <c r="ASI30" s="109"/>
      <c r="ASJ30" s="109"/>
      <c r="ASK30" s="109"/>
      <c r="ASL30" s="109"/>
      <c r="ASM30" s="109"/>
      <c r="ASN30" s="109"/>
      <c r="ASO30" s="109"/>
      <c r="ASP30" s="109"/>
      <c r="ASQ30" s="109"/>
      <c r="ASR30" s="109"/>
      <c r="ASS30" s="109"/>
      <c r="AST30" s="109"/>
      <c r="ASU30" s="109"/>
      <c r="ASV30" s="109"/>
      <c r="ASW30" s="109"/>
      <c r="ASX30" s="109"/>
      <c r="ASY30" s="109"/>
      <c r="ASZ30" s="109"/>
      <c r="ATA30" s="109"/>
      <c r="ATB30" s="109"/>
      <c r="ATC30" s="109"/>
      <c r="ATD30" s="109"/>
      <c r="ATE30" s="109"/>
      <c r="ATF30" s="109"/>
      <c r="ATG30" s="109"/>
      <c r="ATH30" s="109"/>
      <c r="ATI30" s="109"/>
      <c r="ATJ30" s="109"/>
      <c r="ATK30" s="109"/>
      <c r="ATL30" s="109"/>
      <c r="ATM30" s="109"/>
      <c r="ATN30" s="109"/>
      <c r="ATO30" s="109"/>
      <c r="ATP30" s="109"/>
      <c r="ATQ30" s="109"/>
      <c r="ATR30" s="109"/>
      <c r="ATS30" s="109"/>
      <c r="ATT30" s="109"/>
      <c r="ATU30" s="109"/>
      <c r="ATV30" s="109"/>
      <c r="ATW30" s="109"/>
      <c r="ATX30" s="109"/>
      <c r="ATY30" s="109"/>
      <c r="ATZ30" s="109"/>
      <c r="AUA30" s="109"/>
      <c r="AUB30" s="109"/>
      <c r="AUC30" s="109"/>
      <c r="AUD30" s="109"/>
      <c r="AUE30" s="109"/>
      <c r="AUF30" s="109"/>
      <c r="AUG30" s="109"/>
      <c r="AUH30" s="109"/>
      <c r="AUI30" s="109"/>
      <c r="AUJ30" s="109"/>
      <c r="AUK30" s="109"/>
      <c r="AUL30" s="109"/>
      <c r="AUM30" s="109"/>
      <c r="AUN30" s="109"/>
      <c r="AUO30" s="109"/>
      <c r="AUP30" s="109"/>
      <c r="AUQ30" s="109"/>
      <c r="AUR30" s="109"/>
      <c r="AUS30" s="109"/>
      <c r="AUT30" s="109"/>
      <c r="AUU30" s="109"/>
      <c r="AUV30" s="109"/>
      <c r="AUW30" s="109"/>
      <c r="AUX30" s="109"/>
      <c r="AUY30" s="109"/>
      <c r="AUZ30" s="109"/>
      <c r="AVA30" s="109"/>
      <c r="AVB30" s="109"/>
      <c r="AVC30" s="109"/>
      <c r="AVD30" s="109"/>
      <c r="AVE30" s="109"/>
      <c r="AVF30" s="109"/>
      <c r="AVG30" s="109"/>
      <c r="AVH30" s="109"/>
      <c r="AVI30" s="109"/>
      <c r="AVJ30" s="109"/>
      <c r="AVK30" s="109"/>
      <c r="AVL30" s="109"/>
      <c r="AVM30" s="109"/>
      <c r="AVN30" s="109"/>
      <c r="AVO30" s="109"/>
      <c r="AVP30" s="109"/>
      <c r="AVQ30" s="109"/>
      <c r="AVR30" s="109"/>
      <c r="AVS30" s="109"/>
      <c r="AVT30" s="109"/>
      <c r="AVU30" s="109"/>
      <c r="AVV30" s="109"/>
      <c r="AVW30" s="109"/>
      <c r="AVX30" s="109"/>
      <c r="AVY30" s="109"/>
      <c r="AVZ30" s="109"/>
      <c r="AWA30" s="109"/>
      <c r="AWB30" s="109"/>
      <c r="AWC30" s="109"/>
      <c r="AWD30" s="109"/>
      <c r="AWE30" s="109"/>
      <c r="AWF30" s="109"/>
      <c r="AWG30" s="109"/>
      <c r="AWH30" s="109"/>
      <c r="AWI30" s="109"/>
      <c r="AWJ30" s="109"/>
      <c r="AWK30" s="109"/>
      <c r="AWL30" s="109"/>
      <c r="AWM30" s="109"/>
      <c r="AWN30" s="109"/>
      <c r="AWO30" s="109"/>
      <c r="AWP30" s="109"/>
      <c r="AWQ30" s="109"/>
      <c r="AWR30" s="109"/>
      <c r="AWS30" s="109"/>
      <c r="AWT30" s="109"/>
      <c r="AWU30" s="109"/>
      <c r="AWV30" s="109"/>
      <c r="AWW30" s="109"/>
      <c r="AWX30" s="109"/>
      <c r="AWY30" s="109"/>
      <c r="AWZ30" s="109"/>
      <c r="AXA30" s="109"/>
      <c r="AXB30" s="109"/>
      <c r="AXC30" s="109"/>
      <c r="AXD30" s="109"/>
      <c r="AXE30" s="109"/>
      <c r="AXF30" s="109"/>
      <c r="AXG30" s="109"/>
      <c r="AXH30" s="109"/>
      <c r="AXI30" s="109"/>
      <c r="AXJ30" s="109"/>
      <c r="AXK30" s="109"/>
      <c r="AXL30" s="109"/>
      <c r="AXM30" s="109"/>
      <c r="AXN30" s="109"/>
      <c r="AXO30" s="109"/>
      <c r="AXP30" s="109"/>
      <c r="AXQ30" s="109"/>
      <c r="AXR30" s="109"/>
      <c r="AXS30" s="109"/>
      <c r="AXT30" s="109"/>
      <c r="AXU30" s="109"/>
      <c r="AXV30" s="109"/>
      <c r="AXW30" s="109"/>
      <c r="AXX30" s="109"/>
      <c r="AXY30" s="109"/>
      <c r="AXZ30" s="109"/>
      <c r="AYA30" s="109"/>
      <c r="AYB30" s="109"/>
      <c r="AYC30" s="109"/>
      <c r="AYD30" s="109"/>
      <c r="AYE30" s="109"/>
      <c r="AYF30" s="109"/>
      <c r="AYG30" s="109"/>
      <c r="AYH30" s="109"/>
      <c r="AYI30" s="109"/>
      <c r="AYJ30" s="109"/>
      <c r="AYK30" s="109"/>
      <c r="AYL30" s="109"/>
      <c r="AYM30" s="109"/>
      <c r="AYN30" s="109"/>
      <c r="AYO30" s="109"/>
      <c r="AYP30" s="109"/>
      <c r="AYQ30" s="109"/>
      <c r="AYR30" s="109"/>
      <c r="AYS30" s="109"/>
      <c r="AYT30" s="109"/>
      <c r="AYU30" s="109"/>
      <c r="AYV30" s="109"/>
      <c r="AYW30" s="109"/>
      <c r="AYX30" s="109"/>
      <c r="AYY30" s="109"/>
      <c r="AYZ30" s="109"/>
      <c r="AZA30" s="109"/>
      <c r="AZB30" s="109"/>
      <c r="AZC30" s="109"/>
      <c r="AZD30" s="109"/>
      <c r="AZE30" s="109"/>
      <c r="AZF30" s="109"/>
      <c r="AZG30" s="109"/>
      <c r="AZH30" s="109"/>
      <c r="AZI30" s="109"/>
      <c r="AZJ30" s="109"/>
      <c r="AZK30" s="109"/>
      <c r="AZL30" s="109"/>
      <c r="AZM30" s="109"/>
      <c r="AZN30" s="109"/>
      <c r="AZO30" s="109"/>
      <c r="AZP30" s="109"/>
      <c r="AZQ30" s="109"/>
      <c r="AZR30" s="109"/>
      <c r="AZS30" s="109"/>
      <c r="AZT30" s="109"/>
      <c r="AZU30" s="109"/>
      <c r="AZV30" s="109"/>
      <c r="AZW30" s="109"/>
      <c r="AZX30" s="109"/>
      <c r="AZY30" s="109"/>
      <c r="AZZ30" s="109"/>
      <c r="BAA30" s="109"/>
      <c r="BAB30" s="109"/>
      <c r="BAC30" s="109"/>
      <c r="BAD30" s="109"/>
      <c r="BAE30" s="109"/>
      <c r="BAF30" s="109"/>
      <c r="BAG30" s="109"/>
      <c r="BAH30" s="109"/>
      <c r="BAI30" s="109"/>
      <c r="BAJ30" s="109"/>
      <c r="BAK30" s="109"/>
      <c r="BAL30" s="109"/>
      <c r="BAM30" s="109"/>
      <c r="BAN30" s="109"/>
      <c r="BAO30" s="109"/>
      <c r="BAP30" s="109"/>
      <c r="BAQ30" s="109"/>
      <c r="BAR30" s="109"/>
      <c r="BAS30" s="109"/>
      <c r="BAT30" s="109"/>
      <c r="BAU30" s="109"/>
      <c r="BAV30" s="109"/>
      <c r="BAW30" s="109"/>
      <c r="BAX30" s="109"/>
      <c r="BAY30" s="109"/>
      <c r="BAZ30" s="109"/>
      <c r="BBA30" s="109"/>
      <c r="BBB30" s="109"/>
      <c r="BBC30" s="109"/>
      <c r="BBD30" s="109"/>
      <c r="BBE30" s="109"/>
      <c r="BBF30" s="109"/>
      <c r="BBG30" s="109"/>
      <c r="BBH30" s="109"/>
      <c r="BBI30" s="109"/>
      <c r="BBJ30" s="109"/>
      <c r="BBK30" s="109"/>
      <c r="BBL30" s="109"/>
      <c r="BBM30" s="109"/>
      <c r="BBN30" s="109"/>
      <c r="BBO30" s="109"/>
      <c r="BBP30" s="109"/>
      <c r="BBQ30" s="109"/>
      <c r="BBR30" s="109"/>
      <c r="BBS30" s="109"/>
      <c r="BBT30" s="109"/>
      <c r="BBU30" s="109"/>
      <c r="BBV30" s="109"/>
      <c r="BBW30" s="109"/>
      <c r="BBX30" s="109"/>
      <c r="BBY30" s="109"/>
      <c r="BBZ30" s="109"/>
      <c r="BCA30" s="109"/>
      <c r="BCB30" s="109"/>
      <c r="BCC30" s="109"/>
      <c r="BCD30" s="109"/>
      <c r="BCE30" s="109"/>
      <c r="BCF30" s="109"/>
      <c r="BCG30" s="109"/>
      <c r="BCH30" s="109"/>
      <c r="BCI30" s="109"/>
      <c r="BCJ30" s="109"/>
      <c r="BCK30" s="109"/>
      <c r="BCL30" s="109"/>
      <c r="BCM30" s="109"/>
      <c r="BCN30" s="109"/>
      <c r="BCO30" s="109"/>
      <c r="BCP30" s="109"/>
      <c r="BCQ30" s="109"/>
      <c r="BCR30" s="109"/>
      <c r="BCS30" s="109"/>
      <c r="BCT30" s="109"/>
      <c r="BCU30" s="109"/>
      <c r="BCV30" s="109"/>
      <c r="BCW30" s="109"/>
      <c r="BCX30" s="109"/>
      <c r="BCY30" s="109"/>
      <c r="BCZ30" s="109"/>
      <c r="BDA30" s="109"/>
      <c r="BDB30" s="109"/>
      <c r="BDC30" s="109"/>
      <c r="BDD30" s="109"/>
      <c r="BDE30" s="109"/>
      <c r="BDF30" s="109"/>
      <c r="BDG30" s="109"/>
      <c r="BDH30" s="109"/>
      <c r="BDI30" s="109"/>
      <c r="BDJ30" s="109"/>
      <c r="BDK30" s="109"/>
      <c r="BDL30" s="109"/>
      <c r="BDM30" s="109"/>
      <c r="BDN30" s="109"/>
      <c r="BDO30" s="109"/>
      <c r="BDP30" s="109"/>
      <c r="BDQ30" s="109"/>
      <c r="BDR30" s="109"/>
      <c r="BDS30" s="109"/>
      <c r="BDT30" s="109"/>
      <c r="BDU30" s="109"/>
      <c r="BDV30" s="109"/>
      <c r="BDW30" s="109"/>
      <c r="BDX30" s="109"/>
      <c r="BDY30" s="109"/>
      <c r="BDZ30" s="109"/>
      <c r="BEA30" s="109"/>
      <c r="BEB30" s="109"/>
      <c r="BEC30" s="109"/>
      <c r="BED30" s="109"/>
      <c r="BEE30" s="109"/>
      <c r="BEF30" s="109"/>
      <c r="BEG30" s="109"/>
      <c r="BEH30" s="109"/>
      <c r="BEI30" s="109"/>
      <c r="BEJ30" s="109"/>
      <c r="BEK30" s="109"/>
      <c r="BEL30" s="109"/>
      <c r="BEM30" s="109"/>
      <c r="BEN30" s="109"/>
      <c r="BEO30" s="109"/>
      <c r="BEP30" s="109"/>
      <c r="BEQ30" s="109"/>
      <c r="BER30" s="109"/>
      <c r="BES30" s="109"/>
      <c r="BET30" s="109"/>
      <c r="BEU30" s="109"/>
      <c r="BEV30" s="109"/>
      <c r="BEW30" s="109"/>
      <c r="BEX30" s="109"/>
      <c r="BEY30" s="109"/>
      <c r="BEZ30" s="109"/>
      <c r="BFA30" s="109"/>
      <c r="BFB30" s="109"/>
      <c r="BFC30" s="109"/>
      <c r="BFD30" s="109"/>
      <c r="BFE30" s="109"/>
      <c r="BFF30" s="109"/>
      <c r="BFG30" s="109"/>
      <c r="BFH30" s="109"/>
      <c r="BFI30" s="109"/>
      <c r="BFJ30" s="109"/>
      <c r="BFK30" s="109"/>
      <c r="BFL30" s="109"/>
      <c r="BFM30" s="109"/>
      <c r="BFN30" s="109"/>
      <c r="BFO30" s="109"/>
      <c r="BFP30" s="109"/>
      <c r="BFQ30" s="109"/>
      <c r="BFR30" s="109"/>
      <c r="BFS30" s="109"/>
      <c r="BFT30" s="109"/>
      <c r="BFU30" s="109"/>
      <c r="BFV30" s="109"/>
      <c r="BFW30" s="109"/>
      <c r="BFX30" s="109"/>
      <c r="BFY30" s="109"/>
      <c r="BFZ30" s="109"/>
      <c r="BGA30" s="109"/>
      <c r="BGB30" s="109"/>
      <c r="BGC30" s="109"/>
      <c r="BGD30" s="109"/>
      <c r="BGE30" s="109"/>
      <c r="BGF30" s="109"/>
      <c r="BGG30" s="109"/>
      <c r="BGH30" s="109"/>
      <c r="BGI30" s="109"/>
      <c r="BGJ30" s="109"/>
      <c r="BGK30" s="109"/>
      <c r="BGL30" s="109"/>
      <c r="BGM30" s="109"/>
      <c r="BGN30" s="109"/>
      <c r="BGO30" s="109"/>
      <c r="BGP30" s="109"/>
      <c r="BGQ30" s="109"/>
      <c r="BGR30" s="109"/>
      <c r="BGS30" s="109"/>
      <c r="BGT30" s="109"/>
      <c r="BGU30" s="109"/>
      <c r="BGV30" s="109"/>
      <c r="BGW30" s="109"/>
      <c r="BGX30" s="109"/>
      <c r="BGY30" s="109"/>
      <c r="BGZ30" s="109"/>
      <c r="BHA30" s="109"/>
      <c r="BHB30" s="109"/>
      <c r="BHC30" s="109"/>
      <c r="BHD30" s="109"/>
      <c r="BHE30" s="109"/>
      <c r="BHF30" s="109"/>
      <c r="BHG30" s="109"/>
      <c r="BHH30" s="109"/>
      <c r="BHI30" s="109"/>
      <c r="BHJ30" s="109"/>
      <c r="BHK30" s="109"/>
      <c r="BHL30" s="109"/>
      <c r="BHM30" s="109"/>
      <c r="BHN30" s="109"/>
      <c r="BHO30" s="109"/>
      <c r="BHP30" s="109"/>
      <c r="BHQ30" s="109"/>
      <c r="BHR30" s="109"/>
      <c r="BHS30" s="109"/>
      <c r="BHT30" s="109"/>
      <c r="BHU30" s="109"/>
      <c r="BHV30" s="109"/>
      <c r="BHW30" s="109"/>
      <c r="BHX30" s="109"/>
      <c r="BHY30" s="109"/>
      <c r="BHZ30" s="109"/>
      <c r="BIA30" s="109"/>
      <c r="BIB30" s="109"/>
      <c r="BIC30" s="109"/>
      <c r="BID30" s="109"/>
      <c r="BIE30" s="109"/>
      <c r="BIF30" s="109"/>
      <c r="BIG30" s="109"/>
      <c r="BIH30" s="109"/>
      <c r="BII30" s="109"/>
      <c r="BIJ30" s="109"/>
      <c r="BIK30" s="109"/>
      <c r="BIL30" s="109"/>
      <c r="BIM30" s="109"/>
      <c r="BIN30" s="109"/>
      <c r="BIO30" s="109"/>
      <c r="BIP30" s="109"/>
      <c r="BIQ30" s="109"/>
      <c r="BIR30" s="109"/>
      <c r="BIS30" s="109"/>
      <c r="BIT30" s="109"/>
      <c r="BIU30" s="109"/>
      <c r="BIV30" s="109"/>
      <c r="BIW30" s="109"/>
      <c r="BIX30" s="109"/>
      <c r="BIY30" s="109"/>
      <c r="BIZ30" s="109"/>
      <c r="BJA30" s="109"/>
      <c r="BJB30" s="109"/>
      <c r="BJC30" s="109"/>
      <c r="BJD30" s="109"/>
      <c r="BJE30" s="109"/>
      <c r="BJF30" s="109"/>
      <c r="BJG30" s="109"/>
      <c r="BJH30" s="109"/>
      <c r="BJI30" s="109"/>
      <c r="BJJ30" s="109"/>
      <c r="BJK30" s="109"/>
      <c r="BJL30" s="109"/>
      <c r="BJM30" s="109"/>
      <c r="BJN30" s="109"/>
      <c r="BJO30" s="109"/>
      <c r="BJP30" s="109"/>
      <c r="BJQ30" s="109"/>
      <c r="BJR30" s="109"/>
      <c r="BJS30" s="109"/>
      <c r="BJT30" s="109"/>
      <c r="BJU30" s="109"/>
      <c r="BJV30" s="109"/>
      <c r="BJW30" s="109"/>
      <c r="BJX30" s="109"/>
      <c r="BJY30" s="109"/>
      <c r="BJZ30" s="109"/>
      <c r="BKA30" s="109"/>
      <c r="BKB30" s="109"/>
      <c r="BKC30" s="109"/>
      <c r="BKD30" s="109"/>
      <c r="BKE30" s="109"/>
      <c r="BKF30" s="109"/>
      <c r="BKG30" s="109"/>
      <c r="BKH30" s="109"/>
      <c r="BKI30" s="109"/>
      <c r="BKJ30" s="109"/>
      <c r="BKK30" s="109"/>
      <c r="BKL30" s="109"/>
      <c r="BKM30" s="109"/>
      <c r="BKN30" s="109"/>
      <c r="BKO30" s="109"/>
      <c r="BKP30" s="109"/>
      <c r="BKQ30" s="109"/>
      <c r="BKR30" s="109"/>
      <c r="BKS30" s="109"/>
      <c r="BKT30" s="109"/>
      <c r="BKU30" s="109"/>
      <c r="BKV30" s="109"/>
      <c r="BKW30" s="109"/>
      <c r="BKX30" s="109"/>
      <c r="BKY30" s="109"/>
      <c r="BKZ30" s="109"/>
      <c r="BLA30" s="109"/>
      <c r="BLB30" s="109"/>
      <c r="BLC30" s="109"/>
      <c r="BLD30" s="109"/>
      <c r="BLE30" s="109"/>
      <c r="BLF30" s="109"/>
      <c r="BLG30" s="109"/>
      <c r="BLH30" s="109"/>
      <c r="BLI30" s="109"/>
      <c r="BLJ30" s="109"/>
      <c r="BLK30" s="109"/>
      <c r="BLL30" s="109"/>
      <c r="BLM30" s="109"/>
      <c r="BLN30" s="109"/>
      <c r="BLO30" s="109"/>
      <c r="BLP30" s="109"/>
      <c r="BLQ30" s="109"/>
      <c r="BLR30" s="109"/>
      <c r="BLS30" s="109"/>
      <c r="BLT30" s="109"/>
      <c r="BLU30" s="109"/>
      <c r="BLV30" s="109"/>
      <c r="BLW30" s="109"/>
      <c r="BLX30" s="109"/>
      <c r="BLY30" s="109"/>
      <c r="BLZ30" s="109"/>
      <c r="BMA30" s="109"/>
      <c r="BMB30" s="109"/>
      <c r="BMC30" s="109"/>
      <c r="BMD30" s="109"/>
      <c r="BME30" s="109"/>
      <c r="BMF30" s="109"/>
      <c r="BMG30" s="109"/>
      <c r="BMH30" s="109"/>
      <c r="BMI30" s="109"/>
      <c r="BMJ30" s="109"/>
      <c r="BMK30" s="109"/>
      <c r="BML30" s="109"/>
      <c r="BMM30" s="109"/>
      <c r="BMN30" s="109"/>
      <c r="BMO30" s="109"/>
      <c r="BMP30" s="109"/>
      <c r="BMQ30" s="109"/>
      <c r="BMR30" s="109"/>
      <c r="BMS30" s="109"/>
      <c r="BMT30" s="109"/>
      <c r="BMU30" s="109"/>
      <c r="BMV30" s="109"/>
      <c r="BMW30" s="109"/>
      <c r="BMX30" s="109"/>
      <c r="BMY30" s="109"/>
      <c r="BMZ30" s="109"/>
      <c r="BNA30" s="109"/>
      <c r="BNB30" s="109"/>
      <c r="BNC30" s="109"/>
      <c r="BND30" s="109"/>
      <c r="BNE30" s="109"/>
      <c r="BNF30" s="109"/>
      <c r="BNG30" s="109"/>
      <c r="BNH30" s="109"/>
      <c r="BNI30" s="109"/>
      <c r="BNJ30" s="109"/>
      <c r="BNK30" s="109"/>
      <c r="BNL30" s="109"/>
      <c r="BNM30" s="109"/>
      <c r="BNN30" s="109"/>
      <c r="BNO30" s="109"/>
      <c r="BNP30" s="109"/>
      <c r="BNQ30" s="109"/>
      <c r="BNR30" s="109"/>
      <c r="BNS30" s="109"/>
      <c r="BNT30" s="109"/>
      <c r="BNU30" s="109"/>
      <c r="BNV30" s="109"/>
      <c r="BNW30" s="109"/>
      <c r="BNX30" s="109"/>
      <c r="BNY30" s="109"/>
      <c r="BNZ30" s="109"/>
      <c r="BOA30" s="109"/>
      <c r="BOB30" s="109"/>
      <c r="BOC30" s="109"/>
      <c r="BOD30" s="109"/>
      <c r="BOE30" s="109"/>
      <c r="BOF30" s="109"/>
      <c r="BOG30" s="109"/>
      <c r="BOH30" s="109"/>
      <c r="BOI30" s="109"/>
      <c r="BOJ30" s="109"/>
      <c r="BOK30" s="109"/>
      <c r="BOL30" s="109"/>
      <c r="BOM30" s="109"/>
      <c r="BON30" s="109"/>
      <c r="BOO30" s="109"/>
      <c r="BOP30" s="109"/>
      <c r="BOQ30" s="109"/>
      <c r="BOR30" s="109"/>
      <c r="BOS30" s="109"/>
      <c r="BOT30" s="109"/>
      <c r="BOU30" s="109"/>
      <c r="BOV30" s="109"/>
      <c r="BOW30" s="109"/>
      <c r="BOX30" s="109"/>
      <c r="BOY30" s="109"/>
      <c r="BOZ30" s="109"/>
      <c r="BPA30" s="109"/>
      <c r="BPB30" s="109"/>
      <c r="BPC30" s="109"/>
      <c r="BPD30" s="109"/>
      <c r="BPE30" s="109"/>
      <c r="BPF30" s="109"/>
      <c r="BPG30" s="109"/>
      <c r="BPH30" s="109"/>
      <c r="BPI30" s="109"/>
      <c r="BPJ30" s="109"/>
      <c r="BPK30" s="109"/>
      <c r="BPL30" s="109"/>
      <c r="BPM30" s="109"/>
      <c r="BPN30" s="109"/>
      <c r="BPO30" s="109"/>
      <c r="BPP30" s="109"/>
      <c r="BPQ30" s="109"/>
      <c r="BPR30" s="109"/>
      <c r="BPS30" s="109"/>
      <c r="BPT30" s="109"/>
      <c r="BPU30" s="109"/>
      <c r="BPV30" s="109"/>
      <c r="BPW30" s="109"/>
      <c r="BPX30" s="109"/>
      <c r="BPY30" s="109"/>
      <c r="BPZ30" s="109"/>
      <c r="BQA30" s="109"/>
      <c r="BQB30" s="109"/>
      <c r="BQC30" s="109"/>
      <c r="BQD30" s="109"/>
      <c r="BQE30" s="109"/>
      <c r="BQF30" s="109"/>
      <c r="BQG30" s="109"/>
      <c r="BQH30" s="109"/>
      <c r="BQI30" s="109"/>
      <c r="BQJ30" s="109"/>
      <c r="BQK30" s="109"/>
      <c r="BQL30" s="109"/>
      <c r="BQM30" s="109"/>
      <c r="BQN30" s="109"/>
      <c r="BQO30" s="109"/>
      <c r="BQP30" s="109"/>
      <c r="BQQ30" s="109"/>
      <c r="BQR30" s="109"/>
      <c r="BQS30" s="109"/>
      <c r="BQT30" s="109"/>
      <c r="BQU30" s="109"/>
      <c r="BQV30" s="109"/>
      <c r="BQW30" s="109"/>
      <c r="BQX30" s="109"/>
      <c r="BQY30" s="109"/>
      <c r="BQZ30" s="109"/>
      <c r="BRA30" s="109"/>
      <c r="BRB30" s="109"/>
      <c r="BRC30" s="109"/>
      <c r="BRD30" s="109"/>
      <c r="BRE30" s="109"/>
      <c r="BRF30" s="109"/>
      <c r="BRG30" s="109"/>
      <c r="BRH30" s="109"/>
      <c r="BRI30" s="109"/>
      <c r="BRJ30" s="109"/>
      <c r="BRK30" s="109"/>
      <c r="BRL30" s="109"/>
      <c r="BRM30" s="109"/>
      <c r="BRN30" s="109"/>
      <c r="BRO30" s="109"/>
      <c r="BRP30" s="109"/>
      <c r="BRQ30" s="109"/>
      <c r="BRR30" s="109"/>
      <c r="BRS30" s="109"/>
      <c r="BRT30" s="109"/>
      <c r="BRU30" s="109"/>
      <c r="BRV30" s="109"/>
      <c r="BRW30" s="109"/>
      <c r="BRX30" s="109"/>
      <c r="BRY30" s="109"/>
      <c r="BRZ30" s="109"/>
      <c r="BSA30" s="109"/>
      <c r="BSB30" s="109"/>
      <c r="BSC30" s="109"/>
      <c r="BSD30" s="109"/>
      <c r="BSE30" s="109"/>
      <c r="BSF30" s="109"/>
      <c r="BSG30" s="109"/>
      <c r="BSH30" s="109"/>
      <c r="BSI30" s="109"/>
      <c r="BSJ30" s="109"/>
      <c r="BSK30" s="109"/>
      <c r="BSL30" s="109"/>
      <c r="BSM30" s="109"/>
      <c r="BSN30" s="109"/>
      <c r="BSO30" s="109"/>
      <c r="BSP30" s="109"/>
      <c r="BSQ30" s="109"/>
      <c r="BSR30" s="109"/>
      <c r="BSS30" s="109"/>
      <c r="BST30" s="109"/>
      <c r="BSU30" s="109"/>
      <c r="BSV30" s="109"/>
      <c r="BSW30" s="109"/>
      <c r="BSX30" s="109"/>
      <c r="BSY30" s="109"/>
      <c r="BSZ30" s="109"/>
      <c r="BTA30" s="109"/>
      <c r="BTB30" s="109"/>
      <c r="BTC30" s="109"/>
      <c r="BTD30" s="109"/>
      <c r="BTE30" s="109"/>
      <c r="BTF30" s="109"/>
      <c r="BTG30" s="109"/>
      <c r="BTH30" s="109"/>
      <c r="BTI30" s="109"/>
      <c r="BTJ30" s="109"/>
      <c r="BTK30" s="109"/>
      <c r="BTL30" s="109"/>
      <c r="BTM30" s="109"/>
      <c r="BTN30" s="109"/>
      <c r="BTO30" s="109"/>
      <c r="BTP30" s="109"/>
      <c r="BTQ30" s="109"/>
      <c r="BTR30" s="109"/>
      <c r="BTS30" s="109"/>
      <c r="BTT30" s="109"/>
      <c r="BTU30" s="109"/>
      <c r="BTV30" s="109"/>
      <c r="BTW30" s="109"/>
      <c r="BTX30" s="109"/>
      <c r="BTY30" s="109"/>
      <c r="BTZ30" s="109"/>
      <c r="BUA30" s="109"/>
      <c r="BUB30" s="109"/>
      <c r="BUC30" s="109"/>
      <c r="BUD30" s="109"/>
      <c r="BUE30" s="109"/>
      <c r="BUF30" s="109"/>
      <c r="BUG30" s="109"/>
      <c r="BUH30" s="109"/>
      <c r="BUI30" s="109"/>
      <c r="BUJ30" s="109"/>
      <c r="BUK30" s="109"/>
      <c r="BUL30" s="109"/>
      <c r="BUM30" s="109"/>
      <c r="BUN30" s="109"/>
      <c r="BUO30" s="109"/>
      <c r="BUP30" s="109"/>
      <c r="BUQ30" s="109"/>
      <c r="BUR30" s="109"/>
      <c r="BUS30" s="109"/>
      <c r="BUT30" s="109"/>
      <c r="BUU30" s="109"/>
      <c r="BUV30" s="109"/>
      <c r="BUW30" s="109"/>
      <c r="BUX30" s="109"/>
      <c r="BUY30" s="109"/>
      <c r="BUZ30" s="109"/>
      <c r="BVA30" s="109"/>
      <c r="BVB30" s="109"/>
      <c r="BVC30" s="109"/>
      <c r="BVD30" s="109"/>
      <c r="BVE30" s="109"/>
      <c r="BVF30" s="109"/>
      <c r="BVG30" s="109"/>
      <c r="BVH30" s="109"/>
      <c r="BVI30" s="109"/>
      <c r="BVJ30" s="109"/>
      <c r="BVK30" s="109"/>
      <c r="BVL30" s="109"/>
      <c r="BVM30" s="109"/>
      <c r="BVN30" s="109"/>
      <c r="BVO30" s="109"/>
      <c r="BVP30" s="109"/>
      <c r="BVQ30" s="109"/>
      <c r="BVR30" s="109"/>
      <c r="BVS30" s="109"/>
      <c r="BVT30" s="109"/>
      <c r="BVU30" s="109"/>
      <c r="BVV30" s="109"/>
      <c r="BVW30" s="109"/>
      <c r="BVX30" s="109"/>
      <c r="BVY30" s="109"/>
      <c r="BVZ30" s="109"/>
      <c r="BWA30" s="109"/>
      <c r="BWB30" s="109"/>
      <c r="BWC30" s="109"/>
      <c r="BWD30" s="109"/>
      <c r="BWE30" s="109"/>
      <c r="BWF30" s="109"/>
      <c r="BWG30" s="109"/>
      <c r="BWH30" s="109"/>
      <c r="BWI30" s="109"/>
      <c r="BWJ30" s="109"/>
      <c r="BWK30" s="109"/>
      <c r="BWL30" s="109"/>
      <c r="BWM30" s="109"/>
      <c r="BWN30" s="109"/>
      <c r="BWO30" s="109"/>
      <c r="BWP30" s="109"/>
      <c r="BWQ30" s="109"/>
      <c r="BWR30" s="109"/>
      <c r="BWS30" s="109"/>
      <c r="BWT30" s="109"/>
      <c r="BWU30" s="109"/>
      <c r="BWV30" s="109"/>
      <c r="BWW30" s="109"/>
      <c r="BWX30" s="109"/>
      <c r="BWY30" s="109"/>
      <c r="BWZ30" s="109"/>
      <c r="BXA30" s="109"/>
      <c r="BXB30" s="109"/>
      <c r="BXC30" s="109"/>
      <c r="BXD30" s="109"/>
      <c r="BXE30" s="109"/>
      <c r="BXF30" s="109"/>
      <c r="BXG30" s="109"/>
      <c r="BXH30" s="109"/>
      <c r="BXI30" s="109"/>
      <c r="BXJ30" s="109"/>
      <c r="BXK30" s="109"/>
      <c r="BXL30" s="109"/>
      <c r="BXM30" s="109"/>
      <c r="BXN30" s="109"/>
      <c r="BXO30" s="109"/>
      <c r="BXP30" s="109"/>
      <c r="BXQ30" s="109"/>
      <c r="BXR30" s="109"/>
      <c r="BXS30" s="109"/>
      <c r="BXT30" s="109"/>
      <c r="BXU30" s="109"/>
      <c r="BXV30" s="109"/>
      <c r="BXW30" s="109"/>
      <c r="BXX30" s="109"/>
      <c r="BXY30" s="109"/>
      <c r="BXZ30" s="109"/>
      <c r="BYA30" s="109"/>
      <c r="BYB30" s="109"/>
      <c r="BYC30" s="109"/>
      <c r="BYD30" s="109"/>
      <c r="BYE30" s="109"/>
      <c r="BYF30" s="109"/>
      <c r="BYG30" s="109"/>
      <c r="BYH30" s="109"/>
      <c r="BYI30" s="109"/>
      <c r="BYJ30" s="109"/>
      <c r="BYK30" s="109"/>
      <c r="BYL30" s="109"/>
      <c r="BYM30" s="109"/>
      <c r="BYN30" s="109"/>
      <c r="BYO30" s="109"/>
      <c r="BYP30" s="109"/>
      <c r="BYQ30" s="109"/>
      <c r="BYR30" s="109"/>
      <c r="BYS30" s="109"/>
      <c r="BYT30" s="109"/>
      <c r="BYU30" s="109"/>
      <c r="BYV30" s="109"/>
      <c r="BYW30" s="109"/>
      <c r="BYX30" s="109"/>
      <c r="BYY30" s="109"/>
      <c r="BYZ30" s="109"/>
      <c r="BZA30" s="109"/>
      <c r="BZB30" s="109"/>
      <c r="BZC30" s="109"/>
      <c r="BZD30" s="109"/>
      <c r="BZE30" s="109"/>
      <c r="BZF30" s="109"/>
      <c r="BZG30" s="109"/>
      <c r="BZH30" s="109"/>
      <c r="BZI30" s="109"/>
      <c r="BZJ30" s="109"/>
      <c r="BZK30" s="109"/>
      <c r="BZL30" s="109"/>
      <c r="BZM30" s="109"/>
      <c r="BZN30" s="109"/>
      <c r="BZO30" s="109"/>
      <c r="BZP30" s="109"/>
      <c r="BZQ30" s="109"/>
      <c r="BZR30" s="109"/>
      <c r="BZS30" s="109"/>
      <c r="BZT30" s="109"/>
      <c r="BZU30" s="109"/>
      <c r="BZV30" s="109"/>
      <c r="BZW30" s="109"/>
      <c r="BZX30" s="109"/>
      <c r="BZY30" s="109"/>
      <c r="BZZ30" s="109"/>
      <c r="CAA30" s="109"/>
      <c r="CAB30" s="109"/>
      <c r="CAC30" s="109"/>
      <c r="CAD30" s="109"/>
      <c r="CAE30" s="109"/>
      <c r="CAF30" s="109"/>
      <c r="CAG30" s="109"/>
      <c r="CAH30" s="109"/>
      <c r="CAI30" s="109"/>
      <c r="CAJ30" s="109"/>
      <c r="CAK30" s="109"/>
      <c r="CAL30" s="109"/>
      <c r="CAM30" s="109"/>
      <c r="CAN30" s="109"/>
      <c r="CAO30" s="109"/>
      <c r="CAP30" s="109"/>
      <c r="CAQ30" s="109"/>
      <c r="CAR30" s="109"/>
      <c r="CAS30" s="109"/>
      <c r="CAT30" s="109"/>
      <c r="CAU30" s="109"/>
      <c r="CAV30" s="109"/>
      <c r="CAW30" s="109"/>
      <c r="CAX30" s="109"/>
      <c r="CAY30" s="109"/>
      <c r="CAZ30" s="109"/>
      <c r="CBA30" s="109"/>
      <c r="CBB30" s="109"/>
      <c r="CBC30" s="109"/>
      <c r="CBD30" s="109"/>
      <c r="CBE30" s="109"/>
      <c r="CBF30" s="109"/>
      <c r="CBG30" s="109"/>
      <c r="CBH30" s="109"/>
      <c r="CBI30" s="109"/>
      <c r="CBJ30" s="109"/>
      <c r="CBK30" s="109"/>
      <c r="CBL30" s="109"/>
      <c r="CBM30" s="109"/>
      <c r="CBN30" s="109"/>
      <c r="CBO30" s="109"/>
      <c r="CBP30" s="109"/>
      <c r="CBQ30" s="109"/>
      <c r="CBR30" s="109"/>
      <c r="CBS30" s="109"/>
      <c r="CBT30" s="109"/>
      <c r="CBU30" s="109"/>
      <c r="CBV30" s="109"/>
      <c r="CBW30" s="109"/>
      <c r="CBX30" s="109"/>
      <c r="CBY30" s="109"/>
      <c r="CBZ30" s="109"/>
      <c r="CCA30" s="109"/>
      <c r="CCB30" s="109"/>
      <c r="CCC30" s="109"/>
      <c r="CCD30" s="109"/>
      <c r="CCE30" s="109"/>
      <c r="CCF30" s="109"/>
      <c r="CCG30" s="109"/>
      <c r="CCH30" s="109"/>
      <c r="CCI30" s="109"/>
      <c r="CCJ30" s="109"/>
      <c r="CCK30" s="109"/>
      <c r="CCL30" s="109"/>
      <c r="CCM30" s="109"/>
      <c r="CCN30" s="109"/>
      <c r="CCO30" s="109"/>
      <c r="CCP30" s="109"/>
      <c r="CCQ30" s="109"/>
      <c r="CCR30" s="109"/>
      <c r="CCS30" s="109"/>
      <c r="CCT30" s="109"/>
      <c r="CCU30" s="109"/>
      <c r="CCV30" s="109"/>
      <c r="CCW30" s="109"/>
      <c r="CCX30" s="109"/>
      <c r="CCY30" s="109"/>
      <c r="CCZ30" s="109"/>
      <c r="CDA30" s="109"/>
      <c r="CDB30" s="109"/>
      <c r="CDC30" s="109"/>
      <c r="CDD30" s="109"/>
      <c r="CDE30" s="109"/>
      <c r="CDF30" s="109"/>
      <c r="CDG30" s="109"/>
      <c r="CDH30" s="109"/>
      <c r="CDI30" s="109"/>
      <c r="CDJ30" s="109"/>
      <c r="CDK30" s="109"/>
      <c r="CDL30" s="109"/>
      <c r="CDM30" s="109"/>
      <c r="CDN30" s="109"/>
      <c r="CDO30" s="109"/>
      <c r="CDP30" s="109"/>
      <c r="CDQ30" s="109"/>
      <c r="CDR30" s="109"/>
      <c r="CDS30" s="109"/>
      <c r="CDT30" s="109"/>
      <c r="CDU30" s="109"/>
      <c r="CDV30" s="109"/>
      <c r="CDW30" s="109"/>
      <c r="CDX30" s="109"/>
      <c r="CDY30" s="109"/>
      <c r="CDZ30" s="109"/>
      <c r="CEA30" s="109"/>
      <c r="CEB30" s="109"/>
      <c r="CEC30" s="109"/>
      <c r="CED30" s="109"/>
      <c r="CEE30" s="109"/>
      <c r="CEF30" s="109"/>
      <c r="CEG30" s="109"/>
      <c r="CEH30" s="109"/>
      <c r="CEI30" s="109"/>
      <c r="CEJ30" s="109"/>
      <c r="CEK30" s="109"/>
      <c r="CEL30" s="109"/>
      <c r="CEM30" s="109"/>
      <c r="CEN30" s="109"/>
      <c r="CEO30" s="109"/>
      <c r="CEP30" s="109"/>
      <c r="CEQ30" s="109"/>
      <c r="CER30" s="109"/>
      <c r="CES30" s="109"/>
      <c r="CET30" s="109"/>
      <c r="CEU30" s="109"/>
      <c r="CEV30" s="109"/>
      <c r="CEW30" s="109"/>
      <c r="CEX30" s="109"/>
      <c r="CEY30" s="109"/>
      <c r="CEZ30" s="109"/>
      <c r="CFA30" s="109"/>
      <c r="CFB30" s="109"/>
      <c r="CFC30" s="109"/>
      <c r="CFD30" s="109"/>
      <c r="CFE30" s="109"/>
      <c r="CFF30" s="109"/>
      <c r="CFG30" s="109"/>
      <c r="CFH30" s="109"/>
      <c r="CFI30" s="109"/>
      <c r="CFJ30" s="109"/>
      <c r="CFK30" s="109"/>
      <c r="CFL30" s="109"/>
      <c r="CFM30" s="109"/>
      <c r="CFN30" s="109"/>
      <c r="CFO30" s="109"/>
      <c r="CFP30" s="109"/>
      <c r="CFQ30" s="109"/>
      <c r="CFR30" s="109"/>
      <c r="CFS30" s="109"/>
      <c r="CFT30" s="109"/>
      <c r="CFU30" s="109"/>
      <c r="CFV30" s="109"/>
      <c r="CFW30" s="109"/>
      <c r="CFX30" s="109"/>
      <c r="CFY30" s="109"/>
      <c r="CFZ30" s="109"/>
      <c r="CGA30" s="109"/>
      <c r="CGB30" s="109"/>
      <c r="CGC30" s="109"/>
      <c r="CGD30" s="109"/>
      <c r="CGE30" s="109"/>
      <c r="CGF30" s="109"/>
      <c r="CGG30" s="109"/>
      <c r="CGH30" s="109"/>
      <c r="CGI30" s="109"/>
      <c r="CGJ30" s="109"/>
      <c r="CGK30" s="109"/>
      <c r="CGL30" s="109"/>
      <c r="CGM30" s="109"/>
      <c r="CGN30" s="109"/>
      <c r="CGO30" s="109"/>
      <c r="CGP30" s="109"/>
      <c r="CGQ30" s="109"/>
      <c r="CGR30" s="109"/>
      <c r="CGS30" s="109"/>
      <c r="CGT30" s="109"/>
      <c r="CGU30" s="109"/>
      <c r="CGV30" s="109"/>
      <c r="CGW30" s="109"/>
      <c r="CGX30" s="109"/>
      <c r="CGY30" s="109"/>
      <c r="CGZ30" s="109"/>
      <c r="CHA30" s="109"/>
      <c r="CHB30" s="109"/>
      <c r="CHC30" s="109"/>
      <c r="CHD30" s="109"/>
      <c r="CHE30" s="109"/>
      <c r="CHF30" s="109"/>
      <c r="CHG30" s="109"/>
      <c r="CHH30" s="109"/>
      <c r="CHI30" s="109"/>
      <c r="CHJ30" s="109"/>
      <c r="CHK30" s="109"/>
      <c r="CHL30" s="109"/>
      <c r="CHM30" s="109"/>
      <c r="CHN30" s="109"/>
      <c r="CHO30" s="109"/>
      <c r="CHP30" s="109"/>
      <c r="CHQ30" s="109"/>
      <c r="CHR30" s="109"/>
      <c r="CHS30" s="109"/>
      <c r="CHT30" s="109"/>
      <c r="CHU30" s="109"/>
      <c r="CHV30" s="109"/>
      <c r="CHW30" s="109"/>
      <c r="CHX30" s="109"/>
      <c r="CHY30" s="109"/>
      <c r="CHZ30" s="109"/>
      <c r="CIA30" s="109"/>
      <c r="CIB30" s="109"/>
      <c r="CIC30" s="109"/>
      <c r="CID30" s="109"/>
      <c r="CIE30" s="109"/>
      <c r="CIF30" s="109"/>
      <c r="CIG30" s="109"/>
      <c r="CIH30" s="109"/>
      <c r="CII30" s="109"/>
      <c r="CIJ30" s="109"/>
      <c r="CIK30" s="109"/>
      <c r="CIL30" s="109"/>
      <c r="CIM30" s="109"/>
      <c r="CIN30" s="109"/>
      <c r="CIO30" s="109"/>
      <c r="CIP30" s="109"/>
      <c r="CIQ30" s="109"/>
      <c r="CIR30" s="109"/>
      <c r="CIS30" s="109"/>
      <c r="CIT30" s="109"/>
      <c r="CIU30" s="109"/>
      <c r="CIV30" s="109"/>
      <c r="CIW30" s="109"/>
      <c r="CIX30" s="109"/>
      <c r="CIY30" s="109"/>
      <c r="CIZ30" s="109"/>
      <c r="CJA30" s="109"/>
      <c r="CJB30" s="109"/>
      <c r="CJC30" s="109"/>
      <c r="CJD30" s="109"/>
      <c r="CJE30" s="109"/>
      <c r="CJF30" s="109"/>
      <c r="CJG30" s="109"/>
      <c r="CJH30" s="109"/>
      <c r="CJI30" s="109"/>
      <c r="CJJ30" s="109"/>
      <c r="CJK30" s="109"/>
      <c r="CJL30" s="109"/>
      <c r="CJM30" s="109"/>
      <c r="CJN30" s="109"/>
      <c r="CJO30" s="109"/>
      <c r="CJP30" s="109"/>
      <c r="CJQ30" s="109"/>
      <c r="CJR30" s="109"/>
      <c r="CJS30" s="109"/>
      <c r="CJT30" s="109"/>
      <c r="CJU30" s="109"/>
      <c r="CJV30" s="109"/>
      <c r="CJW30" s="109"/>
      <c r="CJX30" s="109"/>
      <c r="CJY30" s="109"/>
      <c r="CJZ30" s="109"/>
      <c r="CKA30" s="109"/>
      <c r="CKB30" s="109"/>
      <c r="CKC30" s="109"/>
      <c r="CKD30" s="109"/>
      <c r="CKE30" s="109"/>
      <c r="CKF30" s="109"/>
      <c r="CKG30" s="109"/>
      <c r="CKH30" s="109"/>
      <c r="CKI30" s="109"/>
      <c r="CKJ30" s="109"/>
      <c r="CKK30" s="109"/>
      <c r="CKL30" s="109"/>
      <c r="CKM30" s="109"/>
      <c r="CKN30" s="109"/>
      <c r="CKO30" s="109"/>
      <c r="CKP30" s="109"/>
      <c r="CKQ30" s="109"/>
      <c r="CKR30" s="109"/>
      <c r="CKS30" s="109"/>
      <c r="CKT30" s="109"/>
      <c r="CKU30" s="109"/>
      <c r="CKV30" s="109"/>
      <c r="CKW30" s="109"/>
      <c r="CKX30" s="109"/>
      <c r="CKY30" s="109"/>
      <c r="CKZ30" s="109"/>
      <c r="CLA30" s="109"/>
      <c r="CLB30" s="109"/>
      <c r="CLC30" s="109"/>
      <c r="CLD30" s="109"/>
      <c r="CLE30" s="109"/>
      <c r="CLF30" s="109"/>
      <c r="CLG30" s="109"/>
      <c r="CLH30" s="109"/>
      <c r="CLI30" s="109"/>
      <c r="CLJ30" s="109"/>
      <c r="CLK30" s="109"/>
      <c r="CLL30" s="109"/>
      <c r="CLM30" s="109"/>
      <c r="CLN30" s="109"/>
      <c r="CLO30" s="109"/>
      <c r="CLP30" s="109"/>
      <c r="CLQ30" s="109"/>
      <c r="CLR30" s="109"/>
      <c r="CLS30" s="109"/>
      <c r="CLT30" s="109"/>
      <c r="CLU30" s="109"/>
      <c r="CLV30" s="109"/>
      <c r="CLW30" s="109"/>
      <c r="CLX30" s="109"/>
      <c r="CLY30" s="109"/>
      <c r="CLZ30" s="109"/>
      <c r="CMA30" s="109"/>
      <c r="CMB30" s="109"/>
      <c r="CMC30" s="109"/>
      <c r="CMD30" s="109"/>
      <c r="CME30" s="109"/>
      <c r="CMF30" s="109"/>
      <c r="CMG30" s="109"/>
      <c r="CMH30" s="109"/>
      <c r="CMI30" s="109"/>
      <c r="CMJ30" s="109"/>
      <c r="CMK30" s="109"/>
      <c r="CML30" s="109"/>
      <c r="CMM30" s="109"/>
      <c r="CMN30" s="109"/>
      <c r="CMO30" s="109"/>
      <c r="CMP30" s="109"/>
      <c r="CMQ30" s="109"/>
      <c r="CMR30" s="109"/>
      <c r="CMS30" s="109"/>
      <c r="CMT30" s="109"/>
      <c r="CMU30" s="109"/>
      <c r="CMV30" s="109"/>
      <c r="CMW30" s="109"/>
      <c r="CMX30" s="109"/>
      <c r="CMY30" s="109"/>
      <c r="CMZ30" s="109"/>
      <c r="CNA30" s="109"/>
      <c r="CNB30" s="109"/>
      <c r="CNC30" s="109"/>
      <c r="CND30" s="109"/>
      <c r="CNE30" s="109"/>
      <c r="CNF30" s="109"/>
      <c r="CNG30" s="109"/>
      <c r="CNH30" s="109"/>
      <c r="CNI30" s="109"/>
      <c r="CNJ30" s="109"/>
      <c r="CNK30" s="109"/>
      <c r="CNL30" s="109"/>
      <c r="CNM30" s="109"/>
      <c r="CNN30" s="109"/>
      <c r="CNO30" s="109"/>
      <c r="CNP30" s="109"/>
      <c r="CNQ30" s="109"/>
      <c r="CNR30" s="109"/>
      <c r="CNS30" s="109"/>
      <c r="CNT30" s="109"/>
      <c r="CNU30" s="109"/>
      <c r="CNV30" s="109"/>
      <c r="CNW30" s="109"/>
      <c r="CNX30" s="109"/>
      <c r="CNY30" s="109"/>
      <c r="CNZ30" s="109"/>
      <c r="COA30" s="109"/>
      <c r="COB30" s="109"/>
      <c r="COC30" s="109"/>
      <c r="COD30" s="109"/>
      <c r="COE30" s="109"/>
      <c r="COF30" s="109"/>
      <c r="COG30" s="109"/>
      <c r="COH30" s="109"/>
      <c r="COI30" s="109"/>
      <c r="COJ30" s="109"/>
      <c r="COK30" s="109"/>
      <c r="COL30" s="109"/>
      <c r="COM30" s="109"/>
      <c r="CON30" s="109"/>
      <c r="COO30" s="109"/>
      <c r="COP30" s="109"/>
      <c r="COQ30" s="109"/>
      <c r="COR30" s="109"/>
      <c r="COS30" s="109"/>
      <c r="COT30" s="109"/>
      <c r="COU30" s="109"/>
      <c r="COV30" s="109"/>
      <c r="COW30" s="109"/>
      <c r="COX30" s="109"/>
      <c r="COY30" s="109"/>
      <c r="COZ30" s="109"/>
      <c r="CPA30" s="109"/>
      <c r="CPB30" s="109"/>
      <c r="CPC30" s="109"/>
      <c r="CPD30" s="109"/>
      <c r="CPE30" s="109"/>
      <c r="CPF30" s="109"/>
      <c r="CPG30" s="109"/>
      <c r="CPH30" s="109"/>
      <c r="CPI30" s="109"/>
      <c r="CPJ30" s="109"/>
      <c r="CPK30" s="109"/>
      <c r="CPL30" s="109"/>
      <c r="CPM30" s="109"/>
      <c r="CPN30" s="109"/>
      <c r="CPO30" s="109"/>
      <c r="CPP30" s="109"/>
      <c r="CPQ30" s="109"/>
      <c r="CPR30" s="109"/>
      <c r="CPS30" s="109"/>
      <c r="CPT30" s="109"/>
      <c r="CPU30" s="109"/>
      <c r="CPV30" s="109"/>
      <c r="CPW30" s="109"/>
      <c r="CPX30" s="109"/>
      <c r="CPY30" s="109"/>
      <c r="CPZ30" s="109"/>
      <c r="CQA30" s="109"/>
      <c r="CQB30" s="109"/>
      <c r="CQC30" s="109"/>
      <c r="CQD30" s="109"/>
      <c r="CQE30" s="109"/>
      <c r="CQF30" s="109"/>
      <c r="CQG30" s="109"/>
      <c r="CQH30" s="109"/>
      <c r="CQI30" s="109"/>
      <c r="CQJ30" s="109"/>
      <c r="CQK30" s="109"/>
      <c r="CQL30" s="109"/>
      <c r="CQM30" s="109"/>
      <c r="CQN30" s="109"/>
      <c r="CQO30" s="109"/>
      <c r="CQP30" s="109"/>
      <c r="CQQ30" s="109"/>
      <c r="CQR30" s="109"/>
      <c r="CQS30" s="109"/>
      <c r="CQT30" s="109"/>
      <c r="CQU30" s="109"/>
      <c r="CQV30" s="109"/>
      <c r="CQW30" s="109"/>
      <c r="CQX30" s="109"/>
      <c r="CQY30" s="109"/>
      <c r="CQZ30" s="109"/>
      <c r="CRA30" s="109"/>
      <c r="CRB30" s="109"/>
      <c r="CRC30" s="109"/>
      <c r="CRD30" s="109"/>
      <c r="CRE30" s="109"/>
      <c r="CRF30" s="109"/>
      <c r="CRG30" s="109"/>
      <c r="CRH30" s="109"/>
      <c r="CRI30" s="109"/>
      <c r="CRJ30" s="109"/>
      <c r="CRK30" s="109"/>
      <c r="CRL30" s="109"/>
      <c r="CRM30" s="109"/>
      <c r="CRN30" s="109"/>
      <c r="CRO30" s="109"/>
      <c r="CRP30" s="109"/>
      <c r="CRQ30" s="109"/>
      <c r="CRR30" s="109"/>
      <c r="CRS30" s="109"/>
      <c r="CRT30" s="109"/>
      <c r="CRU30" s="109"/>
      <c r="CRV30" s="109"/>
      <c r="CRW30" s="109"/>
      <c r="CRX30" s="109"/>
      <c r="CRY30" s="109"/>
      <c r="CRZ30" s="109"/>
      <c r="CSA30" s="109"/>
      <c r="CSB30" s="109"/>
      <c r="CSC30" s="109"/>
      <c r="CSD30" s="109"/>
      <c r="CSE30" s="109"/>
      <c r="CSF30" s="109"/>
      <c r="CSG30" s="109"/>
      <c r="CSH30" s="109"/>
      <c r="CSI30" s="109"/>
      <c r="CSJ30" s="109"/>
      <c r="CSK30" s="109"/>
      <c r="CSL30" s="109"/>
      <c r="CSM30" s="109"/>
      <c r="CSN30" s="109"/>
      <c r="CSO30" s="109"/>
      <c r="CSP30" s="109"/>
      <c r="CSQ30" s="109"/>
      <c r="CSR30" s="109"/>
      <c r="CSS30" s="109"/>
      <c r="CST30" s="109"/>
      <c r="CSU30" s="109"/>
      <c r="CSV30" s="109"/>
      <c r="CSW30" s="109"/>
      <c r="CSX30" s="109"/>
      <c r="CSY30" s="109"/>
      <c r="CSZ30" s="109"/>
      <c r="CTA30" s="109"/>
      <c r="CTB30" s="109"/>
      <c r="CTC30" s="109"/>
      <c r="CTD30" s="109"/>
      <c r="CTE30" s="109"/>
      <c r="CTF30" s="109"/>
      <c r="CTG30" s="109"/>
      <c r="CTH30" s="109"/>
      <c r="CTI30" s="109"/>
      <c r="CTJ30" s="109"/>
      <c r="CTK30" s="109"/>
      <c r="CTL30" s="109"/>
      <c r="CTM30" s="109"/>
      <c r="CTN30" s="109"/>
      <c r="CTO30" s="109"/>
      <c r="CTP30" s="109"/>
      <c r="CTQ30" s="109"/>
      <c r="CTR30" s="109"/>
      <c r="CTS30" s="109"/>
      <c r="CTT30" s="109"/>
      <c r="CTU30" s="109"/>
      <c r="CTV30" s="109"/>
      <c r="CTW30" s="109"/>
      <c r="CTX30" s="109"/>
      <c r="CTY30" s="109"/>
      <c r="CTZ30" s="109"/>
      <c r="CUA30" s="109"/>
      <c r="CUB30" s="109"/>
      <c r="CUC30" s="109"/>
      <c r="CUD30" s="109"/>
      <c r="CUE30" s="109"/>
      <c r="CUF30" s="109"/>
      <c r="CUG30" s="109"/>
      <c r="CUH30" s="109"/>
      <c r="CUI30" s="109"/>
      <c r="CUJ30" s="109"/>
      <c r="CUK30" s="109"/>
      <c r="CUL30" s="109"/>
      <c r="CUM30" s="109"/>
      <c r="CUN30" s="109"/>
      <c r="CUO30" s="109"/>
      <c r="CUP30" s="109"/>
      <c r="CUQ30" s="109"/>
      <c r="CUR30" s="109"/>
      <c r="CUS30" s="109"/>
      <c r="CUT30" s="109"/>
      <c r="CUU30" s="109"/>
      <c r="CUV30" s="109"/>
      <c r="CUW30" s="109"/>
      <c r="CUX30" s="109"/>
      <c r="CUY30" s="109"/>
      <c r="CUZ30" s="109"/>
      <c r="CVA30" s="109"/>
      <c r="CVB30" s="109"/>
      <c r="CVC30" s="109"/>
      <c r="CVD30" s="109"/>
      <c r="CVE30" s="109"/>
      <c r="CVF30" s="109"/>
      <c r="CVG30" s="109"/>
      <c r="CVH30" s="109"/>
      <c r="CVI30" s="109"/>
      <c r="CVJ30" s="109"/>
      <c r="CVK30" s="109"/>
      <c r="CVL30" s="109"/>
      <c r="CVM30" s="109"/>
      <c r="CVN30" s="109"/>
      <c r="CVO30" s="109"/>
      <c r="CVP30" s="109"/>
      <c r="CVQ30" s="109"/>
      <c r="CVR30" s="109"/>
      <c r="CVS30" s="109"/>
      <c r="CVT30" s="109"/>
      <c r="CVU30" s="109"/>
      <c r="CVV30" s="109"/>
      <c r="CVW30" s="109"/>
      <c r="CVX30" s="109"/>
      <c r="CVY30" s="109"/>
      <c r="CVZ30" s="109"/>
      <c r="CWA30" s="109"/>
      <c r="CWB30" s="109"/>
      <c r="CWC30" s="109"/>
      <c r="CWD30" s="109"/>
      <c r="CWE30" s="109"/>
      <c r="CWF30" s="109"/>
      <c r="CWG30" s="109"/>
      <c r="CWH30" s="109"/>
      <c r="CWI30" s="109"/>
      <c r="CWJ30" s="109"/>
      <c r="CWK30" s="109"/>
      <c r="CWL30" s="109"/>
      <c r="CWM30" s="109"/>
      <c r="CWN30" s="109"/>
      <c r="CWO30" s="109"/>
      <c r="CWP30" s="109"/>
      <c r="CWQ30" s="109"/>
      <c r="CWR30" s="109"/>
      <c r="CWS30" s="109"/>
      <c r="CWT30" s="109"/>
      <c r="CWU30" s="109"/>
      <c r="CWV30" s="109"/>
      <c r="CWW30" s="109"/>
      <c r="CWX30" s="109"/>
      <c r="CWY30" s="109"/>
      <c r="CWZ30" s="109"/>
      <c r="CXA30" s="109"/>
      <c r="CXB30" s="109"/>
      <c r="CXC30" s="109"/>
      <c r="CXD30" s="109"/>
      <c r="CXE30" s="109"/>
      <c r="CXF30" s="109"/>
      <c r="CXG30" s="109"/>
      <c r="CXH30" s="109"/>
      <c r="CXI30" s="109"/>
      <c r="CXJ30" s="109"/>
      <c r="CXK30" s="109"/>
      <c r="CXL30" s="109"/>
      <c r="CXM30" s="109"/>
      <c r="CXN30" s="109"/>
      <c r="CXO30" s="109"/>
      <c r="CXP30" s="109"/>
      <c r="CXQ30" s="109"/>
      <c r="CXR30" s="109"/>
      <c r="CXS30" s="109"/>
      <c r="CXT30" s="109"/>
      <c r="CXU30" s="109"/>
      <c r="CXV30" s="109"/>
      <c r="CXW30" s="109"/>
      <c r="CXX30" s="109"/>
      <c r="CXY30" s="109"/>
      <c r="CXZ30" s="109"/>
      <c r="CYA30" s="109"/>
      <c r="CYB30" s="109"/>
      <c r="CYC30" s="109"/>
      <c r="CYD30" s="109"/>
      <c r="CYE30" s="109"/>
      <c r="CYF30" s="109"/>
      <c r="CYG30" s="109"/>
      <c r="CYH30" s="109"/>
      <c r="CYI30" s="109"/>
      <c r="CYJ30" s="109"/>
      <c r="CYK30" s="109"/>
      <c r="CYL30" s="109"/>
      <c r="CYM30" s="109"/>
      <c r="CYN30" s="109"/>
      <c r="CYO30" s="109"/>
      <c r="CYP30" s="109"/>
      <c r="CYQ30" s="109"/>
      <c r="CYR30" s="109"/>
      <c r="CYS30" s="109"/>
      <c r="CYT30" s="109"/>
      <c r="CYU30" s="109"/>
      <c r="CYV30" s="109"/>
      <c r="CYW30" s="109"/>
      <c r="CYX30" s="109"/>
      <c r="CYY30" s="109"/>
      <c r="CYZ30" s="109"/>
      <c r="CZA30" s="109"/>
      <c r="CZB30" s="109"/>
      <c r="CZC30" s="109"/>
      <c r="CZD30" s="109"/>
      <c r="CZE30" s="109"/>
      <c r="CZF30" s="109"/>
      <c r="CZG30" s="109"/>
      <c r="CZH30" s="109"/>
      <c r="CZI30" s="109"/>
      <c r="CZJ30" s="109"/>
      <c r="CZK30" s="109"/>
      <c r="CZL30" s="109"/>
      <c r="CZM30" s="109"/>
      <c r="CZN30" s="109"/>
      <c r="CZO30" s="109"/>
      <c r="CZP30" s="109"/>
      <c r="CZQ30" s="109"/>
      <c r="CZR30" s="109"/>
      <c r="CZS30" s="109"/>
      <c r="CZT30" s="109"/>
      <c r="CZU30" s="109"/>
      <c r="CZV30" s="109"/>
      <c r="CZW30" s="109"/>
      <c r="CZX30" s="109"/>
      <c r="CZY30" s="109"/>
      <c r="CZZ30" s="109"/>
      <c r="DAA30" s="109"/>
      <c r="DAB30" s="109"/>
      <c r="DAC30" s="109"/>
      <c r="DAD30" s="109"/>
      <c r="DAE30" s="109"/>
      <c r="DAF30" s="109"/>
      <c r="DAG30" s="109"/>
      <c r="DAH30" s="109"/>
      <c r="DAI30" s="109"/>
      <c r="DAJ30" s="109"/>
      <c r="DAK30" s="109"/>
      <c r="DAL30" s="109"/>
      <c r="DAM30" s="109"/>
      <c r="DAN30" s="109"/>
      <c r="DAO30" s="109"/>
      <c r="DAP30" s="109"/>
      <c r="DAQ30" s="109"/>
      <c r="DAR30" s="109"/>
      <c r="DAS30" s="109"/>
      <c r="DAT30" s="109"/>
      <c r="DAU30" s="109"/>
      <c r="DAV30" s="109"/>
      <c r="DAW30" s="109"/>
      <c r="DAX30" s="109"/>
      <c r="DAY30" s="109"/>
      <c r="DAZ30" s="109"/>
      <c r="DBA30" s="109"/>
      <c r="DBB30" s="109"/>
      <c r="DBC30" s="109"/>
      <c r="DBD30" s="109"/>
      <c r="DBE30" s="109"/>
      <c r="DBF30" s="109"/>
      <c r="DBG30" s="109"/>
      <c r="DBH30" s="109"/>
      <c r="DBI30" s="109"/>
      <c r="DBJ30" s="109"/>
      <c r="DBK30" s="109"/>
      <c r="DBL30" s="109"/>
      <c r="DBM30" s="109"/>
      <c r="DBN30" s="109"/>
      <c r="DBO30" s="109"/>
      <c r="DBP30" s="109"/>
      <c r="DBQ30" s="109"/>
      <c r="DBR30" s="109"/>
      <c r="DBS30" s="109"/>
      <c r="DBT30" s="109"/>
      <c r="DBU30" s="109"/>
      <c r="DBV30" s="109"/>
      <c r="DBW30" s="109"/>
      <c r="DBX30" s="109"/>
      <c r="DBY30" s="109"/>
      <c r="DBZ30" s="109"/>
      <c r="DCA30" s="109"/>
      <c r="DCB30" s="109"/>
      <c r="DCC30" s="109"/>
      <c r="DCD30" s="109"/>
      <c r="DCE30" s="109"/>
      <c r="DCF30" s="109"/>
      <c r="DCG30" s="109"/>
      <c r="DCH30" s="109"/>
      <c r="DCI30" s="109"/>
      <c r="DCJ30" s="109"/>
      <c r="DCK30" s="109"/>
      <c r="DCL30" s="109"/>
      <c r="DCM30" s="109"/>
      <c r="DCN30" s="109"/>
      <c r="DCO30" s="109"/>
      <c r="DCP30" s="109"/>
      <c r="DCQ30" s="109"/>
      <c r="DCR30" s="109"/>
      <c r="DCS30" s="109"/>
      <c r="DCT30" s="109"/>
      <c r="DCU30" s="109"/>
      <c r="DCV30" s="109"/>
      <c r="DCW30" s="109"/>
      <c r="DCX30" s="109"/>
      <c r="DCY30" s="109"/>
      <c r="DCZ30" s="109"/>
      <c r="DDA30" s="109"/>
      <c r="DDB30" s="109"/>
      <c r="DDC30" s="109"/>
      <c r="DDD30" s="109"/>
      <c r="DDE30" s="109"/>
      <c r="DDF30" s="109"/>
      <c r="DDG30" s="109"/>
      <c r="DDH30" s="109"/>
      <c r="DDI30" s="109"/>
      <c r="DDJ30" s="109"/>
      <c r="DDK30" s="109"/>
      <c r="DDL30" s="109"/>
      <c r="DDM30" s="109"/>
      <c r="DDN30" s="109"/>
      <c r="DDO30" s="109"/>
      <c r="DDP30" s="109"/>
      <c r="DDQ30" s="109"/>
      <c r="DDR30" s="109"/>
      <c r="DDS30" s="109"/>
      <c r="DDT30" s="109"/>
      <c r="DDU30" s="109"/>
      <c r="DDV30" s="109"/>
      <c r="DDW30" s="109"/>
      <c r="DDX30" s="109"/>
      <c r="DDY30" s="109"/>
      <c r="DDZ30" s="109"/>
      <c r="DEA30" s="109"/>
      <c r="DEB30" s="109"/>
      <c r="DEC30" s="109"/>
      <c r="DED30" s="109"/>
      <c r="DEE30" s="109"/>
      <c r="DEF30" s="109"/>
      <c r="DEG30" s="109"/>
      <c r="DEH30" s="109"/>
      <c r="DEI30" s="109"/>
      <c r="DEJ30" s="109"/>
      <c r="DEK30" s="109"/>
      <c r="DEL30" s="109"/>
      <c r="DEM30" s="109"/>
      <c r="DEN30" s="109"/>
      <c r="DEO30" s="109"/>
      <c r="DEP30" s="109"/>
      <c r="DEQ30" s="109"/>
      <c r="DER30" s="109"/>
      <c r="DES30" s="109"/>
      <c r="DET30" s="109"/>
      <c r="DEU30" s="109"/>
      <c r="DEV30" s="109"/>
      <c r="DEW30" s="109"/>
      <c r="DEX30" s="109"/>
      <c r="DEY30" s="109"/>
      <c r="DEZ30" s="109"/>
      <c r="DFA30" s="109"/>
      <c r="DFB30" s="109"/>
      <c r="DFC30" s="109"/>
      <c r="DFD30" s="109"/>
      <c r="DFE30" s="109"/>
      <c r="DFF30" s="109"/>
      <c r="DFG30" s="109"/>
      <c r="DFH30" s="109"/>
      <c r="DFI30" s="109"/>
      <c r="DFJ30" s="109"/>
      <c r="DFK30" s="109"/>
      <c r="DFL30" s="109"/>
      <c r="DFM30" s="109"/>
      <c r="DFN30" s="109"/>
      <c r="DFO30" s="109"/>
      <c r="DFP30" s="109"/>
      <c r="DFQ30" s="109"/>
      <c r="DFR30" s="109"/>
      <c r="DFS30" s="109"/>
      <c r="DFT30" s="109"/>
      <c r="DFU30" s="109"/>
      <c r="DFV30" s="109"/>
      <c r="DFW30" s="109"/>
      <c r="DFX30" s="109"/>
      <c r="DFY30" s="109"/>
      <c r="DFZ30" s="109"/>
      <c r="DGA30" s="109"/>
      <c r="DGB30" s="109"/>
      <c r="DGC30" s="109"/>
      <c r="DGD30" s="109"/>
      <c r="DGE30" s="109"/>
      <c r="DGF30" s="109"/>
      <c r="DGG30" s="109"/>
      <c r="DGH30" s="109"/>
      <c r="DGI30" s="109"/>
      <c r="DGJ30" s="109"/>
      <c r="DGK30" s="109"/>
      <c r="DGL30" s="109"/>
      <c r="DGM30" s="109"/>
      <c r="DGN30" s="109"/>
      <c r="DGO30" s="109"/>
      <c r="DGP30" s="109"/>
      <c r="DGQ30" s="109"/>
      <c r="DGR30" s="109"/>
      <c r="DGS30" s="109"/>
      <c r="DGT30" s="109"/>
      <c r="DGU30" s="109"/>
      <c r="DGV30" s="109"/>
      <c r="DGW30" s="109"/>
      <c r="DGX30" s="109"/>
      <c r="DGY30" s="109"/>
      <c r="DGZ30" s="109"/>
      <c r="DHA30" s="109"/>
      <c r="DHB30" s="109"/>
      <c r="DHC30" s="109"/>
      <c r="DHD30" s="109"/>
      <c r="DHE30" s="109"/>
      <c r="DHF30" s="109"/>
      <c r="DHG30" s="109"/>
      <c r="DHH30" s="109"/>
      <c r="DHI30" s="109"/>
      <c r="DHJ30" s="109"/>
      <c r="DHK30" s="109"/>
      <c r="DHL30" s="109"/>
      <c r="DHM30" s="109"/>
      <c r="DHN30" s="109"/>
      <c r="DHO30" s="109"/>
      <c r="DHP30" s="109"/>
      <c r="DHQ30" s="109"/>
      <c r="DHR30" s="109"/>
      <c r="DHS30" s="109"/>
      <c r="DHT30" s="109"/>
      <c r="DHU30" s="109"/>
      <c r="DHV30" s="109"/>
      <c r="DHW30" s="109"/>
      <c r="DHX30" s="109"/>
      <c r="DHY30" s="109"/>
      <c r="DHZ30" s="109"/>
      <c r="DIA30" s="109"/>
      <c r="DIB30" s="109"/>
      <c r="DIC30" s="109"/>
      <c r="DID30" s="109"/>
      <c r="DIE30" s="109"/>
      <c r="DIF30" s="109"/>
      <c r="DIG30" s="109"/>
      <c r="DIH30" s="109"/>
      <c r="DII30" s="109"/>
      <c r="DIJ30" s="109"/>
      <c r="DIK30" s="109"/>
      <c r="DIL30" s="109"/>
      <c r="DIM30" s="109"/>
      <c r="DIN30" s="109"/>
      <c r="DIO30" s="109"/>
      <c r="DIP30" s="109"/>
      <c r="DIQ30" s="109"/>
      <c r="DIR30" s="109"/>
      <c r="DIS30" s="109"/>
      <c r="DIT30" s="109"/>
      <c r="DIU30" s="109"/>
      <c r="DIV30" s="109"/>
      <c r="DIW30" s="109"/>
      <c r="DIX30" s="109"/>
      <c r="DIY30" s="109"/>
      <c r="DIZ30" s="109"/>
      <c r="DJA30" s="109"/>
      <c r="DJB30" s="109"/>
      <c r="DJC30" s="109"/>
      <c r="DJD30" s="109"/>
      <c r="DJE30" s="109"/>
      <c r="DJF30" s="109"/>
      <c r="DJG30" s="109"/>
      <c r="DJH30" s="109"/>
      <c r="DJI30" s="109"/>
      <c r="DJJ30" s="109"/>
      <c r="DJK30" s="109"/>
      <c r="DJL30" s="109"/>
      <c r="DJM30" s="109"/>
      <c r="DJN30" s="109"/>
      <c r="DJO30" s="109"/>
      <c r="DJP30" s="109"/>
      <c r="DJQ30" s="109"/>
      <c r="DJR30" s="109"/>
      <c r="DJS30" s="109"/>
      <c r="DJT30" s="109"/>
      <c r="DJU30" s="109"/>
      <c r="DJV30" s="109"/>
      <c r="DJW30" s="109"/>
      <c r="DJX30" s="109"/>
      <c r="DJY30" s="109"/>
      <c r="DJZ30" s="109"/>
      <c r="DKA30" s="109"/>
      <c r="DKB30" s="109"/>
      <c r="DKC30" s="109"/>
      <c r="DKD30" s="109"/>
      <c r="DKE30" s="109"/>
      <c r="DKF30" s="109"/>
      <c r="DKG30" s="109"/>
      <c r="DKH30" s="109"/>
      <c r="DKI30" s="109"/>
      <c r="DKJ30" s="109"/>
      <c r="DKK30" s="109"/>
      <c r="DKL30" s="109"/>
      <c r="DKM30" s="109"/>
      <c r="DKN30" s="109"/>
      <c r="DKO30" s="109"/>
      <c r="DKP30" s="109"/>
      <c r="DKQ30" s="109"/>
      <c r="DKR30" s="109"/>
      <c r="DKS30" s="109"/>
      <c r="DKT30" s="109"/>
      <c r="DKU30" s="109"/>
      <c r="DKV30" s="109"/>
      <c r="DKW30" s="109"/>
      <c r="DKX30" s="109"/>
      <c r="DKY30" s="109"/>
      <c r="DKZ30" s="109"/>
      <c r="DLA30" s="109"/>
      <c r="DLB30" s="109"/>
      <c r="DLC30" s="109"/>
      <c r="DLD30" s="109"/>
      <c r="DLE30" s="109"/>
      <c r="DLF30" s="109"/>
      <c r="DLG30" s="109"/>
      <c r="DLH30" s="109"/>
      <c r="DLI30" s="109"/>
      <c r="DLJ30" s="109"/>
      <c r="DLK30" s="109"/>
      <c r="DLL30" s="109"/>
      <c r="DLM30" s="109"/>
      <c r="DLN30" s="109"/>
      <c r="DLO30" s="109"/>
      <c r="DLP30" s="109"/>
      <c r="DLQ30" s="109"/>
      <c r="DLR30" s="109"/>
      <c r="DLS30" s="109"/>
      <c r="DLT30" s="109"/>
      <c r="DLU30" s="109"/>
      <c r="DLV30" s="109"/>
      <c r="DLW30" s="109"/>
      <c r="DLX30" s="109"/>
      <c r="DLY30" s="109"/>
      <c r="DLZ30" s="109"/>
      <c r="DMA30" s="109"/>
      <c r="DMB30" s="109"/>
      <c r="DMC30" s="109"/>
      <c r="DMD30" s="109"/>
      <c r="DME30" s="109"/>
      <c r="DMF30" s="109"/>
      <c r="DMG30" s="109"/>
      <c r="DMH30" s="109"/>
      <c r="DMI30" s="109"/>
      <c r="DMJ30" s="109"/>
      <c r="DMK30" s="109"/>
      <c r="DML30" s="109"/>
      <c r="DMM30" s="109"/>
      <c r="DMN30" s="109"/>
      <c r="DMO30" s="109"/>
      <c r="DMP30" s="109"/>
      <c r="DMQ30" s="109"/>
      <c r="DMR30" s="109"/>
      <c r="DMS30" s="109"/>
      <c r="DMT30" s="109"/>
      <c r="DMU30" s="109"/>
      <c r="DMV30" s="109"/>
      <c r="DMW30" s="109"/>
      <c r="DMX30" s="109"/>
      <c r="DMY30" s="109"/>
      <c r="DMZ30" s="109"/>
      <c r="DNA30" s="109"/>
      <c r="DNB30" s="109"/>
      <c r="DNC30" s="109"/>
      <c r="DND30" s="109"/>
      <c r="DNE30" s="109"/>
      <c r="DNF30" s="109"/>
      <c r="DNG30" s="109"/>
      <c r="DNH30" s="109"/>
      <c r="DNI30" s="109"/>
      <c r="DNJ30" s="109"/>
      <c r="DNK30" s="109"/>
      <c r="DNL30" s="109"/>
      <c r="DNM30" s="109"/>
      <c r="DNN30" s="109"/>
      <c r="DNO30" s="109"/>
      <c r="DNP30" s="109"/>
      <c r="DNQ30" s="109"/>
      <c r="DNR30" s="109"/>
      <c r="DNS30" s="109"/>
      <c r="DNT30" s="109"/>
      <c r="DNU30" s="109"/>
      <c r="DNV30" s="109"/>
      <c r="DNW30" s="109"/>
      <c r="DNX30" s="109"/>
      <c r="DNY30" s="109"/>
      <c r="DNZ30" s="109"/>
      <c r="DOA30" s="109"/>
      <c r="DOB30" s="109"/>
      <c r="DOC30" s="109"/>
      <c r="DOD30" s="109"/>
      <c r="DOE30" s="109"/>
      <c r="DOF30" s="109"/>
      <c r="DOG30" s="109"/>
      <c r="DOH30" s="109"/>
      <c r="DOI30" s="109"/>
      <c r="DOJ30" s="109"/>
      <c r="DOK30" s="109"/>
      <c r="DOL30" s="109"/>
      <c r="DOM30" s="109"/>
      <c r="DON30" s="109"/>
      <c r="DOO30" s="109"/>
      <c r="DOP30" s="109"/>
      <c r="DOQ30" s="109"/>
      <c r="DOR30" s="109"/>
      <c r="DOS30" s="109"/>
      <c r="DOT30" s="109"/>
      <c r="DOU30" s="109"/>
      <c r="DOV30" s="109"/>
      <c r="DOW30" s="109"/>
      <c r="DOX30" s="109"/>
      <c r="DOY30" s="109"/>
      <c r="DOZ30" s="109"/>
      <c r="DPA30" s="109"/>
      <c r="DPB30" s="109"/>
      <c r="DPC30" s="109"/>
      <c r="DPD30" s="109"/>
      <c r="DPE30" s="109"/>
      <c r="DPF30" s="109"/>
      <c r="DPG30" s="109"/>
      <c r="DPH30" s="109"/>
      <c r="DPI30" s="109"/>
      <c r="DPJ30" s="109"/>
      <c r="DPK30" s="109"/>
      <c r="DPL30" s="109"/>
      <c r="DPM30" s="109"/>
      <c r="DPN30" s="109"/>
      <c r="DPO30" s="109"/>
      <c r="DPP30" s="109"/>
      <c r="DPQ30" s="109"/>
      <c r="DPR30" s="109"/>
      <c r="DPS30" s="109"/>
      <c r="DPT30" s="109"/>
      <c r="DPU30" s="109"/>
      <c r="DPV30" s="109"/>
      <c r="DPW30" s="109"/>
      <c r="DPX30" s="109"/>
      <c r="DPY30" s="109"/>
      <c r="DPZ30" s="109"/>
      <c r="DQA30" s="109"/>
      <c r="DQB30" s="109"/>
      <c r="DQC30" s="109"/>
      <c r="DQD30" s="109"/>
      <c r="DQE30" s="109"/>
      <c r="DQF30" s="109"/>
      <c r="DQG30" s="109"/>
      <c r="DQH30" s="109"/>
      <c r="DQI30" s="109"/>
      <c r="DQJ30" s="109"/>
      <c r="DQK30" s="109"/>
      <c r="DQL30" s="109"/>
      <c r="DQM30" s="109"/>
      <c r="DQN30" s="109"/>
      <c r="DQO30" s="109"/>
      <c r="DQP30" s="109"/>
      <c r="DQQ30" s="109"/>
      <c r="DQR30" s="109"/>
      <c r="DQS30" s="109"/>
      <c r="DQT30" s="109"/>
      <c r="DQU30" s="109"/>
      <c r="DQV30" s="109"/>
      <c r="DQW30" s="109"/>
      <c r="DQX30" s="109"/>
      <c r="DQY30" s="109"/>
      <c r="DQZ30" s="109"/>
      <c r="DRA30" s="109"/>
      <c r="DRB30" s="109"/>
      <c r="DRC30" s="109"/>
      <c r="DRD30" s="109"/>
      <c r="DRE30" s="109"/>
      <c r="DRF30" s="109"/>
      <c r="DRG30" s="109"/>
      <c r="DRH30" s="109"/>
      <c r="DRI30" s="109"/>
      <c r="DRJ30" s="109"/>
      <c r="DRK30" s="109"/>
      <c r="DRL30" s="109"/>
      <c r="DRM30" s="109"/>
      <c r="DRN30" s="109"/>
      <c r="DRO30" s="109"/>
      <c r="DRP30" s="109"/>
      <c r="DRQ30" s="109"/>
      <c r="DRR30" s="109"/>
      <c r="DRS30" s="109"/>
      <c r="DRT30" s="109"/>
      <c r="DRU30" s="109"/>
      <c r="DRV30" s="109"/>
      <c r="DRW30" s="109"/>
      <c r="DRX30" s="109"/>
      <c r="DRY30" s="109"/>
      <c r="DRZ30" s="109"/>
      <c r="DSA30" s="109"/>
      <c r="DSB30" s="109"/>
      <c r="DSC30" s="109"/>
      <c r="DSD30" s="109"/>
      <c r="DSE30" s="109"/>
      <c r="DSF30" s="109"/>
      <c r="DSG30" s="109"/>
      <c r="DSH30" s="109"/>
      <c r="DSI30" s="109"/>
      <c r="DSJ30" s="109"/>
      <c r="DSK30" s="109"/>
      <c r="DSL30" s="109"/>
      <c r="DSM30" s="109"/>
      <c r="DSN30" s="109"/>
      <c r="DSO30" s="109"/>
      <c r="DSP30" s="109"/>
      <c r="DSQ30" s="109"/>
      <c r="DSR30" s="109"/>
      <c r="DSS30" s="109"/>
      <c r="DST30" s="109"/>
      <c r="DSU30" s="109"/>
      <c r="DSV30" s="109"/>
      <c r="DSW30" s="109"/>
      <c r="DSX30" s="109"/>
      <c r="DSY30" s="109"/>
      <c r="DSZ30" s="109"/>
      <c r="DTA30" s="109"/>
      <c r="DTB30" s="109"/>
      <c r="DTC30" s="109"/>
      <c r="DTD30" s="109"/>
      <c r="DTE30" s="109"/>
      <c r="DTF30" s="109"/>
      <c r="DTG30" s="109"/>
      <c r="DTH30" s="109"/>
      <c r="DTI30" s="109"/>
      <c r="DTJ30" s="109"/>
      <c r="DTK30" s="109"/>
      <c r="DTL30" s="109"/>
      <c r="DTM30" s="109"/>
      <c r="DTN30" s="109"/>
      <c r="DTO30" s="109"/>
      <c r="DTP30" s="109"/>
      <c r="DTQ30" s="109"/>
      <c r="DTR30" s="109"/>
      <c r="DTS30" s="109"/>
      <c r="DTT30" s="109"/>
      <c r="DTU30" s="109"/>
      <c r="DTV30" s="109"/>
      <c r="DTW30" s="109"/>
      <c r="DTX30" s="109"/>
      <c r="DTY30" s="109"/>
      <c r="DTZ30" s="109"/>
      <c r="DUA30" s="109"/>
      <c r="DUB30" s="109"/>
      <c r="DUC30" s="109"/>
      <c r="DUD30" s="109"/>
      <c r="DUE30" s="109"/>
      <c r="DUF30" s="109"/>
      <c r="DUG30" s="109"/>
      <c r="DUH30" s="109"/>
      <c r="DUI30" s="109"/>
      <c r="DUJ30" s="109"/>
      <c r="DUK30" s="109"/>
      <c r="DUL30" s="109"/>
      <c r="DUM30" s="109"/>
      <c r="DUN30" s="109"/>
      <c r="DUO30" s="109"/>
      <c r="DUP30" s="109"/>
      <c r="DUQ30" s="109"/>
      <c r="DUR30" s="109"/>
      <c r="DUS30" s="109"/>
      <c r="DUT30" s="109"/>
      <c r="DUU30" s="109"/>
      <c r="DUV30" s="109"/>
      <c r="DUW30" s="109"/>
      <c r="DUX30" s="109"/>
      <c r="DUY30" s="109"/>
      <c r="DUZ30" s="109"/>
      <c r="DVA30" s="109"/>
      <c r="DVB30" s="109"/>
      <c r="DVC30" s="109"/>
      <c r="DVD30" s="109"/>
      <c r="DVE30" s="109"/>
      <c r="DVF30" s="109"/>
      <c r="DVG30" s="109"/>
      <c r="DVH30" s="109"/>
      <c r="DVI30" s="109"/>
      <c r="DVJ30" s="109"/>
      <c r="DVK30" s="109"/>
      <c r="DVL30" s="109"/>
      <c r="DVM30" s="109"/>
      <c r="DVN30" s="109"/>
      <c r="DVO30" s="109"/>
      <c r="DVP30" s="109"/>
      <c r="DVQ30" s="109"/>
      <c r="DVR30" s="109"/>
      <c r="DVS30" s="109"/>
      <c r="DVT30" s="109"/>
      <c r="DVU30" s="109"/>
      <c r="DVV30" s="109"/>
      <c r="DVW30" s="109"/>
      <c r="DVX30" s="109"/>
      <c r="DVY30" s="109"/>
      <c r="DVZ30" s="109"/>
      <c r="DWA30" s="109"/>
      <c r="DWB30" s="109"/>
      <c r="DWC30" s="109"/>
      <c r="DWD30" s="109"/>
      <c r="DWE30" s="109"/>
      <c r="DWF30" s="109"/>
      <c r="DWG30" s="109"/>
      <c r="DWH30" s="109"/>
      <c r="DWI30" s="109"/>
      <c r="DWJ30" s="109"/>
      <c r="DWK30" s="109"/>
      <c r="DWL30" s="109"/>
      <c r="DWM30" s="109"/>
      <c r="DWN30" s="109"/>
      <c r="DWO30" s="109"/>
      <c r="DWP30" s="109"/>
      <c r="DWQ30" s="109"/>
      <c r="DWR30" s="109"/>
      <c r="DWS30" s="109"/>
      <c r="DWT30" s="109"/>
      <c r="DWU30" s="109"/>
      <c r="DWV30" s="109"/>
      <c r="DWW30" s="109"/>
      <c r="DWX30" s="109"/>
      <c r="DWY30" s="109"/>
      <c r="DWZ30" s="109"/>
      <c r="DXA30" s="109"/>
      <c r="DXB30" s="109"/>
      <c r="DXC30" s="109"/>
      <c r="DXD30" s="109"/>
      <c r="DXE30" s="109"/>
      <c r="DXF30" s="109"/>
      <c r="DXG30" s="109"/>
      <c r="DXH30" s="109"/>
      <c r="DXI30" s="109"/>
      <c r="DXJ30" s="109"/>
      <c r="DXK30" s="109"/>
      <c r="DXL30" s="109"/>
      <c r="DXM30" s="109"/>
      <c r="DXN30" s="109"/>
      <c r="DXO30" s="109"/>
      <c r="DXP30" s="109"/>
      <c r="DXQ30" s="109"/>
      <c r="DXR30" s="109"/>
      <c r="DXS30" s="109"/>
      <c r="DXT30" s="109"/>
      <c r="DXU30" s="109"/>
      <c r="DXV30" s="109"/>
      <c r="DXW30" s="109"/>
      <c r="DXX30" s="109"/>
      <c r="DXY30" s="109"/>
      <c r="DXZ30" s="109"/>
      <c r="DYA30" s="109"/>
      <c r="DYB30" s="109"/>
      <c r="DYC30" s="109"/>
      <c r="DYD30" s="109"/>
      <c r="DYE30" s="109"/>
      <c r="DYF30" s="109"/>
      <c r="DYG30" s="109"/>
      <c r="DYH30" s="109"/>
      <c r="DYI30" s="109"/>
      <c r="DYJ30" s="109"/>
      <c r="DYK30" s="109"/>
      <c r="DYL30" s="109"/>
      <c r="DYM30" s="109"/>
      <c r="DYN30" s="109"/>
      <c r="DYO30" s="109"/>
      <c r="DYP30" s="109"/>
      <c r="DYQ30" s="109"/>
      <c r="DYR30" s="109"/>
      <c r="DYS30" s="109"/>
      <c r="DYT30" s="109"/>
      <c r="DYU30" s="109"/>
      <c r="DYV30" s="109"/>
      <c r="DYW30" s="109"/>
      <c r="DYX30" s="109"/>
      <c r="DYY30" s="109"/>
      <c r="DYZ30" s="109"/>
      <c r="DZA30" s="109"/>
      <c r="DZB30" s="109"/>
      <c r="DZC30" s="109"/>
      <c r="DZD30" s="109"/>
      <c r="DZE30" s="109"/>
      <c r="DZF30" s="109"/>
      <c r="DZG30" s="109"/>
      <c r="DZH30" s="109"/>
      <c r="DZI30" s="109"/>
      <c r="DZJ30" s="109"/>
      <c r="DZK30" s="109"/>
      <c r="DZL30" s="109"/>
      <c r="DZM30" s="109"/>
      <c r="DZN30" s="109"/>
      <c r="DZO30" s="109"/>
      <c r="DZP30" s="109"/>
      <c r="DZQ30" s="109"/>
      <c r="DZR30" s="109"/>
      <c r="DZS30" s="109"/>
      <c r="DZT30" s="109"/>
      <c r="DZU30" s="109"/>
      <c r="DZV30" s="109"/>
      <c r="DZW30" s="109"/>
      <c r="DZX30" s="109"/>
      <c r="DZY30" s="109"/>
      <c r="DZZ30" s="109"/>
      <c r="EAA30" s="109"/>
      <c r="EAB30" s="109"/>
      <c r="EAC30" s="109"/>
      <c r="EAD30" s="109"/>
      <c r="EAE30" s="109"/>
      <c r="EAF30" s="109"/>
      <c r="EAG30" s="109"/>
      <c r="EAH30" s="109"/>
      <c r="EAI30" s="109"/>
      <c r="EAJ30" s="109"/>
      <c r="EAK30" s="109"/>
      <c r="EAL30" s="109"/>
      <c r="EAM30" s="109"/>
      <c r="EAN30" s="109"/>
      <c r="EAO30" s="109"/>
      <c r="EAP30" s="109"/>
      <c r="EAQ30" s="109"/>
      <c r="EAR30" s="109"/>
      <c r="EAS30" s="109"/>
      <c r="EAT30" s="109"/>
      <c r="EAU30" s="109"/>
      <c r="EAV30" s="109"/>
      <c r="EAW30" s="109"/>
      <c r="EAX30" s="109"/>
      <c r="EAY30" s="109"/>
      <c r="EAZ30" s="109"/>
      <c r="EBA30" s="109"/>
      <c r="EBB30" s="109"/>
      <c r="EBC30" s="109"/>
      <c r="EBD30" s="109"/>
      <c r="EBE30" s="109"/>
      <c r="EBF30" s="109"/>
      <c r="EBG30" s="109"/>
      <c r="EBH30" s="109"/>
      <c r="EBI30" s="109"/>
      <c r="EBJ30" s="109"/>
      <c r="EBK30" s="109"/>
      <c r="EBL30" s="109"/>
      <c r="EBM30" s="109"/>
      <c r="EBN30" s="109"/>
      <c r="EBO30" s="109"/>
      <c r="EBP30" s="109"/>
      <c r="EBQ30" s="109"/>
      <c r="EBR30" s="109"/>
      <c r="EBS30" s="109"/>
      <c r="EBT30" s="109"/>
      <c r="EBU30" s="109"/>
      <c r="EBV30" s="109"/>
      <c r="EBW30" s="109"/>
      <c r="EBX30" s="109"/>
      <c r="EBY30" s="109"/>
      <c r="EBZ30" s="109"/>
      <c r="ECA30" s="109"/>
      <c r="ECB30" s="109"/>
      <c r="ECC30" s="109"/>
      <c r="ECD30" s="109"/>
      <c r="ECE30" s="109"/>
      <c r="ECF30" s="109"/>
      <c r="ECG30" s="109"/>
      <c r="ECH30" s="109"/>
      <c r="ECI30" s="109"/>
      <c r="ECJ30" s="109"/>
      <c r="ECK30" s="109"/>
      <c r="ECL30" s="109"/>
      <c r="ECM30" s="109"/>
      <c r="ECN30" s="109"/>
      <c r="ECO30" s="109"/>
      <c r="ECP30" s="109"/>
      <c r="ECQ30" s="109"/>
      <c r="ECR30" s="109"/>
      <c r="ECS30" s="109"/>
      <c r="ECT30" s="109"/>
      <c r="ECU30" s="109"/>
      <c r="ECV30" s="109"/>
      <c r="ECW30" s="109"/>
      <c r="ECX30" s="109"/>
      <c r="ECY30" s="109"/>
      <c r="ECZ30" s="109"/>
      <c r="EDA30" s="109"/>
      <c r="EDB30" s="109"/>
      <c r="EDC30" s="109"/>
      <c r="EDD30" s="109"/>
      <c r="EDE30" s="109"/>
      <c r="EDF30" s="109"/>
      <c r="EDG30" s="109"/>
      <c r="EDH30" s="109"/>
      <c r="EDI30" s="109"/>
      <c r="EDJ30" s="109"/>
      <c r="EDK30" s="109"/>
      <c r="EDL30" s="109"/>
      <c r="EDM30" s="109"/>
      <c r="EDN30" s="109"/>
      <c r="EDO30" s="109"/>
      <c r="EDP30" s="109"/>
      <c r="EDQ30" s="109"/>
      <c r="EDR30" s="109"/>
      <c r="EDS30" s="109"/>
      <c r="EDT30" s="109"/>
      <c r="EDU30" s="109"/>
      <c r="EDV30" s="109"/>
      <c r="EDW30" s="109"/>
      <c r="EDX30" s="109"/>
      <c r="EDY30" s="109"/>
      <c r="EDZ30" s="109"/>
      <c r="EEA30" s="109"/>
      <c r="EEB30" s="109"/>
      <c r="EEC30" s="109"/>
      <c r="EED30" s="109"/>
      <c r="EEE30" s="109"/>
      <c r="EEF30" s="109"/>
      <c r="EEG30" s="109"/>
      <c r="EEH30" s="109"/>
      <c r="EEI30" s="109"/>
      <c r="EEJ30" s="109"/>
      <c r="EEK30" s="109"/>
      <c r="EEL30" s="109"/>
      <c r="EEM30" s="109"/>
      <c r="EEN30" s="109"/>
      <c r="EEO30" s="109"/>
      <c r="EEP30" s="109"/>
      <c r="EEQ30" s="109"/>
      <c r="EER30" s="109"/>
      <c r="EES30" s="109"/>
      <c r="EET30" s="109"/>
      <c r="EEU30" s="109"/>
      <c r="EEV30" s="109"/>
      <c r="EEW30" s="109"/>
      <c r="EEX30" s="109"/>
      <c r="EEY30" s="109"/>
      <c r="EEZ30" s="109"/>
      <c r="EFA30" s="109"/>
      <c r="EFB30" s="109"/>
      <c r="EFC30" s="109"/>
      <c r="EFD30" s="109"/>
      <c r="EFE30" s="109"/>
      <c r="EFF30" s="109"/>
      <c r="EFG30" s="109"/>
      <c r="EFH30" s="109"/>
      <c r="EFI30" s="109"/>
      <c r="EFJ30" s="109"/>
      <c r="EFK30" s="109"/>
      <c r="EFL30" s="109"/>
      <c r="EFM30" s="109"/>
      <c r="EFN30" s="109"/>
      <c r="EFO30" s="109"/>
      <c r="EFP30" s="109"/>
      <c r="EFQ30" s="109"/>
      <c r="EFR30" s="109"/>
      <c r="EFS30" s="109"/>
      <c r="EFT30" s="109"/>
      <c r="EFU30" s="109"/>
      <c r="EFV30" s="109"/>
      <c r="EFW30" s="109"/>
      <c r="EFX30" s="109"/>
      <c r="EFY30" s="109"/>
      <c r="EFZ30" s="109"/>
      <c r="EGA30" s="109"/>
      <c r="EGB30" s="109"/>
      <c r="EGC30" s="109"/>
      <c r="EGD30" s="109"/>
      <c r="EGE30" s="109"/>
      <c r="EGF30" s="109"/>
      <c r="EGG30" s="109"/>
      <c r="EGH30" s="109"/>
      <c r="EGI30" s="109"/>
      <c r="EGJ30" s="109"/>
      <c r="EGK30" s="109"/>
      <c r="EGL30" s="109"/>
      <c r="EGM30" s="109"/>
      <c r="EGN30" s="109"/>
      <c r="EGO30" s="109"/>
      <c r="EGP30" s="109"/>
      <c r="EGQ30" s="109"/>
      <c r="EGR30" s="109"/>
      <c r="EGS30" s="109"/>
      <c r="EGT30" s="109"/>
      <c r="EGU30" s="109"/>
      <c r="EGV30" s="109"/>
      <c r="EGW30" s="109"/>
      <c r="EGX30" s="109"/>
      <c r="EGY30" s="109"/>
      <c r="EGZ30" s="109"/>
      <c r="EHA30" s="109"/>
      <c r="EHB30" s="109"/>
      <c r="EHC30" s="109"/>
      <c r="EHD30" s="109"/>
      <c r="EHE30" s="109"/>
      <c r="EHF30" s="109"/>
      <c r="EHG30" s="109"/>
      <c r="EHH30" s="109"/>
      <c r="EHI30" s="109"/>
      <c r="EHJ30" s="109"/>
      <c r="EHK30" s="109"/>
      <c r="EHL30" s="109"/>
      <c r="EHM30" s="109"/>
      <c r="EHN30" s="109"/>
      <c r="EHO30" s="109"/>
      <c r="EHP30" s="109"/>
      <c r="EHQ30" s="109"/>
      <c r="EHR30" s="109"/>
      <c r="EHS30" s="109"/>
      <c r="EHT30" s="109"/>
      <c r="EHU30" s="109"/>
      <c r="EHV30" s="109"/>
      <c r="EHW30" s="109"/>
      <c r="EHX30" s="109"/>
      <c r="EHY30" s="109"/>
      <c r="EHZ30" s="109"/>
      <c r="EIA30" s="109"/>
      <c r="EIB30" s="109"/>
      <c r="EIC30" s="109"/>
      <c r="EID30" s="109"/>
      <c r="EIE30" s="109"/>
      <c r="EIF30" s="109"/>
      <c r="EIG30" s="109"/>
      <c r="EIH30" s="109"/>
      <c r="EII30" s="109"/>
      <c r="EIJ30" s="109"/>
      <c r="EIK30" s="109"/>
      <c r="EIL30" s="109"/>
      <c r="EIM30" s="109"/>
      <c r="EIN30" s="109"/>
      <c r="EIO30" s="109"/>
      <c r="EIP30" s="109"/>
      <c r="EIQ30" s="109"/>
      <c r="EIR30" s="109"/>
      <c r="EIS30" s="109"/>
      <c r="EIT30" s="109"/>
      <c r="EIU30" s="109"/>
      <c r="EIV30" s="109"/>
      <c r="EIW30" s="109"/>
      <c r="EIX30" s="109"/>
      <c r="EIY30" s="109"/>
      <c r="EIZ30" s="109"/>
      <c r="EJA30" s="109"/>
      <c r="EJB30" s="109"/>
      <c r="EJC30" s="109"/>
      <c r="EJD30" s="109"/>
      <c r="EJE30" s="109"/>
      <c r="EJF30" s="109"/>
      <c r="EJG30" s="109"/>
      <c r="EJH30" s="109"/>
      <c r="EJI30" s="109"/>
      <c r="EJJ30" s="109"/>
      <c r="EJK30" s="109"/>
      <c r="EJL30" s="109"/>
      <c r="EJM30" s="109"/>
      <c r="EJN30" s="109"/>
      <c r="EJO30" s="109"/>
      <c r="EJP30" s="109"/>
      <c r="EJQ30" s="109"/>
      <c r="EJR30" s="109"/>
      <c r="EJS30" s="109"/>
      <c r="EJT30" s="109"/>
      <c r="EJU30" s="109"/>
      <c r="EJV30" s="109"/>
      <c r="EJW30" s="109"/>
      <c r="EJX30" s="109"/>
      <c r="EJY30" s="109"/>
      <c r="EJZ30" s="109"/>
      <c r="EKA30" s="109"/>
      <c r="EKB30" s="109"/>
      <c r="EKC30" s="109"/>
      <c r="EKD30" s="109"/>
      <c r="EKE30" s="109"/>
      <c r="EKF30" s="109"/>
      <c r="EKG30" s="109"/>
      <c r="EKH30" s="109"/>
      <c r="EKI30" s="109"/>
      <c r="EKJ30" s="109"/>
      <c r="EKK30" s="109"/>
      <c r="EKL30" s="109"/>
      <c r="EKM30" s="109"/>
      <c r="EKN30" s="109"/>
      <c r="EKO30" s="109"/>
      <c r="EKP30" s="109"/>
      <c r="EKQ30" s="109"/>
      <c r="EKR30" s="109"/>
      <c r="EKS30" s="109"/>
      <c r="EKT30" s="109"/>
      <c r="EKU30" s="109"/>
      <c r="EKV30" s="109"/>
      <c r="EKW30" s="109"/>
      <c r="EKX30" s="109"/>
      <c r="EKY30" s="109"/>
      <c r="EKZ30" s="109"/>
      <c r="ELA30" s="109"/>
      <c r="ELB30" s="109"/>
      <c r="ELC30" s="109"/>
      <c r="ELD30" s="109"/>
      <c r="ELE30" s="109"/>
      <c r="ELF30" s="109"/>
      <c r="ELG30" s="109"/>
      <c r="ELH30" s="109"/>
      <c r="ELI30" s="109"/>
      <c r="ELJ30" s="109"/>
      <c r="ELK30" s="109"/>
      <c r="ELL30" s="109"/>
      <c r="ELM30" s="109"/>
      <c r="ELN30" s="109"/>
      <c r="ELO30" s="109"/>
      <c r="ELP30" s="109"/>
      <c r="ELQ30" s="109"/>
      <c r="ELR30" s="109"/>
      <c r="ELS30" s="109"/>
      <c r="ELT30" s="109"/>
      <c r="ELU30" s="109"/>
      <c r="ELV30" s="109"/>
      <c r="ELW30" s="109"/>
      <c r="ELX30" s="109"/>
      <c r="ELY30" s="109"/>
      <c r="ELZ30" s="109"/>
      <c r="EMA30" s="109"/>
      <c r="EMB30" s="109"/>
      <c r="EMC30" s="109"/>
      <c r="EMD30" s="109"/>
      <c r="EME30" s="109"/>
      <c r="EMF30" s="109"/>
      <c r="EMG30" s="109"/>
      <c r="EMH30" s="109"/>
      <c r="EMI30" s="109"/>
      <c r="EMJ30" s="109"/>
      <c r="EMK30" s="109"/>
      <c r="EML30" s="109"/>
      <c r="EMM30" s="109"/>
      <c r="EMN30" s="109"/>
      <c r="EMO30" s="109"/>
      <c r="EMP30" s="109"/>
      <c r="EMQ30" s="109"/>
      <c r="EMR30" s="109"/>
      <c r="EMS30" s="109"/>
      <c r="EMT30" s="109"/>
      <c r="EMU30" s="109"/>
      <c r="EMV30" s="109"/>
      <c r="EMW30" s="109"/>
      <c r="EMX30" s="109"/>
      <c r="EMY30" s="109"/>
      <c r="EMZ30" s="109"/>
      <c r="ENA30" s="109"/>
      <c r="ENB30" s="109"/>
      <c r="ENC30" s="109"/>
      <c r="END30" s="109"/>
      <c r="ENE30" s="109"/>
      <c r="ENF30" s="109"/>
      <c r="ENG30" s="109"/>
      <c r="ENH30" s="109"/>
      <c r="ENI30" s="109"/>
      <c r="ENJ30" s="109"/>
      <c r="ENK30" s="109"/>
      <c r="ENL30" s="109"/>
      <c r="ENM30" s="109"/>
      <c r="ENN30" s="109"/>
      <c r="ENO30" s="109"/>
      <c r="ENP30" s="109"/>
      <c r="ENQ30" s="109"/>
      <c r="ENR30" s="109"/>
      <c r="ENS30" s="109"/>
      <c r="ENT30" s="109"/>
      <c r="ENU30" s="109"/>
      <c r="ENV30" s="109"/>
      <c r="ENW30" s="109"/>
      <c r="ENX30" s="109"/>
      <c r="ENY30" s="109"/>
      <c r="ENZ30" s="109"/>
      <c r="EOA30" s="109"/>
      <c r="EOB30" s="109"/>
      <c r="EOC30" s="109"/>
      <c r="EOD30" s="109"/>
      <c r="EOE30" s="109"/>
      <c r="EOF30" s="109"/>
      <c r="EOG30" s="109"/>
      <c r="EOH30" s="109"/>
      <c r="EOI30" s="109"/>
      <c r="EOJ30" s="109"/>
      <c r="EOK30" s="109"/>
      <c r="EOL30" s="109"/>
      <c r="EOM30" s="109"/>
      <c r="EON30" s="109"/>
      <c r="EOO30" s="109"/>
      <c r="EOP30" s="109"/>
      <c r="EOQ30" s="109"/>
      <c r="EOR30" s="109"/>
      <c r="EOS30" s="109"/>
      <c r="EOT30" s="109"/>
      <c r="EOU30" s="109"/>
      <c r="EOV30" s="109"/>
      <c r="EOW30" s="109"/>
      <c r="EOX30" s="109"/>
      <c r="EOY30" s="109"/>
      <c r="EOZ30" s="109"/>
      <c r="EPA30" s="109"/>
      <c r="EPB30" s="109"/>
      <c r="EPC30" s="109"/>
      <c r="EPD30" s="109"/>
      <c r="EPE30" s="109"/>
      <c r="EPF30" s="109"/>
      <c r="EPG30" s="109"/>
      <c r="EPH30" s="109"/>
      <c r="EPI30" s="109"/>
      <c r="EPJ30" s="109"/>
      <c r="EPK30" s="109"/>
      <c r="EPL30" s="109"/>
      <c r="EPM30" s="109"/>
      <c r="EPN30" s="109"/>
      <c r="EPO30" s="109"/>
      <c r="EPP30" s="109"/>
      <c r="EPQ30" s="109"/>
      <c r="EPR30" s="109"/>
      <c r="EPS30" s="109"/>
      <c r="EPT30" s="109"/>
      <c r="EPU30" s="109"/>
      <c r="EPV30" s="109"/>
      <c r="EPW30" s="109"/>
      <c r="EPX30" s="109"/>
      <c r="EPY30" s="109"/>
      <c r="EPZ30" s="109"/>
      <c r="EQA30" s="109"/>
      <c r="EQB30" s="109"/>
      <c r="EQC30" s="109"/>
      <c r="EQD30" s="109"/>
      <c r="EQE30" s="109"/>
      <c r="EQF30" s="109"/>
      <c r="EQG30" s="109"/>
      <c r="EQH30" s="109"/>
      <c r="EQI30" s="109"/>
      <c r="EQJ30" s="109"/>
      <c r="EQK30" s="109"/>
      <c r="EQL30" s="109"/>
      <c r="EQM30" s="109"/>
      <c r="EQN30" s="109"/>
      <c r="EQO30" s="109"/>
      <c r="EQP30" s="109"/>
      <c r="EQQ30" s="109"/>
      <c r="EQR30" s="109"/>
      <c r="EQS30" s="109"/>
      <c r="EQT30" s="109"/>
      <c r="EQU30" s="109"/>
      <c r="EQV30" s="109"/>
      <c r="EQW30" s="109"/>
      <c r="EQX30" s="109"/>
      <c r="EQY30" s="109"/>
      <c r="EQZ30" s="109"/>
      <c r="ERA30" s="109"/>
      <c r="ERB30" s="109"/>
      <c r="ERC30" s="109"/>
      <c r="ERD30" s="109"/>
      <c r="ERE30" s="109"/>
      <c r="ERF30" s="109"/>
      <c r="ERG30" s="109"/>
      <c r="ERH30" s="109"/>
      <c r="ERI30" s="109"/>
      <c r="ERJ30" s="109"/>
      <c r="ERK30" s="109"/>
      <c r="ERL30" s="109"/>
      <c r="ERM30" s="109"/>
      <c r="ERN30" s="109"/>
      <c r="ERO30" s="109"/>
      <c r="ERP30" s="109"/>
      <c r="ERQ30" s="109"/>
      <c r="ERR30" s="109"/>
      <c r="ERS30" s="109"/>
      <c r="ERT30" s="109"/>
      <c r="ERU30" s="109"/>
      <c r="ERV30" s="109"/>
      <c r="ERW30" s="109"/>
      <c r="ERX30" s="109"/>
      <c r="ERY30" s="109"/>
      <c r="ERZ30" s="109"/>
      <c r="ESA30" s="109"/>
      <c r="ESB30" s="109"/>
      <c r="ESC30" s="109"/>
      <c r="ESD30" s="109"/>
      <c r="ESE30" s="109"/>
      <c r="ESF30" s="109"/>
      <c r="ESG30" s="109"/>
      <c r="ESH30" s="109"/>
      <c r="ESI30" s="109"/>
      <c r="ESJ30" s="109"/>
      <c r="ESK30" s="109"/>
      <c r="ESL30" s="109"/>
      <c r="ESM30" s="109"/>
      <c r="ESN30" s="109"/>
      <c r="ESO30" s="109"/>
      <c r="ESP30" s="109"/>
      <c r="ESQ30" s="109"/>
      <c r="ESR30" s="109"/>
      <c r="ESS30" s="109"/>
      <c r="EST30" s="109"/>
      <c r="ESU30" s="109"/>
      <c r="ESV30" s="109"/>
      <c r="ESW30" s="109"/>
      <c r="ESX30" s="109"/>
      <c r="ESY30" s="109"/>
      <c r="ESZ30" s="109"/>
      <c r="ETA30" s="109"/>
      <c r="ETB30" s="109"/>
      <c r="ETC30" s="109"/>
      <c r="ETD30" s="109"/>
      <c r="ETE30" s="109"/>
      <c r="ETF30" s="109"/>
      <c r="ETG30" s="109"/>
      <c r="ETH30" s="109"/>
      <c r="ETI30" s="109"/>
      <c r="ETJ30" s="109"/>
      <c r="ETK30" s="109"/>
      <c r="ETL30" s="109"/>
      <c r="ETM30" s="109"/>
      <c r="ETN30" s="109"/>
      <c r="ETO30" s="109"/>
      <c r="ETP30" s="109"/>
      <c r="ETQ30" s="109"/>
      <c r="ETR30" s="109"/>
      <c r="ETS30" s="109"/>
      <c r="ETT30" s="109"/>
      <c r="ETU30" s="109"/>
      <c r="ETV30" s="109"/>
      <c r="ETW30" s="109"/>
      <c r="ETX30" s="109"/>
      <c r="ETY30" s="109"/>
      <c r="ETZ30" s="109"/>
      <c r="EUA30" s="109"/>
      <c r="EUB30" s="109"/>
      <c r="EUC30" s="109"/>
      <c r="EUD30" s="109"/>
      <c r="EUE30" s="109"/>
      <c r="EUF30" s="109"/>
      <c r="EUG30" s="109"/>
      <c r="EUH30" s="109"/>
      <c r="EUI30" s="109"/>
      <c r="EUJ30" s="109"/>
      <c r="EUK30" s="109"/>
      <c r="EUL30" s="109"/>
      <c r="EUM30" s="109"/>
      <c r="EUN30" s="109"/>
      <c r="EUO30" s="109"/>
      <c r="EUP30" s="109"/>
      <c r="EUQ30" s="109"/>
      <c r="EUR30" s="109"/>
      <c r="EUS30" s="109"/>
      <c r="EUT30" s="109"/>
      <c r="EUU30" s="109"/>
      <c r="EUV30" s="109"/>
      <c r="EUW30" s="109"/>
      <c r="EUX30" s="109"/>
      <c r="EUY30" s="109"/>
      <c r="EUZ30" s="109"/>
      <c r="EVA30" s="109"/>
      <c r="EVB30" s="109"/>
      <c r="EVC30" s="109"/>
      <c r="EVD30" s="109"/>
      <c r="EVE30" s="109"/>
      <c r="EVF30" s="109"/>
      <c r="EVG30" s="109"/>
      <c r="EVH30" s="109"/>
      <c r="EVI30" s="109"/>
      <c r="EVJ30" s="109"/>
      <c r="EVK30" s="109"/>
      <c r="EVL30" s="109"/>
      <c r="EVM30" s="109"/>
      <c r="EVN30" s="109"/>
      <c r="EVO30" s="109"/>
      <c r="EVP30" s="109"/>
      <c r="EVQ30" s="109"/>
      <c r="EVR30" s="109"/>
      <c r="EVS30" s="109"/>
      <c r="EVT30" s="109"/>
      <c r="EVU30" s="109"/>
      <c r="EVV30" s="109"/>
      <c r="EVW30" s="109"/>
      <c r="EVX30" s="109"/>
      <c r="EVY30" s="109"/>
      <c r="EVZ30" s="109"/>
      <c r="EWA30" s="109"/>
      <c r="EWB30" s="109"/>
      <c r="EWC30" s="109"/>
      <c r="EWD30" s="109"/>
      <c r="EWE30" s="109"/>
      <c r="EWF30" s="109"/>
      <c r="EWG30" s="109"/>
      <c r="EWH30" s="109"/>
      <c r="EWI30" s="109"/>
      <c r="EWJ30" s="109"/>
      <c r="EWK30" s="109"/>
      <c r="EWL30" s="109"/>
      <c r="EWM30" s="109"/>
      <c r="EWN30" s="109"/>
      <c r="EWO30" s="109"/>
      <c r="EWP30" s="109"/>
      <c r="EWQ30" s="109"/>
      <c r="EWR30" s="109"/>
      <c r="EWS30" s="109"/>
      <c r="EWT30" s="109"/>
      <c r="EWU30" s="109"/>
      <c r="EWV30" s="109"/>
      <c r="EWW30" s="109"/>
      <c r="EWX30" s="109"/>
      <c r="EWY30" s="109"/>
      <c r="EWZ30" s="109"/>
      <c r="EXA30" s="109"/>
      <c r="EXB30" s="109"/>
      <c r="EXC30" s="109"/>
      <c r="EXD30" s="109"/>
      <c r="EXE30" s="109"/>
      <c r="EXF30" s="109"/>
      <c r="EXG30" s="109"/>
      <c r="EXH30" s="109"/>
      <c r="EXI30" s="109"/>
      <c r="EXJ30" s="109"/>
      <c r="EXK30" s="109"/>
      <c r="EXL30" s="109"/>
      <c r="EXM30" s="109"/>
      <c r="EXN30" s="109"/>
      <c r="EXO30" s="109"/>
      <c r="EXP30" s="109"/>
      <c r="EXQ30" s="109"/>
      <c r="EXR30" s="109"/>
      <c r="EXS30" s="109"/>
      <c r="EXT30" s="109"/>
      <c r="EXU30" s="109"/>
      <c r="EXV30" s="109"/>
      <c r="EXW30" s="109"/>
      <c r="EXX30" s="109"/>
      <c r="EXY30" s="109"/>
      <c r="EXZ30" s="109"/>
      <c r="EYA30" s="109"/>
      <c r="EYB30" s="109"/>
      <c r="EYC30" s="109"/>
      <c r="EYD30" s="109"/>
      <c r="EYE30" s="109"/>
      <c r="EYF30" s="109"/>
      <c r="EYG30" s="109"/>
      <c r="EYH30" s="109"/>
      <c r="EYI30" s="109"/>
      <c r="EYJ30" s="109"/>
      <c r="EYK30" s="109"/>
      <c r="EYL30" s="109"/>
      <c r="EYM30" s="109"/>
      <c r="EYN30" s="109"/>
      <c r="EYO30" s="109"/>
      <c r="EYP30" s="109"/>
      <c r="EYQ30" s="109"/>
      <c r="EYR30" s="109"/>
      <c r="EYS30" s="109"/>
      <c r="EYT30" s="109"/>
      <c r="EYU30" s="109"/>
      <c r="EYV30" s="109"/>
      <c r="EYW30" s="109"/>
      <c r="EYX30" s="109"/>
      <c r="EYY30" s="109"/>
      <c r="EYZ30" s="109"/>
      <c r="EZA30" s="109"/>
      <c r="EZB30" s="109"/>
      <c r="EZC30" s="109"/>
      <c r="EZD30" s="109"/>
      <c r="EZE30" s="109"/>
      <c r="EZF30" s="109"/>
      <c r="EZG30" s="109"/>
      <c r="EZH30" s="109"/>
      <c r="EZI30" s="109"/>
      <c r="EZJ30" s="109"/>
      <c r="EZK30" s="109"/>
      <c r="EZL30" s="109"/>
      <c r="EZM30" s="109"/>
      <c r="EZN30" s="109"/>
      <c r="EZO30" s="109"/>
      <c r="EZP30" s="109"/>
      <c r="EZQ30" s="109"/>
      <c r="EZR30" s="109"/>
      <c r="EZS30" s="109"/>
      <c r="EZT30" s="109"/>
      <c r="EZU30" s="109"/>
      <c r="EZV30" s="109"/>
      <c r="EZW30" s="109"/>
      <c r="EZX30" s="109"/>
      <c r="EZY30" s="109"/>
      <c r="EZZ30" s="109"/>
      <c r="FAA30" s="109"/>
      <c r="FAB30" s="109"/>
      <c r="FAC30" s="109"/>
      <c r="FAD30" s="109"/>
      <c r="FAE30" s="109"/>
      <c r="FAF30" s="109"/>
      <c r="FAG30" s="109"/>
      <c r="FAH30" s="109"/>
      <c r="FAI30" s="109"/>
      <c r="FAJ30" s="109"/>
      <c r="FAK30" s="109"/>
      <c r="FAL30" s="109"/>
      <c r="FAM30" s="109"/>
      <c r="FAN30" s="109"/>
      <c r="FAO30" s="109"/>
      <c r="FAP30" s="109"/>
      <c r="FAQ30" s="109"/>
      <c r="FAR30" s="109"/>
      <c r="FAS30" s="109"/>
      <c r="FAT30" s="109"/>
      <c r="FAU30" s="109"/>
      <c r="FAV30" s="109"/>
      <c r="FAW30" s="109"/>
      <c r="FAX30" s="109"/>
      <c r="FAY30" s="109"/>
      <c r="FAZ30" s="109"/>
      <c r="FBA30" s="109"/>
      <c r="FBB30" s="109"/>
      <c r="FBC30" s="109"/>
      <c r="FBD30" s="109"/>
      <c r="FBE30" s="109"/>
      <c r="FBF30" s="109"/>
      <c r="FBG30" s="109"/>
      <c r="FBH30" s="109"/>
      <c r="FBI30" s="109"/>
      <c r="FBJ30" s="109"/>
      <c r="FBK30" s="109"/>
      <c r="FBL30" s="109"/>
      <c r="FBM30" s="109"/>
      <c r="FBN30" s="109"/>
      <c r="FBO30" s="109"/>
      <c r="FBP30" s="109"/>
      <c r="FBQ30" s="109"/>
      <c r="FBR30" s="109"/>
      <c r="FBS30" s="109"/>
      <c r="FBT30" s="109"/>
      <c r="FBU30" s="109"/>
      <c r="FBV30" s="109"/>
      <c r="FBW30" s="109"/>
      <c r="FBX30" s="109"/>
      <c r="FBY30" s="109"/>
      <c r="FBZ30" s="109"/>
      <c r="FCA30" s="109"/>
      <c r="FCB30" s="109"/>
      <c r="FCC30" s="109"/>
      <c r="FCD30" s="109"/>
      <c r="FCE30" s="109"/>
      <c r="FCF30" s="109"/>
      <c r="FCG30" s="109"/>
      <c r="FCH30" s="109"/>
      <c r="FCI30" s="109"/>
      <c r="FCJ30" s="109"/>
      <c r="FCK30" s="109"/>
      <c r="FCL30" s="109"/>
      <c r="FCM30" s="109"/>
      <c r="FCN30" s="109"/>
      <c r="FCO30" s="109"/>
      <c r="FCP30" s="109"/>
      <c r="FCQ30" s="109"/>
      <c r="FCR30" s="109"/>
      <c r="FCS30" s="109"/>
      <c r="FCT30" s="109"/>
      <c r="FCU30" s="109"/>
      <c r="FCV30" s="109"/>
      <c r="FCW30" s="109"/>
      <c r="FCX30" s="109"/>
      <c r="FCY30" s="109"/>
      <c r="FCZ30" s="109"/>
      <c r="FDA30" s="109"/>
      <c r="FDB30" s="109"/>
      <c r="FDC30" s="109"/>
      <c r="FDD30" s="109"/>
      <c r="FDE30" s="109"/>
      <c r="FDF30" s="109"/>
      <c r="FDG30" s="109"/>
      <c r="FDH30" s="109"/>
      <c r="FDI30" s="109"/>
      <c r="FDJ30" s="109"/>
      <c r="FDK30" s="109"/>
      <c r="FDL30" s="109"/>
      <c r="FDM30" s="109"/>
      <c r="FDN30" s="109"/>
      <c r="FDO30" s="109"/>
      <c r="FDP30" s="109"/>
      <c r="FDQ30" s="109"/>
      <c r="FDR30" s="109"/>
      <c r="FDS30" s="109"/>
      <c r="FDT30" s="109"/>
      <c r="FDU30" s="109"/>
      <c r="FDV30" s="109"/>
      <c r="FDW30" s="109"/>
      <c r="FDX30" s="109"/>
      <c r="FDY30" s="109"/>
      <c r="FDZ30" s="109"/>
      <c r="FEA30" s="109"/>
      <c r="FEB30" s="109"/>
      <c r="FEC30" s="109"/>
      <c r="FED30" s="109"/>
      <c r="FEE30" s="109"/>
      <c r="FEF30" s="109"/>
      <c r="FEG30" s="109"/>
      <c r="FEH30" s="109"/>
      <c r="FEI30" s="109"/>
      <c r="FEJ30" s="109"/>
      <c r="FEK30" s="109"/>
      <c r="FEL30" s="109"/>
      <c r="FEM30" s="109"/>
      <c r="FEN30" s="109"/>
      <c r="FEO30" s="109"/>
      <c r="FEP30" s="109"/>
      <c r="FEQ30" s="109"/>
      <c r="FER30" s="109"/>
      <c r="FES30" s="109"/>
      <c r="FET30" s="109"/>
      <c r="FEU30" s="109"/>
      <c r="FEV30" s="109"/>
      <c r="FEW30" s="109"/>
      <c r="FEX30" s="109"/>
      <c r="FEY30" s="109"/>
      <c r="FEZ30" s="109"/>
      <c r="FFA30" s="109"/>
      <c r="FFB30" s="109"/>
      <c r="FFC30" s="109"/>
      <c r="FFD30" s="109"/>
      <c r="FFE30" s="109"/>
      <c r="FFF30" s="109"/>
      <c r="FFG30" s="109"/>
      <c r="FFH30" s="109"/>
      <c r="FFI30" s="109"/>
      <c r="FFJ30" s="109"/>
      <c r="FFK30" s="109"/>
      <c r="FFL30" s="109"/>
      <c r="FFM30" s="109"/>
      <c r="FFN30" s="109"/>
      <c r="FFO30" s="109"/>
      <c r="FFP30" s="109"/>
      <c r="FFQ30" s="109"/>
      <c r="FFR30" s="109"/>
      <c r="FFS30" s="109"/>
      <c r="FFT30" s="109"/>
      <c r="FFU30" s="109"/>
      <c r="FFV30" s="109"/>
      <c r="FFW30" s="109"/>
      <c r="FFX30" s="109"/>
      <c r="FFY30" s="109"/>
      <c r="FFZ30" s="109"/>
      <c r="FGA30" s="109"/>
      <c r="FGB30" s="109"/>
      <c r="FGC30" s="109"/>
      <c r="FGD30" s="109"/>
      <c r="FGE30" s="109"/>
      <c r="FGF30" s="109"/>
      <c r="FGG30" s="109"/>
      <c r="FGH30" s="109"/>
      <c r="FGI30" s="109"/>
      <c r="FGJ30" s="109"/>
      <c r="FGK30" s="109"/>
      <c r="FGL30" s="109"/>
      <c r="FGM30" s="109"/>
      <c r="FGN30" s="109"/>
      <c r="FGO30" s="109"/>
      <c r="FGP30" s="109"/>
      <c r="FGQ30" s="109"/>
      <c r="FGR30" s="109"/>
      <c r="FGS30" s="109"/>
      <c r="FGT30" s="109"/>
      <c r="FGU30" s="109"/>
      <c r="FGV30" s="109"/>
      <c r="FGW30" s="109"/>
      <c r="FGX30" s="109"/>
      <c r="FGY30" s="109"/>
      <c r="FGZ30" s="109"/>
      <c r="FHA30" s="109"/>
      <c r="FHB30" s="109"/>
      <c r="FHC30" s="109"/>
      <c r="FHD30" s="109"/>
      <c r="FHE30" s="109"/>
      <c r="FHF30" s="109"/>
      <c r="FHG30" s="109"/>
      <c r="FHH30" s="109"/>
      <c r="FHI30" s="109"/>
      <c r="FHJ30" s="109"/>
      <c r="FHK30" s="109"/>
      <c r="FHL30" s="109"/>
      <c r="FHM30" s="109"/>
      <c r="FHN30" s="109"/>
      <c r="FHO30" s="109"/>
      <c r="FHP30" s="109"/>
      <c r="FHQ30" s="109"/>
      <c r="FHR30" s="109"/>
      <c r="FHS30" s="109"/>
      <c r="FHT30" s="109"/>
      <c r="FHU30" s="109"/>
      <c r="FHV30" s="109"/>
      <c r="FHW30" s="109"/>
      <c r="FHX30" s="109"/>
      <c r="FHY30" s="109"/>
      <c r="FHZ30" s="109"/>
      <c r="FIA30" s="109"/>
      <c r="FIB30" s="109"/>
      <c r="FIC30" s="109"/>
      <c r="FID30" s="109"/>
      <c r="FIE30" s="109"/>
      <c r="FIF30" s="109"/>
      <c r="FIG30" s="109"/>
      <c r="FIH30" s="109"/>
      <c r="FII30" s="109"/>
      <c r="FIJ30" s="109"/>
      <c r="FIK30" s="109"/>
      <c r="FIL30" s="109"/>
      <c r="FIM30" s="109"/>
      <c r="FIN30" s="109"/>
      <c r="FIO30" s="109"/>
      <c r="FIP30" s="109"/>
      <c r="FIQ30" s="109"/>
      <c r="FIR30" s="109"/>
      <c r="FIS30" s="109"/>
      <c r="FIT30" s="109"/>
      <c r="FIU30" s="109"/>
      <c r="FIV30" s="109"/>
      <c r="FIW30" s="109"/>
      <c r="FIX30" s="109"/>
      <c r="FIY30" s="109"/>
      <c r="FIZ30" s="109"/>
      <c r="FJA30" s="109"/>
      <c r="FJB30" s="109"/>
      <c r="FJC30" s="109"/>
      <c r="FJD30" s="109"/>
      <c r="FJE30" s="109"/>
      <c r="FJF30" s="109"/>
      <c r="FJG30" s="109"/>
      <c r="FJH30" s="109"/>
      <c r="FJI30" s="109"/>
      <c r="FJJ30" s="109"/>
      <c r="FJK30" s="109"/>
      <c r="FJL30" s="109"/>
      <c r="FJM30" s="109"/>
      <c r="FJN30" s="109"/>
      <c r="FJO30" s="109"/>
      <c r="FJP30" s="109"/>
      <c r="FJQ30" s="109"/>
      <c r="FJR30" s="109"/>
      <c r="FJS30" s="109"/>
      <c r="FJT30" s="109"/>
      <c r="FJU30" s="109"/>
      <c r="FJV30" s="109"/>
      <c r="FJW30" s="109"/>
      <c r="FJX30" s="109"/>
      <c r="FJY30" s="109"/>
      <c r="FJZ30" s="109"/>
      <c r="FKA30" s="109"/>
      <c r="FKB30" s="109"/>
      <c r="FKC30" s="109"/>
      <c r="FKD30" s="109"/>
      <c r="FKE30" s="109"/>
      <c r="FKF30" s="109"/>
      <c r="FKG30" s="109"/>
      <c r="FKH30" s="109"/>
      <c r="FKI30" s="109"/>
      <c r="FKJ30" s="109"/>
      <c r="FKK30" s="109"/>
      <c r="FKL30" s="109"/>
      <c r="FKM30" s="109"/>
      <c r="FKN30" s="109"/>
      <c r="FKO30" s="109"/>
      <c r="FKP30" s="109"/>
      <c r="FKQ30" s="109"/>
      <c r="FKR30" s="109"/>
      <c r="FKS30" s="109"/>
      <c r="FKT30" s="109"/>
      <c r="FKU30" s="109"/>
      <c r="FKV30" s="109"/>
      <c r="FKW30" s="109"/>
      <c r="FKX30" s="109"/>
      <c r="FKY30" s="109"/>
      <c r="FKZ30" s="109"/>
      <c r="FLA30" s="109"/>
      <c r="FLB30" s="109"/>
      <c r="FLC30" s="109"/>
      <c r="FLD30" s="109"/>
      <c r="FLE30" s="109"/>
      <c r="FLF30" s="109"/>
      <c r="FLG30" s="109"/>
      <c r="FLH30" s="109"/>
      <c r="FLI30" s="109"/>
      <c r="FLJ30" s="109"/>
      <c r="FLK30" s="109"/>
      <c r="FLL30" s="109"/>
      <c r="FLM30" s="109"/>
      <c r="FLN30" s="109"/>
      <c r="FLO30" s="109"/>
      <c r="FLP30" s="109"/>
      <c r="FLQ30" s="109"/>
      <c r="FLR30" s="109"/>
      <c r="FLS30" s="109"/>
      <c r="FLT30" s="109"/>
      <c r="FLU30" s="109"/>
      <c r="FLV30" s="109"/>
      <c r="FLW30" s="109"/>
      <c r="FLX30" s="109"/>
      <c r="FLY30" s="109"/>
      <c r="FLZ30" s="109"/>
      <c r="FMA30" s="109"/>
      <c r="FMB30" s="109"/>
      <c r="FMC30" s="109"/>
      <c r="FMD30" s="109"/>
      <c r="FME30" s="109"/>
      <c r="FMF30" s="109"/>
      <c r="FMG30" s="109"/>
      <c r="FMH30" s="109"/>
      <c r="FMI30" s="109"/>
      <c r="FMJ30" s="109"/>
      <c r="FMK30" s="109"/>
      <c r="FML30" s="109"/>
      <c r="FMM30" s="109"/>
      <c r="FMN30" s="109"/>
      <c r="FMO30" s="109"/>
      <c r="FMP30" s="109"/>
      <c r="FMQ30" s="109"/>
      <c r="FMR30" s="109"/>
      <c r="FMS30" s="109"/>
      <c r="FMT30" s="109"/>
      <c r="FMU30" s="109"/>
      <c r="FMV30" s="109"/>
      <c r="FMW30" s="109"/>
      <c r="FMX30" s="109"/>
      <c r="FMY30" s="109"/>
      <c r="FMZ30" s="109"/>
      <c r="FNA30" s="109"/>
      <c r="FNB30" s="109"/>
      <c r="FNC30" s="109"/>
      <c r="FND30" s="109"/>
      <c r="FNE30" s="109"/>
      <c r="FNF30" s="109"/>
      <c r="FNG30" s="109"/>
      <c r="FNH30" s="109"/>
      <c r="FNI30" s="109"/>
      <c r="FNJ30" s="109"/>
      <c r="FNK30" s="109"/>
      <c r="FNL30" s="109"/>
      <c r="FNM30" s="109"/>
      <c r="FNN30" s="109"/>
      <c r="FNO30" s="109"/>
      <c r="FNP30" s="109"/>
      <c r="FNQ30" s="109"/>
      <c r="FNR30" s="109"/>
      <c r="FNS30" s="109"/>
      <c r="FNT30" s="109"/>
      <c r="FNU30" s="109"/>
      <c r="FNV30" s="109"/>
      <c r="FNW30" s="109"/>
      <c r="FNX30" s="109"/>
      <c r="FNY30" s="109"/>
      <c r="FNZ30" s="109"/>
      <c r="FOA30" s="109"/>
      <c r="FOB30" s="109"/>
      <c r="FOC30" s="109"/>
      <c r="FOD30" s="109"/>
      <c r="FOE30" s="109"/>
      <c r="FOF30" s="109"/>
      <c r="FOG30" s="109"/>
      <c r="FOH30" s="109"/>
      <c r="FOI30" s="109"/>
      <c r="FOJ30" s="109"/>
      <c r="FOK30" s="109"/>
      <c r="FOL30" s="109"/>
      <c r="FOM30" s="109"/>
      <c r="FON30" s="109"/>
      <c r="FOO30" s="109"/>
      <c r="FOP30" s="109"/>
      <c r="FOQ30" s="109"/>
      <c r="FOR30" s="109"/>
      <c r="FOS30" s="109"/>
      <c r="FOT30" s="109"/>
      <c r="FOU30" s="109"/>
      <c r="FOV30" s="109"/>
      <c r="FOW30" s="109"/>
      <c r="FOX30" s="109"/>
      <c r="FOY30" s="109"/>
      <c r="FOZ30" s="109"/>
      <c r="FPA30" s="109"/>
      <c r="FPB30" s="109"/>
      <c r="FPC30" s="109"/>
      <c r="FPD30" s="109"/>
      <c r="FPE30" s="109"/>
      <c r="FPF30" s="109"/>
      <c r="FPG30" s="109"/>
      <c r="FPH30" s="109"/>
      <c r="FPI30" s="109"/>
      <c r="FPJ30" s="109"/>
      <c r="FPK30" s="109"/>
      <c r="FPL30" s="109"/>
      <c r="FPM30" s="109"/>
      <c r="FPN30" s="109"/>
      <c r="FPO30" s="109"/>
      <c r="FPP30" s="109"/>
      <c r="FPQ30" s="109"/>
      <c r="FPR30" s="109"/>
      <c r="FPS30" s="109"/>
      <c r="FPT30" s="109"/>
      <c r="FPU30" s="109"/>
      <c r="FPV30" s="109"/>
      <c r="FPW30" s="109"/>
      <c r="FPX30" s="109"/>
      <c r="FPY30" s="109"/>
      <c r="FPZ30" s="109"/>
      <c r="FQA30" s="109"/>
      <c r="FQB30" s="109"/>
      <c r="FQC30" s="109"/>
      <c r="FQD30" s="109"/>
      <c r="FQE30" s="109"/>
      <c r="FQF30" s="109"/>
      <c r="FQG30" s="109"/>
      <c r="FQH30" s="109"/>
      <c r="FQI30" s="109"/>
      <c r="FQJ30" s="109"/>
      <c r="FQK30" s="109"/>
      <c r="FQL30" s="109"/>
      <c r="FQM30" s="109"/>
      <c r="FQN30" s="109"/>
      <c r="FQO30" s="109"/>
      <c r="FQP30" s="109"/>
      <c r="FQQ30" s="109"/>
      <c r="FQR30" s="109"/>
      <c r="FQS30" s="109"/>
      <c r="FQT30" s="109"/>
      <c r="FQU30" s="109"/>
      <c r="FQV30" s="109"/>
      <c r="FQW30" s="109"/>
      <c r="FQX30" s="109"/>
      <c r="FQY30" s="109"/>
      <c r="FQZ30" s="109"/>
      <c r="FRA30" s="109"/>
      <c r="FRB30" s="109"/>
      <c r="FRC30" s="109"/>
      <c r="FRD30" s="109"/>
      <c r="FRE30" s="109"/>
      <c r="FRF30" s="109"/>
      <c r="FRG30" s="109"/>
      <c r="FRH30" s="109"/>
      <c r="FRI30" s="109"/>
      <c r="FRJ30" s="109"/>
      <c r="FRK30" s="109"/>
      <c r="FRL30" s="109"/>
      <c r="FRM30" s="109"/>
      <c r="FRN30" s="109"/>
      <c r="FRO30" s="109"/>
      <c r="FRP30" s="109"/>
      <c r="FRQ30" s="109"/>
      <c r="FRR30" s="109"/>
      <c r="FRS30" s="109"/>
      <c r="FRT30" s="109"/>
      <c r="FRU30" s="109"/>
      <c r="FRV30" s="109"/>
      <c r="FRW30" s="109"/>
      <c r="FRX30" s="109"/>
      <c r="FRY30" s="109"/>
      <c r="FRZ30" s="109"/>
      <c r="FSA30" s="109"/>
      <c r="FSB30" s="109"/>
      <c r="FSC30" s="109"/>
      <c r="FSD30" s="109"/>
      <c r="FSE30" s="109"/>
      <c r="FSF30" s="109"/>
      <c r="FSG30" s="109"/>
      <c r="FSH30" s="109"/>
      <c r="FSI30" s="109"/>
      <c r="FSJ30" s="109"/>
      <c r="FSK30" s="109"/>
      <c r="FSL30" s="109"/>
      <c r="FSM30" s="109"/>
      <c r="FSN30" s="109"/>
      <c r="FSO30" s="109"/>
      <c r="FSP30" s="109"/>
      <c r="FSQ30" s="109"/>
      <c r="FSR30" s="109"/>
      <c r="FSS30" s="109"/>
      <c r="FST30" s="109"/>
      <c r="FSU30" s="109"/>
      <c r="FSV30" s="109"/>
      <c r="FSW30" s="109"/>
      <c r="FSX30" s="109"/>
      <c r="FSY30" s="109"/>
      <c r="FSZ30" s="109"/>
      <c r="FTA30" s="109"/>
      <c r="FTB30" s="109"/>
      <c r="FTC30" s="109"/>
      <c r="FTD30" s="109"/>
      <c r="FTE30" s="109"/>
      <c r="FTF30" s="109"/>
      <c r="FTG30" s="109"/>
      <c r="FTH30" s="109"/>
      <c r="FTI30" s="109"/>
      <c r="FTJ30" s="109"/>
      <c r="FTK30" s="109"/>
      <c r="FTL30" s="109"/>
      <c r="FTM30" s="109"/>
      <c r="FTN30" s="109"/>
      <c r="FTO30" s="109"/>
      <c r="FTP30" s="109"/>
      <c r="FTQ30" s="109"/>
      <c r="FTR30" s="109"/>
      <c r="FTS30" s="109"/>
      <c r="FTT30" s="109"/>
      <c r="FTU30" s="109"/>
      <c r="FTV30" s="109"/>
      <c r="FTW30" s="109"/>
      <c r="FTX30" s="109"/>
      <c r="FTY30" s="109"/>
      <c r="FTZ30" s="109"/>
      <c r="FUA30" s="109"/>
      <c r="FUB30" s="109"/>
      <c r="FUC30" s="109"/>
      <c r="FUD30" s="109"/>
      <c r="FUE30" s="109"/>
      <c r="FUF30" s="109"/>
      <c r="FUG30" s="109"/>
      <c r="FUH30" s="109"/>
      <c r="FUI30" s="109"/>
      <c r="FUJ30" s="109"/>
      <c r="FUK30" s="109"/>
      <c r="FUL30" s="109"/>
      <c r="FUM30" s="109"/>
      <c r="FUN30" s="109"/>
      <c r="FUO30" s="109"/>
      <c r="FUP30" s="109"/>
      <c r="FUQ30" s="109"/>
      <c r="FUR30" s="109"/>
      <c r="FUS30" s="109"/>
      <c r="FUT30" s="109"/>
      <c r="FUU30" s="109"/>
      <c r="FUV30" s="109"/>
      <c r="FUW30" s="109"/>
      <c r="FUX30" s="109"/>
      <c r="FUY30" s="109"/>
      <c r="FUZ30" s="109"/>
      <c r="FVA30" s="109"/>
      <c r="FVB30" s="109"/>
      <c r="FVC30" s="109"/>
      <c r="FVD30" s="109"/>
      <c r="FVE30" s="109"/>
      <c r="FVF30" s="109"/>
      <c r="FVG30" s="109"/>
      <c r="FVH30" s="109"/>
      <c r="FVI30" s="109"/>
      <c r="FVJ30" s="109"/>
      <c r="FVK30" s="109"/>
      <c r="FVL30" s="109"/>
      <c r="FVM30" s="109"/>
      <c r="FVN30" s="109"/>
      <c r="FVO30" s="109"/>
      <c r="FVP30" s="109"/>
      <c r="FVQ30" s="109"/>
      <c r="FVR30" s="109"/>
      <c r="FVS30" s="109"/>
      <c r="FVT30" s="109"/>
      <c r="FVU30" s="109"/>
      <c r="FVV30" s="109"/>
      <c r="FVW30" s="109"/>
      <c r="FVX30" s="109"/>
      <c r="FVY30" s="109"/>
      <c r="FVZ30" s="109"/>
      <c r="FWA30" s="109"/>
      <c r="FWB30" s="109"/>
      <c r="FWC30" s="109"/>
      <c r="FWD30" s="109"/>
      <c r="FWE30" s="109"/>
      <c r="FWF30" s="109"/>
      <c r="FWG30" s="109"/>
      <c r="FWH30" s="109"/>
      <c r="FWI30" s="109"/>
      <c r="FWJ30" s="109"/>
      <c r="FWK30" s="109"/>
      <c r="FWL30" s="109"/>
      <c r="FWM30" s="109"/>
      <c r="FWN30" s="109"/>
      <c r="FWO30" s="109"/>
      <c r="FWP30" s="109"/>
      <c r="FWQ30" s="109"/>
      <c r="FWR30" s="109"/>
      <c r="FWS30" s="109"/>
      <c r="FWT30" s="109"/>
      <c r="FWU30" s="109"/>
      <c r="FWV30" s="109"/>
      <c r="FWW30" s="109"/>
      <c r="FWX30" s="109"/>
      <c r="FWY30" s="109"/>
      <c r="FWZ30" s="109"/>
      <c r="FXA30" s="109"/>
      <c r="FXB30" s="109"/>
      <c r="FXC30" s="109"/>
      <c r="FXD30" s="109"/>
      <c r="FXE30" s="109"/>
      <c r="FXF30" s="109"/>
      <c r="FXG30" s="109"/>
      <c r="FXH30" s="109"/>
      <c r="FXI30" s="109"/>
      <c r="FXJ30" s="109"/>
      <c r="FXK30" s="109"/>
      <c r="FXL30" s="109"/>
      <c r="FXM30" s="109"/>
      <c r="FXN30" s="109"/>
      <c r="FXO30" s="109"/>
      <c r="FXP30" s="109"/>
      <c r="FXQ30" s="109"/>
      <c r="FXR30" s="109"/>
      <c r="FXS30" s="109"/>
      <c r="FXT30" s="109"/>
      <c r="FXU30" s="109"/>
      <c r="FXV30" s="109"/>
      <c r="FXW30" s="109"/>
      <c r="FXX30" s="109"/>
      <c r="FXY30" s="109"/>
      <c r="FXZ30" s="109"/>
      <c r="FYA30" s="109"/>
      <c r="FYB30" s="109"/>
      <c r="FYC30" s="109"/>
      <c r="FYD30" s="109"/>
      <c r="FYE30" s="109"/>
      <c r="FYF30" s="109"/>
      <c r="FYG30" s="109"/>
      <c r="FYH30" s="109"/>
      <c r="FYI30" s="109"/>
      <c r="FYJ30" s="109"/>
      <c r="FYK30" s="109"/>
      <c r="FYL30" s="109"/>
      <c r="FYM30" s="109"/>
      <c r="FYN30" s="109"/>
      <c r="FYO30" s="109"/>
      <c r="FYP30" s="109"/>
      <c r="FYQ30" s="109"/>
      <c r="FYR30" s="109"/>
      <c r="FYS30" s="109"/>
      <c r="FYT30" s="109"/>
      <c r="FYU30" s="109"/>
      <c r="FYV30" s="109"/>
      <c r="FYW30" s="109"/>
      <c r="FYX30" s="109"/>
      <c r="FYY30" s="109"/>
      <c r="FYZ30" s="109"/>
      <c r="FZA30" s="109"/>
      <c r="FZB30" s="109"/>
      <c r="FZC30" s="109"/>
      <c r="FZD30" s="109"/>
      <c r="FZE30" s="109"/>
      <c r="FZF30" s="109"/>
      <c r="FZG30" s="109"/>
      <c r="FZH30" s="109"/>
      <c r="FZI30" s="109"/>
      <c r="FZJ30" s="109"/>
      <c r="FZK30" s="109"/>
      <c r="FZL30" s="109"/>
      <c r="FZM30" s="109"/>
      <c r="FZN30" s="109"/>
      <c r="FZO30" s="109"/>
      <c r="FZP30" s="109"/>
      <c r="FZQ30" s="109"/>
      <c r="FZR30" s="109"/>
      <c r="FZS30" s="109"/>
      <c r="FZT30" s="109"/>
      <c r="FZU30" s="109"/>
      <c r="FZV30" s="109"/>
      <c r="FZW30" s="109"/>
      <c r="FZX30" s="109"/>
      <c r="FZY30" s="109"/>
      <c r="FZZ30" s="109"/>
      <c r="GAA30" s="109"/>
      <c r="GAB30" s="109"/>
      <c r="GAC30" s="109"/>
      <c r="GAD30" s="109"/>
      <c r="GAE30" s="109"/>
      <c r="GAF30" s="109"/>
      <c r="GAG30" s="109"/>
      <c r="GAH30" s="109"/>
      <c r="GAI30" s="109"/>
      <c r="GAJ30" s="109"/>
      <c r="GAK30" s="109"/>
      <c r="GAL30" s="109"/>
      <c r="GAM30" s="109"/>
      <c r="GAN30" s="109"/>
      <c r="GAO30" s="109"/>
      <c r="GAP30" s="109"/>
      <c r="GAQ30" s="109"/>
      <c r="GAR30" s="109"/>
      <c r="GAS30" s="109"/>
      <c r="GAT30" s="109"/>
      <c r="GAU30" s="109"/>
      <c r="GAV30" s="109"/>
      <c r="GAW30" s="109"/>
      <c r="GAX30" s="109"/>
      <c r="GAY30" s="109"/>
      <c r="GAZ30" s="109"/>
      <c r="GBA30" s="109"/>
      <c r="GBB30" s="109"/>
      <c r="GBC30" s="109"/>
      <c r="GBD30" s="109"/>
      <c r="GBE30" s="109"/>
      <c r="GBF30" s="109"/>
      <c r="GBG30" s="109"/>
      <c r="GBH30" s="109"/>
      <c r="GBI30" s="109"/>
      <c r="GBJ30" s="109"/>
      <c r="GBK30" s="109"/>
      <c r="GBL30" s="109"/>
      <c r="GBM30" s="109"/>
      <c r="GBN30" s="109"/>
      <c r="GBO30" s="109"/>
      <c r="GBP30" s="109"/>
      <c r="GBQ30" s="109"/>
      <c r="GBR30" s="109"/>
      <c r="GBS30" s="109"/>
      <c r="GBT30" s="109"/>
      <c r="GBU30" s="109"/>
      <c r="GBV30" s="109"/>
      <c r="GBW30" s="109"/>
      <c r="GBX30" s="109"/>
      <c r="GBY30" s="109"/>
      <c r="GBZ30" s="109"/>
      <c r="GCA30" s="109"/>
      <c r="GCB30" s="109"/>
      <c r="GCC30" s="109"/>
      <c r="GCD30" s="109"/>
      <c r="GCE30" s="109"/>
      <c r="GCF30" s="109"/>
      <c r="GCG30" s="109"/>
      <c r="GCH30" s="109"/>
      <c r="GCI30" s="109"/>
      <c r="GCJ30" s="109"/>
      <c r="GCK30" s="109"/>
      <c r="GCL30" s="109"/>
      <c r="GCM30" s="109"/>
      <c r="GCN30" s="109"/>
      <c r="GCO30" s="109"/>
      <c r="GCP30" s="109"/>
      <c r="GCQ30" s="109"/>
      <c r="GCR30" s="109"/>
      <c r="GCS30" s="109"/>
      <c r="GCT30" s="109"/>
      <c r="GCU30" s="109"/>
      <c r="GCV30" s="109"/>
      <c r="GCW30" s="109"/>
      <c r="GCX30" s="109"/>
      <c r="GCY30" s="109"/>
      <c r="GCZ30" s="109"/>
      <c r="GDA30" s="109"/>
      <c r="GDB30" s="109"/>
      <c r="GDC30" s="109"/>
      <c r="GDD30" s="109"/>
      <c r="GDE30" s="109"/>
      <c r="GDF30" s="109"/>
      <c r="GDG30" s="109"/>
      <c r="GDH30" s="109"/>
      <c r="GDI30" s="109"/>
      <c r="GDJ30" s="109"/>
      <c r="GDK30" s="109"/>
      <c r="GDL30" s="109"/>
      <c r="GDM30" s="109"/>
      <c r="GDN30" s="109"/>
      <c r="GDO30" s="109"/>
      <c r="GDP30" s="109"/>
      <c r="GDQ30" s="109"/>
      <c r="GDR30" s="109"/>
      <c r="GDS30" s="109"/>
      <c r="GDT30" s="109"/>
      <c r="GDU30" s="109"/>
      <c r="GDV30" s="109"/>
      <c r="GDW30" s="109"/>
      <c r="GDX30" s="109"/>
      <c r="GDY30" s="109"/>
      <c r="GDZ30" s="109"/>
      <c r="GEA30" s="109"/>
      <c r="GEB30" s="109"/>
      <c r="GEC30" s="109"/>
      <c r="GED30" s="109"/>
      <c r="GEE30" s="109"/>
      <c r="GEF30" s="109"/>
      <c r="GEG30" s="109"/>
      <c r="GEH30" s="109"/>
      <c r="GEI30" s="109"/>
      <c r="GEJ30" s="109"/>
      <c r="GEK30" s="109"/>
      <c r="GEL30" s="109"/>
      <c r="GEM30" s="109"/>
      <c r="GEN30" s="109"/>
      <c r="GEO30" s="109"/>
      <c r="GEP30" s="109"/>
      <c r="GEQ30" s="109"/>
      <c r="GER30" s="109"/>
      <c r="GES30" s="109"/>
      <c r="GET30" s="109"/>
      <c r="GEU30" s="109"/>
      <c r="GEV30" s="109"/>
      <c r="GEW30" s="109"/>
      <c r="GEX30" s="109"/>
      <c r="GEY30" s="109"/>
      <c r="GEZ30" s="109"/>
      <c r="GFA30" s="109"/>
      <c r="GFB30" s="109"/>
      <c r="GFC30" s="109"/>
      <c r="GFD30" s="109"/>
      <c r="GFE30" s="109"/>
      <c r="GFF30" s="109"/>
      <c r="GFG30" s="109"/>
      <c r="GFH30" s="109"/>
      <c r="GFI30" s="109"/>
      <c r="GFJ30" s="109"/>
      <c r="GFK30" s="109"/>
      <c r="GFL30" s="109"/>
      <c r="GFM30" s="109"/>
      <c r="GFN30" s="109"/>
      <c r="GFO30" s="109"/>
      <c r="GFP30" s="109"/>
      <c r="GFQ30" s="109"/>
      <c r="GFR30" s="109"/>
      <c r="GFS30" s="109"/>
      <c r="GFT30" s="109"/>
      <c r="GFU30" s="109"/>
      <c r="GFV30" s="109"/>
      <c r="GFW30" s="109"/>
      <c r="GFX30" s="109"/>
      <c r="GFY30" s="109"/>
      <c r="GFZ30" s="109"/>
      <c r="GGA30" s="109"/>
      <c r="GGB30" s="109"/>
      <c r="GGC30" s="109"/>
      <c r="GGD30" s="109"/>
      <c r="GGE30" s="109"/>
      <c r="GGF30" s="109"/>
      <c r="GGG30" s="109"/>
      <c r="GGH30" s="109"/>
      <c r="GGI30" s="109"/>
      <c r="GGJ30" s="109"/>
      <c r="GGK30" s="109"/>
      <c r="GGL30" s="109"/>
      <c r="GGM30" s="109"/>
      <c r="GGN30" s="109"/>
      <c r="GGO30" s="109"/>
      <c r="GGP30" s="109"/>
      <c r="GGQ30" s="109"/>
      <c r="GGR30" s="109"/>
      <c r="GGS30" s="109"/>
      <c r="GGT30" s="109"/>
      <c r="GGU30" s="109"/>
      <c r="GGV30" s="109"/>
      <c r="GGW30" s="109"/>
      <c r="GGX30" s="109"/>
      <c r="GGY30" s="109"/>
      <c r="GGZ30" s="109"/>
      <c r="GHA30" s="109"/>
      <c r="GHB30" s="109"/>
      <c r="GHC30" s="109"/>
      <c r="GHD30" s="109"/>
      <c r="GHE30" s="109"/>
      <c r="GHF30" s="109"/>
      <c r="GHG30" s="109"/>
      <c r="GHH30" s="109"/>
      <c r="GHI30" s="109"/>
      <c r="GHJ30" s="109"/>
      <c r="GHK30" s="109"/>
      <c r="GHL30" s="109"/>
      <c r="GHM30" s="109"/>
      <c r="GHN30" s="109"/>
      <c r="GHO30" s="109"/>
      <c r="GHP30" s="109"/>
      <c r="GHQ30" s="109"/>
      <c r="GHR30" s="109"/>
      <c r="GHS30" s="109"/>
      <c r="GHT30" s="109"/>
      <c r="GHU30" s="109"/>
      <c r="GHV30" s="109"/>
      <c r="GHW30" s="109"/>
      <c r="GHX30" s="109"/>
      <c r="GHY30" s="109"/>
      <c r="GHZ30" s="109"/>
      <c r="GIA30" s="109"/>
      <c r="GIB30" s="109"/>
      <c r="GIC30" s="109"/>
      <c r="GID30" s="109"/>
      <c r="GIE30" s="109"/>
      <c r="GIF30" s="109"/>
      <c r="GIG30" s="109"/>
      <c r="GIH30" s="109"/>
      <c r="GII30" s="109"/>
      <c r="GIJ30" s="109"/>
      <c r="GIK30" s="109"/>
      <c r="GIL30" s="109"/>
      <c r="GIM30" s="109"/>
      <c r="GIN30" s="109"/>
      <c r="GIO30" s="109"/>
      <c r="GIP30" s="109"/>
      <c r="GIQ30" s="109"/>
      <c r="GIR30" s="109"/>
      <c r="GIS30" s="109"/>
      <c r="GIT30" s="109"/>
      <c r="GIU30" s="109"/>
      <c r="GIV30" s="109"/>
      <c r="GIW30" s="109"/>
      <c r="GIX30" s="109"/>
      <c r="GIY30" s="109"/>
      <c r="GIZ30" s="109"/>
      <c r="GJA30" s="109"/>
      <c r="GJB30" s="109"/>
      <c r="GJC30" s="109"/>
      <c r="GJD30" s="109"/>
      <c r="GJE30" s="109"/>
      <c r="GJF30" s="109"/>
      <c r="GJG30" s="109"/>
      <c r="GJH30" s="109"/>
      <c r="GJI30" s="109"/>
      <c r="GJJ30" s="109"/>
      <c r="GJK30" s="109"/>
      <c r="GJL30" s="109"/>
      <c r="GJM30" s="109"/>
      <c r="GJN30" s="109"/>
      <c r="GJO30" s="109"/>
      <c r="GJP30" s="109"/>
      <c r="GJQ30" s="109"/>
      <c r="GJR30" s="109"/>
      <c r="GJS30" s="109"/>
      <c r="GJT30" s="109"/>
      <c r="GJU30" s="109"/>
      <c r="GJV30" s="109"/>
      <c r="GJW30" s="109"/>
      <c r="GJX30" s="109"/>
      <c r="GJY30" s="109"/>
      <c r="GJZ30" s="109"/>
      <c r="GKA30" s="109"/>
      <c r="GKB30" s="109"/>
      <c r="GKC30" s="109"/>
      <c r="GKD30" s="109"/>
      <c r="GKE30" s="109"/>
      <c r="GKF30" s="109"/>
      <c r="GKG30" s="109"/>
      <c r="GKH30" s="109"/>
      <c r="GKI30" s="109"/>
      <c r="GKJ30" s="109"/>
      <c r="GKK30" s="109"/>
      <c r="GKL30" s="109"/>
      <c r="GKM30" s="109"/>
      <c r="GKN30" s="109"/>
      <c r="GKO30" s="109"/>
      <c r="GKP30" s="109"/>
      <c r="GKQ30" s="109"/>
      <c r="GKR30" s="109"/>
      <c r="GKS30" s="109"/>
      <c r="GKT30" s="109"/>
      <c r="GKU30" s="109"/>
      <c r="GKV30" s="109"/>
      <c r="GKW30" s="109"/>
      <c r="GKX30" s="109"/>
      <c r="GKY30" s="109"/>
      <c r="GKZ30" s="109"/>
      <c r="GLA30" s="109"/>
      <c r="GLB30" s="109"/>
      <c r="GLC30" s="109"/>
      <c r="GLD30" s="109"/>
      <c r="GLE30" s="109"/>
      <c r="GLF30" s="109"/>
      <c r="GLG30" s="109"/>
      <c r="GLH30" s="109"/>
      <c r="GLI30" s="109"/>
      <c r="GLJ30" s="109"/>
      <c r="GLK30" s="109"/>
      <c r="GLL30" s="109"/>
      <c r="GLM30" s="109"/>
      <c r="GLN30" s="109"/>
      <c r="GLO30" s="109"/>
      <c r="GLP30" s="109"/>
      <c r="GLQ30" s="109"/>
      <c r="GLR30" s="109"/>
      <c r="GLS30" s="109"/>
      <c r="GLT30" s="109"/>
      <c r="GLU30" s="109"/>
      <c r="GLV30" s="109"/>
      <c r="GLW30" s="109"/>
      <c r="GLX30" s="109"/>
      <c r="GLY30" s="109"/>
      <c r="GLZ30" s="109"/>
      <c r="GMA30" s="109"/>
      <c r="GMB30" s="109"/>
      <c r="GMC30" s="109"/>
      <c r="GMD30" s="109"/>
      <c r="GME30" s="109"/>
      <c r="GMF30" s="109"/>
      <c r="GMG30" s="109"/>
      <c r="GMH30" s="109"/>
      <c r="GMI30" s="109"/>
      <c r="GMJ30" s="109"/>
      <c r="GMK30" s="109"/>
      <c r="GML30" s="109"/>
      <c r="GMM30" s="109"/>
      <c r="GMN30" s="109"/>
      <c r="GMO30" s="109"/>
      <c r="GMP30" s="109"/>
      <c r="GMQ30" s="109"/>
      <c r="GMR30" s="109"/>
      <c r="GMS30" s="109"/>
      <c r="GMT30" s="109"/>
      <c r="GMU30" s="109"/>
      <c r="GMV30" s="109"/>
      <c r="GMW30" s="109"/>
      <c r="GMX30" s="109"/>
      <c r="GMY30" s="109"/>
      <c r="GMZ30" s="109"/>
      <c r="GNA30" s="109"/>
      <c r="GNB30" s="109"/>
      <c r="GNC30" s="109"/>
      <c r="GND30" s="109"/>
      <c r="GNE30" s="109"/>
      <c r="GNF30" s="109"/>
      <c r="GNG30" s="109"/>
      <c r="GNH30" s="109"/>
      <c r="GNI30" s="109"/>
      <c r="GNJ30" s="109"/>
      <c r="GNK30" s="109"/>
      <c r="GNL30" s="109"/>
      <c r="GNM30" s="109"/>
      <c r="GNN30" s="109"/>
      <c r="GNO30" s="109"/>
      <c r="GNP30" s="109"/>
      <c r="GNQ30" s="109"/>
      <c r="GNR30" s="109"/>
      <c r="GNS30" s="109"/>
      <c r="GNT30" s="109"/>
      <c r="GNU30" s="109"/>
      <c r="GNV30" s="109"/>
      <c r="GNW30" s="109"/>
      <c r="GNX30" s="109"/>
      <c r="GNY30" s="109"/>
      <c r="GNZ30" s="109"/>
      <c r="GOA30" s="109"/>
      <c r="GOB30" s="109"/>
      <c r="GOC30" s="109"/>
      <c r="GOD30" s="109"/>
      <c r="GOE30" s="109"/>
      <c r="GOF30" s="109"/>
      <c r="GOG30" s="109"/>
      <c r="GOH30" s="109"/>
      <c r="GOI30" s="109"/>
      <c r="GOJ30" s="109"/>
      <c r="GOK30" s="109"/>
      <c r="GOL30" s="109"/>
      <c r="GOM30" s="109"/>
      <c r="GON30" s="109"/>
      <c r="GOO30" s="109"/>
      <c r="GOP30" s="109"/>
      <c r="GOQ30" s="109"/>
      <c r="GOR30" s="109"/>
      <c r="GOS30" s="109"/>
      <c r="GOT30" s="109"/>
      <c r="GOU30" s="109"/>
      <c r="GOV30" s="109"/>
      <c r="GOW30" s="109"/>
      <c r="GOX30" s="109"/>
      <c r="GOY30" s="109"/>
      <c r="GOZ30" s="109"/>
      <c r="GPA30" s="109"/>
      <c r="GPB30" s="109"/>
      <c r="GPC30" s="109"/>
      <c r="GPD30" s="109"/>
      <c r="GPE30" s="109"/>
      <c r="GPF30" s="109"/>
      <c r="GPG30" s="109"/>
      <c r="GPH30" s="109"/>
      <c r="GPI30" s="109"/>
      <c r="GPJ30" s="109"/>
      <c r="GPK30" s="109"/>
      <c r="GPL30" s="109"/>
      <c r="GPM30" s="109"/>
      <c r="GPN30" s="109"/>
      <c r="GPO30" s="109"/>
      <c r="GPP30" s="109"/>
      <c r="GPQ30" s="109"/>
      <c r="GPR30" s="109"/>
      <c r="GPS30" s="109"/>
      <c r="GPT30" s="109"/>
      <c r="GPU30" s="109"/>
      <c r="GPV30" s="109"/>
      <c r="GPW30" s="109"/>
      <c r="GPX30" s="109"/>
      <c r="GPY30" s="109"/>
      <c r="GPZ30" s="109"/>
      <c r="GQA30" s="109"/>
      <c r="GQB30" s="109"/>
      <c r="GQC30" s="109"/>
      <c r="GQD30" s="109"/>
      <c r="GQE30" s="109"/>
      <c r="GQF30" s="109"/>
      <c r="GQG30" s="109"/>
      <c r="GQH30" s="109"/>
      <c r="GQI30" s="109"/>
      <c r="GQJ30" s="109"/>
      <c r="GQK30" s="109"/>
      <c r="GQL30" s="109"/>
      <c r="GQM30" s="109"/>
      <c r="GQN30" s="109"/>
      <c r="GQO30" s="109"/>
      <c r="GQP30" s="109"/>
      <c r="GQQ30" s="109"/>
      <c r="GQR30" s="109"/>
      <c r="GQS30" s="109"/>
      <c r="GQT30" s="109"/>
      <c r="GQU30" s="109"/>
      <c r="GQV30" s="109"/>
      <c r="GQW30" s="109"/>
      <c r="GQX30" s="109"/>
      <c r="GQY30" s="109"/>
      <c r="GQZ30" s="109"/>
      <c r="GRA30" s="109"/>
      <c r="GRB30" s="109"/>
      <c r="GRC30" s="109"/>
      <c r="GRD30" s="109"/>
      <c r="GRE30" s="109"/>
      <c r="GRF30" s="109"/>
      <c r="GRG30" s="109"/>
      <c r="GRH30" s="109"/>
      <c r="GRI30" s="109"/>
      <c r="GRJ30" s="109"/>
      <c r="GRK30" s="109"/>
      <c r="GRL30" s="109"/>
      <c r="GRM30" s="109"/>
      <c r="GRN30" s="109"/>
      <c r="GRO30" s="109"/>
      <c r="GRP30" s="109"/>
      <c r="GRQ30" s="109"/>
      <c r="GRR30" s="109"/>
      <c r="GRS30" s="109"/>
      <c r="GRT30" s="109"/>
      <c r="GRU30" s="109"/>
      <c r="GRV30" s="109"/>
      <c r="GRW30" s="109"/>
      <c r="GRX30" s="109"/>
      <c r="GRY30" s="109"/>
      <c r="GRZ30" s="109"/>
      <c r="GSA30" s="109"/>
      <c r="GSB30" s="109"/>
      <c r="GSC30" s="109"/>
      <c r="GSD30" s="109"/>
      <c r="GSE30" s="109"/>
      <c r="GSF30" s="109"/>
      <c r="GSG30" s="109"/>
      <c r="GSH30" s="109"/>
      <c r="GSI30" s="109"/>
      <c r="GSJ30" s="109"/>
      <c r="GSK30" s="109"/>
      <c r="GSL30" s="109"/>
      <c r="GSM30" s="109"/>
      <c r="GSN30" s="109"/>
      <c r="GSO30" s="109"/>
      <c r="GSP30" s="109"/>
      <c r="GSQ30" s="109"/>
      <c r="GSR30" s="109"/>
      <c r="GSS30" s="109"/>
      <c r="GST30" s="109"/>
      <c r="GSU30" s="109"/>
      <c r="GSV30" s="109"/>
      <c r="GSW30" s="109"/>
      <c r="GSX30" s="109"/>
      <c r="GSY30" s="109"/>
      <c r="GSZ30" s="109"/>
      <c r="GTA30" s="109"/>
      <c r="GTB30" s="109"/>
      <c r="GTC30" s="109"/>
      <c r="GTD30" s="109"/>
      <c r="GTE30" s="109"/>
      <c r="GTF30" s="109"/>
      <c r="GTG30" s="109"/>
      <c r="GTH30" s="109"/>
      <c r="GTI30" s="109"/>
      <c r="GTJ30" s="109"/>
      <c r="GTK30" s="109"/>
      <c r="GTL30" s="109"/>
      <c r="GTM30" s="109"/>
      <c r="GTN30" s="109"/>
      <c r="GTO30" s="109"/>
      <c r="GTP30" s="109"/>
      <c r="GTQ30" s="109"/>
      <c r="GTR30" s="109"/>
      <c r="GTS30" s="109"/>
      <c r="GTT30" s="109"/>
      <c r="GTU30" s="109"/>
      <c r="GTV30" s="109"/>
      <c r="GTW30" s="109"/>
      <c r="GTX30" s="109"/>
      <c r="GTY30" s="109"/>
      <c r="GTZ30" s="109"/>
      <c r="GUA30" s="109"/>
      <c r="GUB30" s="109"/>
      <c r="GUC30" s="109"/>
      <c r="GUD30" s="109"/>
      <c r="GUE30" s="109"/>
      <c r="GUF30" s="109"/>
      <c r="GUG30" s="109"/>
      <c r="GUH30" s="109"/>
      <c r="GUI30" s="109"/>
      <c r="GUJ30" s="109"/>
      <c r="GUK30" s="109"/>
      <c r="GUL30" s="109"/>
      <c r="GUM30" s="109"/>
      <c r="GUN30" s="109"/>
      <c r="GUO30" s="109"/>
      <c r="GUP30" s="109"/>
      <c r="GUQ30" s="109"/>
      <c r="GUR30" s="109"/>
      <c r="GUS30" s="109"/>
      <c r="GUT30" s="109"/>
      <c r="GUU30" s="109"/>
      <c r="GUV30" s="109"/>
      <c r="GUW30" s="109"/>
      <c r="GUX30" s="109"/>
      <c r="GUY30" s="109"/>
      <c r="GUZ30" s="109"/>
      <c r="GVA30" s="109"/>
      <c r="GVB30" s="109"/>
      <c r="GVC30" s="109"/>
      <c r="GVD30" s="109"/>
      <c r="GVE30" s="109"/>
      <c r="GVF30" s="109"/>
      <c r="GVG30" s="109"/>
      <c r="GVH30" s="109"/>
      <c r="GVI30" s="109"/>
      <c r="GVJ30" s="109"/>
      <c r="GVK30" s="109"/>
      <c r="GVL30" s="109"/>
      <c r="GVM30" s="109"/>
      <c r="GVN30" s="109"/>
      <c r="GVO30" s="109"/>
      <c r="GVP30" s="109"/>
      <c r="GVQ30" s="109"/>
      <c r="GVR30" s="109"/>
      <c r="GVS30" s="109"/>
      <c r="GVT30" s="109"/>
      <c r="GVU30" s="109"/>
      <c r="GVV30" s="109"/>
      <c r="GVW30" s="109"/>
      <c r="GVX30" s="109"/>
      <c r="GVY30" s="109"/>
      <c r="GVZ30" s="109"/>
      <c r="GWA30" s="109"/>
      <c r="GWB30" s="109"/>
      <c r="GWC30" s="109"/>
      <c r="GWD30" s="109"/>
      <c r="GWE30" s="109"/>
      <c r="GWF30" s="109"/>
      <c r="GWG30" s="109"/>
      <c r="GWH30" s="109"/>
      <c r="GWI30" s="109"/>
      <c r="GWJ30" s="109"/>
      <c r="GWK30" s="109"/>
      <c r="GWL30" s="109"/>
      <c r="GWM30" s="109"/>
      <c r="GWN30" s="109"/>
      <c r="GWO30" s="109"/>
      <c r="GWP30" s="109"/>
      <c r="GWQ30" s="109"/>
      <c r="GWR30" s="109"/>
      <c r="GWS30" s="109"/>
      <c r="GWT30" s="109"/>
      <c r="GWU30" s="109"/>
      <c r="GWV30" s="109"/>
      <c r="GWW30" s="109"/>
      <c r="GWX30" s="109"/>
      <c r="GWY30" s="109"/>
      <c r="GWZ30" s="109"/>
      <c r="GXA30" s="109"/>
      <c r="GXB30" s="109"/>
      <c r="GXC30" s="109"/>
      <c r="GXD30" s="109"/>
      <c r="GXE30" s="109"/>
      <c r="GXF30" s="109"/>
      <c r="GXG30" s="109"/>
      <c r="GXH30" s="109"/>
      <c r="GXI30" s="109"/>
      <c r="GXJ30" s="109"/>
      <c r="GXK30" s="109"/>
      <c r="GXL30" s="109"/>
      <c r="GXM30" s="109"/>
      <c r="GXN30" s="109"/>
      <c r="GXO30" s="109"/>
      <c r="GXP30" s="109"/>
      <c r="GXQ30" s="109"/>
      <c r="GXR30" s="109"/>
      <c r="GXS30" s="109"/>
      <c r="GXT30" s="109"/>
      <c r="GXU30" s="109"/>
      <c r="GXV30" s="109"/>
      <c r="GXW30" s="109"/>
      <c r="GXX30" s="109"/>
      <c r="GXY30" s="109"/>
      <c r="GXZ30" s="109"/>
      <c r="GYA30" s="109"/>
      <c r="GYB30" s="109"/>
      <c r="GYC30" s="109"/>
      <c r="GYD30" s="109"/>
      <c r="GYE30" s="109"/>
      <c r="GYF30" s="109"/>
      <c r="GYG30" s="109"/>
      <c r="GYH30" s="109"/>
      <c r="GYI30" s="109"/>
      <c r="GYJ30" s="109"/>
      <c r="GYK30" s="109"/>
      <c r="GYL30" s="109"/>
      <c r="GYM30" s="109"/>
      <c r="GYN30" s="109"/>
      <c r="GYO30" s="109"/>
      <c r="GYP30" s="109"/>
      <c r="GYQ30" s="109"/>
      <c r="GYR30" s="109"/>
      <c r="GYS30" s="109"/>
      <c r="GYT30" s="109"/>
      <c r="GYU30" s="109"/>
      <c r="GYV30" s="109"/>
      <c r="GYW30" s="109"/>
      <c r="GYX30" s="109"/>
      <c r="GYY30" s="109"/>
      <c r="GYZ30" s="109"/>
      <c r="GZA30" s="109"/>
      <c r="GZB30" s="109"/>
      <c r="GZC30" s="109"/>
      <c r="GZD30" s="109"/>
      <c r="GZE30" s="109"/>
      <c r="GZF30" s="109"/>
      <c r="GZG30" s="109"/>
      <c r="GZH30" s="109"/>
      <c r="GZI30" s="109"/>
      <c r="GZJ30" s="109"/>
      <c r="GZK30" s="109"/>
      <c r="GZL30" s="109"/>
      <c r="GZM30" s="109"/>
      <c r="GZN30" s="109"/>
      <c r="GZO30" s="109"/>
      <c r="GZP30" s="109"/>
      <c r="GZQ30" s="109"/>
      <c r="GZR30" s="109"/>
      <c r="GZS30" s="109"/>
      <c r="GZT30" s="109"/>
      <c r="GZU30" s="109"/>
      <c r="GZV30" s="109"/>
      <c r="GZW30" s="109"/>
      <c r="GZX30" s="109"/>
      <c r="GZY30" s="109"/>
      <c r="GZZ30" s="109"/>
      <c r="HAA30" s="109"/>
      <c r="HAB30" s="109"/>
      <c r="HAC30" s="109"/>
      <c r="HAD30" s="109"/>
      <c r="HAE30" s="109"/>
      <c r="HAF30" s="109"/>
      <c r="HAG30" s="109"/>
      <c r="HAH30" s="109"/>
      <c r="HAI30" s="109"/>
      <c r="HAJ30" s="109"/>
      <c r="HAK30" s="109"/>
      <c r="HAL30" s="109"/>
      <c r="HAM30" s="109"/>
      <c r="HAN30" s="109"/>
      <c r="HAO30" s="109"/>
      <c r="HAP30" s="109"/>
      <c r="HAQ30" s="109"/>
      <c r="HAR30" s="109"/>
      <c r="HAS30" s="109"/>
      <c r="HAT30" s="109"/>
      <c r="HAU30" s="109"/>
      <c r="HAV30" s="109"/>
      <c r="HAW30" s="109"/>
      <c r="HAX30" s="109"/>
      <c r="HAY30" s="109"/>
      <c r="HAZ30" s="109"/>
      <c r="HBA30" s="109"/>
      <c r="HBB30" s="109"/>
      <c r="HBC30" s="109"/>
      <c r="HBD30" s="109"/>
      <c r="HBE30" s="109"/>
      <c r="HBF30" s="109"/>
      <c r="HBG30" s="109"/>
      <c r="HBH30" s="109"/>
      <c r="HBI30" s="109"/>
      <c r="HBJ30" s="109"/>
      <c r="HBK30" s="109"/>
      <c r="HBL30" s="109"/>
      <c r="HBM30" s="109"/>
      <c r="HBN30" s="109"/>
      <c r="HBO30" s="109"/>
      <c r="HBP30" s="109"/>
      <c r="HBQ30" s="109"/>
      <c r="HBR30" s="109"/>
      <c r="HBS30" s="109"/>
      <c r="HBT30" s="109"/>
      <c r="HBU30" s="109"/>
      <c r="HBV30" s="109"/>
      <c r="HBW30" s="109"/>
      <c r="HBX30" s="109"/>
      <c r="HBY30" s="109"/>
      <c r="HBZ30" s="109"/>
      <c r="HCA30" s="109"/>
      <c r="HCB30" s="109"/>
      <c r="HCC30" s="109"/>
      <c r="HCD30" s="109"/>
      <c r="HCE30" s="109"/>
      <c r="HCF30" s="109"/>
      <c r="HCG30" s="109"/>
      <c r="HCH30" s="109"/>
      <c r="HCI30" s="109"/>
      <c r="HCJ30" s="109"/>
      <c r="HCK30" s="109"/>
      <c r="HCL30" s="109"/>
      <c r="HCM30" s="109"/>
      <c r="HCN30" s="109"/>
      <c r="HCO30" s="109"/>
      <c r="HCP30" s="109"/>
      <c r="HCQ30" s="109"/>
      <c r="HCR30" s="109"/>
      <c r="HCS30" s="109"/>
      <c r="HCT30" s="109"/>
      <c r="HCU30" s="109"/>
      <c r="HCV30" s="109"/>
      <c r="HCW30" s="109"/>
      <c r="HCX30" s="109"/>
      <c r="HCY30" s="109"/>
      <c r="HCZ30" s="109"/>
      <c r="HDA30" s="109"/>
      <c r="HDB30" s="109"/>
      <c r="HDC30" s="109"/>
      <c r="HDD30" s="109"/>
      <c r="HDE30" s="109"/>
      <c r="HDF30" s="109"/>
      <c r="HDG30" s="109"/>
      <c r="HDH30" s="109"/>
      <c r="HDI30" s="109"/>
      <c r="HDJ30" s="109"/>
      <c r="HDK30" s="109"/>
      <c r="HDL30" s="109"/>
      <c r="HDM30" s="109"/>
      <c r="HDN30" s="109"/>
      <c r="HDO30" s="109"/>
      <c r="HDP30" s="109"/>
      <c r="HDQ30" s="109"/>
      <c r="HDR30" s="109"/>
      <c r="HDS30" s="109"/>
      <c r="HDT30" s="109"/>
      <c r="HDU30" s="109"/>
      <c r="HDV30" s="109"/>
      <c r="HDW30" s="109"/>
      <c r="HDX30" s="109"/>
      <c r="HDY30" s="109"/>
      <c r="HDZ30" s="109"/>
      <c r="HEA30" s="109"/>
      <c r="HEB30" s="109"/>
      <c r="HEC30" s="109"/>
      <c r="HED30" s="109"/>
      <c r="HEE30" s="109"/>
      <c r="HEF30" s="109"/>
      <c r="HEG30" s="109"/>
      <c r="HEH30" s="109"/>
      <c r="HEI30" s="109"/>
      <c r="HEJ30" s="109"/>
      <c r="HEK30" s="109"/>
      <c r="HEL30" s="109"/>
      <c r="HEM30" s="109"/>
      <c r="HEN30" s="109"/>
      <c r="HEO30" s="109"/>
      <c r="HEP30" s="109"/>
      <c r="HEQ30" s="109"/>
      <c r="HER30" s="109"/>
      <c r="HES30" s="109"/>
      <c r="HET30" s="109"/>
      <c r="HEU30" s="109"/>
      <c r="HEV30" s="109"/>
      <c r="HEW30" s="109"/>
      <c r="HEX30" s="109"/>
      <c r="HEY30" s="109"/>
      <c r="HEZ30" s="109"/>
      <c r="HFA30" s="109"/>
      <c r="HFB30" s="109"/>
      <c r="HFC30" s="109"/>
      <c r="HFD30" s="109"/>
      <c r="HFE30" s="109"/>
      <c r="HFF30" s="109"/>
      <c r="HFG30" s="109"/>
      <c r="HFH30" s="109"/>
      <c r="HFI30" s="109"/>
      <c r="HFJ30" s="109"/>
      <c r="HFK30" s="109"/>
      <c r="HFL30" s="109"/>
      <c r="HFM30" s="109"/>
      <c r="HFN30" s="109"/>
      <c r="HFO30" s="109"/>
      <c r="HFP30" s="109"/>
      <c r="HFQ30" s="109"/>
      <c r="HFR30" s="109"/>
      <c r="HFS30" s="109"/>
      <c r="HFT30" s="109"/>
      <c r="HFU30" s="109"/>
      <c r="HFV30" s="109"/>
      <c r="HFW30" s="109"/>
      <c r="HFX30" s="109"/>
      <c r="HFY30" s="109"/>
      <c r="HFZ30" s="109"/>
      <c r="HGA30" s="109"/>
      <c r="HGB30" s="109"/>
      <c r="HGC30" s="109"/>
      <c r="HGD30" s="109"/>
      <c r="HGE30" s="109"/>
      <c r="HGF30" s="109"/>
      <c r="HGG30" s="109"/>
      <c r="HGH30" s="109"/>
      <c r="HGI30" s="109"/>
      <c r="HGJ30" s="109"/>
      <c r="HGK30" s="109"/>
      <c r="HGL30" s="109"/>
      <c r="HGM30" s="109"/>
      <c r="HGN30" s="109"/>
      <c r="HGO30" s="109"/>
      <c r="HGP30" s="109"/>
      <c r="HGQ30" s="109"/>
      <c r="HGR30" s="109"/>
      <c r="HGS30" s="109"/>
      <c r="HGT30" s="109"/>
      <c r="HGU30" s="109"/>
      <c r="HGV30" s="109"/>
      <c r="HGW30" s="109"/>
      <c r="HGX30" s="109"/>
      <c r="HGY30" s="109"/>
      <c r="HGZ30" s="109"/>
      <c r="HHA30" s="109"/>
      <c r="HHB30" s="109"/>
      <c r="HHC30" s="109"/>
      <c r="HHD30" s="109"/>
      <c r="HHE30" s="109"/>
      <c r="HHF30" s="109"/>
      <c r="HHG30" s="109"/>
      <c r="HHH30" s="109"/>
      <c r="HHI30" s="109"/>
      <c r="HHJ30" s="109"/>
      <c r="HHK30" s="109"/>
      <c r="HHL30" s="109"/>
      <c r="HHM30" s="109"/>
      <c r="HHN30" s="109"/>
      <c r="HHO30" s="109"/>
      <c r="HHP30" s="109"/>
      <c r="HHQ30" s="109"/>
      <c r="HHR30" s="109"/>
      <c r="HHS30" s="109"/>
      <c r="HHT30" s="109"/>
      <c r="HHU30" s="109"/>
      <c r="HHV30" s="109"/>
      <c r="HHW30" s="109"/>
      <c r="HHX30" s="109"/>
      <c r="HHY30" s="109"/>
      <c r="HHZ30" s="109"/>
      <c r="HIA30" s="109"/>
      <c r="HIB30" s="109"/>
      <c r="HIC30" s="109"/>
      <c r="HID30" s="109"/>
      <c r="HIE30" s="109"/>
      <c r="HIF30" s="109"/>
      <c r="HIG30" s="109"/>
      <c r="HIH30" s="109"/>
      <c r="HII30" s="109"/>
      <c r="HIJ30" s="109"/>
      <c r="HIK30" s="109"/>
      <c r="HIL30" s="109"/>
      <c r="HIM30" s="109"/>
      <c r="HIN30" s="109"/>
      <c r="HIO30" s="109"/>
      <c r="HIP30" s="109"/>
      <c r="HIQ30" s="109"/>
      <c r="HIR30" s="109"/>
      <c r="HIS30" s="109"/>
      <c r="HIT30" s="109"/>
      <c r="HIU30" s="109"/>
      <c r="HIV30" s="109"/>
      <c r="HIW30" s="109"/>
      <c r="HIX30" s="109"/>
      <c r="HIY30" s="109"/>
      <c r="HIZ30" s="109"/>
      <c r="HJA30" s="109"/>
      <c r="HJB30" s="109"/>
      <c r="HJC30" s="109"/>
      <c r="HJD30" s="109"/>
      <c r="HJE30" s="109"/>
      <c r="HJF30" s="109"/>
      <c r="HJG30" s="109"/>
      <c r="HJH30" s="109"/>
      <c r="HJI30" s="109"/>
      <c r="HJJ30" s="109"/>
      <c r="HJK30" s="109"/>
      <c r="HJL30" s="109"/>
      <c r="HJM30" s="109"/>
      <c r="HJN30" s="109"/>
      <c r="HJO30" s="109"/>
      <c r="HJP30" s="109"/>
      <c r="HJQ30" s="109"/>
      <c r="HJR30" s="109"/>
      <c r="HJS30" s="109"/>
      <c r="HJT30" s="109"/>
      <c r="HJU30" s="109"/>
      <c r="HJV30" s="109"/>
      <c r="HJW30" s="109"/>
      <c r="HJX30" s="109"/>
      <c r="HJY30" s="109"/>
      <c r="HJZ30" s="109"/>
      <c r="HKA30" s="109"/>
      <c r="HKB30" s="109"/>
      <c r="HKC30" s="109"/>
      <c r="HKD30" s="109"/>
      <c r="HKE30" s="109"/>
      <c r="HKF30" s="109"/>
      <c r="HKG30" s="109"/>
      <c r="HKH30" s="109"/>
      <c r="HKI30" s="109"/>
      <c r="HKJ30" s="109"/>
      <c r="HKK30" s="109"/>
      <c r="HKL30" s="109"/>
      <c r="HKM30" s="109"/>
      <c r="HKN30" s="109"/>
      <c r="HKO30" s="109"/>
      <c r="HKP30" s="109"/>
      <c r="HKQ30" s="109"/>
      <c r="HKR30" s="109"/>
      <c r="HKS30" s="109"/>
      <c r="HKT30" s="109"/>
      <c r="HKU30" s="109"/>
      <c r="HKV30" s="109"/>
      <c r="HKW30" s="109"/>
      <c r="HKX30" s="109"/>
      <c r="HKY30" s="109"/>
      <c r="HKZ30" s="109"/>
      <c r="HLA30" s="109"/>
      <c r="HLB30" s="109"/>
      <c r="HLC30" s="109"/>
      <c r="HLD30" s="109"/>
      <c r="HLE30" s="109"/>
      <c r="HLF30" s="109"/>
      <c r="HLG30" s="109"/>
      <c r="HLH30" s="109"/>
      <c r="HLI30" s="109"/>
      <c r="HLJ30" s="109"/>
      <c r="HLK30" s="109"/>
      <c r="HLL30" s="109"/>
      <c r="HLM30" s="109"/>
      <c r="HLN30" s="109"/>
      <c r="HLO30" s="109"/>
      <c r="HLP30" s="109"/>
      <c r="HLQ30" s="109"/>
      <c r="HLR30" s="109"/>
      <c r="HLS30" s="109"/>
      <c r="HLT30" s="109"/>
      <c r="HLU30" s="109"/>
      <c r="HLV30" s="109"/>
      <c r="HLW30" s="109"/>
      <c r="HLX30" s="109"/>
      <c r="HLY30" s="109"/>
      <c r="HLZ30" s="109"/>
      <c r="HMA30" s="109"/>
      <c r="HMB30" s="109"/>
      <c r="HMC30" s="109"/>
      <c r="HMD30" s="109"/>
      <c r="HME30" s="109"/>
      <c r="HMF30" s="109"/>
      <c r="HMG30" s="109"/>
      <c r="HMH30" s="109"/>
      <c r="HMI30" s="109"/>
      <c r="HMJ30" s="109"/>
      <c r="HMK30" s="109"/>
      <c r="HML30" s="109"/>
      <c r="HMM30" s="109"/>
      <c r="HMN30" s="109"/>
      <c r="HMO30" s="109"/>
      <c r="HMP30" s="109"/>
      <c r="HMQ30" s="109"/>
      <c r="HMR30" s="109"/>
      <c r="HMS30" s="109"/>
      <c r="HMT30" s="109"/>
      <c r="HMU30" s="109"/>
      <c r="HMV30" s="109"/>
      <c r="HMW30" s="109"/>
      <c r="HMX30" s="109"/>
      <c r="HMY30" s="109"/>
      <c r="HMZ30" s="109"/>
      <c r="HNA30" s="109"/>
      <c r="HNB30" s="109"/>
      <c r="HNC30" s="109"/>
      <c r="HND30" s="109"/>
      <c r="HNE30" s="109"/>
      <c r="HNF30" s="109"/>
      <c r="HNG30" s="109"/>
      <c r="HNH30" s="109"/>
      <c r="HNI30" s="109"/>
      <c r="HNJ30" s="109"/>
      <c r="HNK30" s="109"/>
      <c r="HNL30" s="109"/>
      <c r="HNM30" s="109"/>
      <c r="HNN30" s="109"/>
      <c r="HNO30" s="109"/>
      <c r="HNP30" s="109"/>
      <c r="HNQ30" s="109"/>
      <c r="HNR30" s="109"/>
      <c r="HNS30" s="109"/>
      <c r="HNT30" s="109"/>
      <c r="HNU30" s="109"/>
      <c r="HNV30" s="109"/>
      <c r="HNW30" s="109"/>
      <c r="HNX30" s="109"/>
      <c r="HNY30" s="109"/>
      <c r="HNZ30" s="109"/>
      <c r="HOA30" s="109"/>
      <c r="HOB30" s="109"/>
      <c r="HOC30" s="109"/>
      <c r="HOD30" s="109"/>
      <c r="HOE30" s="109"/>
      <c r="HOF30" s="109"/>
      <c r="HOG30" s="109"/>
      <c r="HOH30" s="109"/>
      <c r="HOI30" s="109"/>
      <c r="HOJ30" s="109"/>
      <c r="HOK30" s="109"/>
      <c r="HOL30" s="109"/>
      <c r="HOM30" s="109"/>
      <c r="HON30" s="109"/>
      <c r="HOO30" s="109"/>
      <c r="HOP30" s="109"/>
      <c r="HOQ30" s="109"/>
      <c r="HOR30" s="109"/>
      <c r="HOS30" s="109"/>
      <c r="HOT30" s="109"/>
      <c r="HOU30" s="109"/>
      <c r="HOV30" s="109"/>
      <c r="HOW30" s="109"/>
      <c r="HOX30" s="109"/>
      <c r="HOY30" s="109"/>
      <c r="HOZ30" s="109"/>
      <c r="HPA30" s="109"/>
      <c r="HPB30" s="109"/>
      <c r="HPC30" s="109"/>
      <c r="HPD30" s="109"/>
      <c r="HPE30" s="109"/>
      <c r="HPF30" s="109"/>
      <c r="HPG30" s="109"/>
      <c r="HPH30" s="109"/>
      <c r="HPI30" s="109"/>
      <c r="HPJ30" s="109"/>
      <c r="HPK30" s="109"/>
      <c r="HPL30" s="109"/>
      <c r="HPM30" s="109"/>
      <c r="HPN30" s="109"/>
      <c r="HPO30" s="109"/>
      <c r="HPP30" s="109"/>
      <c r="HPQ30" s="109"/>
      <c r="HPR30" s="109"/>
      <c r="HPS30" s="109"/>
      <c r="HPT30" s="109"/>
      <c r="HPU30" s="109"/>
      <c r="HPV30" s="109"/>
      <c r="HPW30" s="109"/>
      <c r="HPX30" s="109"/>
      <c r="HPY30" s="109"/>
      <c r="HPZ30" s="109"/>
      <c r="HQA30" s="109"/>
      <c r="HQB30" s="109"/>
      <c r="HQC30" s="109"/>
      <c r="HQD30" s="109"/>
      <c r="HQE30" s="109"/>
      <c r="HQF30" s="109"/>
      <c r="HQG30" s="109"/>
      <c r="HQH30" s="109"/>
      <c r="HQI30" s="109"/>
      <c r="HQJ30" s="109"/>
      <c r="HQK30" s="109"/>
      <c r="HQL30" s="109"/>
      <c r="HQM30" s="109"/>
      <c r="HQN30" s="109"/>
      <c r="HQO30" s="109"/>
      <c r="HQP30" s="109"/>
      <c r="HQQ30" s="109"/>
      <c r="HQR30" s="109"/>
      <c r="HQS30" s="109"/>
      <c r="HQT30" s="109"/>
      <c r="HQU30" s="109"/>
      <c r="HQV30" s="109"/>
      <c r="HQW30" s="109"/>
      <c r="HQX30" s="109"/>
      <c r="HQY30" s="109"/>
      <c r="HQZ30" s="109"/>
      <c r="HRA30" s="109"/>
      <c r="HRB30" s="109"/>
      <c r="HRC30" s="109"/>
      <c r="HRD30" s="109"/>
      <c r="HRE30" s="109"/>
      <c r="HRF30" s="109"/>
      <c r="HRG30" s="109"/>
      <c r="HRH30" s="109"/>
      <c r="HRI30" s="109"/>
      <c r="HRJ30" s="109"/>
      <c r="HRK30" s="109"/>
      <c r="HRL30" s="109"/>
      <c r="HRM30" s="109"/>
      <c r="HRN30" s="109"/>
      <c r="HRO30" s="109"/>
      <c r="HRP30" s="109"/>
      <c r="HRQ30" s="109"/>
      <c r="HRR30" s="109"/>
      <c r="HRS30" s="109"/>
      <c r="HRT30" s="109"/>
      <c r="HRU30" s="109"/>
      <c r="HRV30" s="109"/>
      <c r="HRW30" s="109"/>
      <c r="HRX30" s="109"/>
      <c r="HRY30" s="109"/>
      <c r="HRZ30" s="109"/>
      <c r="HSA30" s="109"/>
      <c r="HSB30" s="109"/>
      <c r="HSC30" s="109"/>
      <c r="HSD30" s="109"/>
      <c r="HSE30" s="109"/>
      <c r="HSF30" s="109"/>
      <c r="HSG30" s="109"/>
      <c r="HSH30" s="109"/>
      <c r="HSI30" s="109"/>
      <c r="HSJ30" s="109"/>
      <c r="HSK30" s="109"/>
      <c r="HSL30" s="109"/>
      <c r="HSM30" s="109"/>
      <c r="HSN30" s="109"/>
      <c r="HSO30" s="109"/>
      <c r="HSP30" s="109"/>
      <c r="HSQ30" s="109"/>
      <c r="HSR30" s="109"/>
      <c r="HSS30" s="109"/>
      <c r="HST30" s="109"/>
      <c r="HSU30" s="109"/>
      <c r="HSV30" s="109"/>
      <c r="HSW30" s="109"/>
      <c r="HSX30" s="109"/>
      <c r="HSY30" s="109"/>
      <c r="HSZ30" s="109"/>
      <c r="HTA30" s="109"/>
      <c r="HTB30" s="109"/>
      <c r="HTC30" s="109"/>
      <c r="HTD30" s="109"/>
      <c r="HTE30" s="109"/>
      <c r="HTF30" s="109"/>
      <c r="HTG30" s="109"/>
      <c r="HTH30" s="109"/>
      <c r="HTI30" s="109"/>
      <c r="HTJ30" s="109"/>
      <c r="HTK30" s="109"/>
      <c r="HTL30" s="109"/>
      <c r="HTM30" s="109"/>
      <c r="HTN30" s="109"/>
      <c r="HTO30" s="109"/>
      <c r="HTP30" s="109"/>
      <c r="HTQ30" s="109"/>
      <c r="HTR30" s="109"/>
      <c r="HTS30" s="109"/>
      <c r="HTT30" s="109"/>
      <c r="HTU30" s="109"/>
      <c r="HTV30" s="109"/>
      <c r="HTW30" s="109"/>
      <c r="HTX30" s="109"/>
      <c r="HTY30" s="109"/>
      <c r="HTZ30" s="109"/>
      <c r="HUA30" s="109"/>
      <c r="HUB30" s="109"/>
      <c r="HUC30" s="109"/>
      <c r="HUD30" s="109"/>
      <c r="HUE30" s="109"/>
      <c r="HUF30" s="109"/>
      <c r="HUG30" s="109"/>
      <c r="HUH30" s="109"/>
      <c r="HUI30" s="109"/>
      <c r="HUJ30" s="109"/>
      <c r="HUK30" s="109"/>
      <c r="HUL30" s="109"/>
      <c r="HUM30" s="109"/>
      <c r="HUN30" s="109"/>
      <c r="HUO30" s="109"/>
      <c r="HUP30" s="109"/>
      <c r="HUQ30" s="109"/>
      <c r="HUR30" s="109"/>
      <c r="HUS30" s="109"/>
      <c r="HUT30" s="109"/>
      <c r="HUU30" s="109"/>
      <c r="HUV30" s="109"/>
      <c r="HUW30" s="109"/>
      <c r="HUX30" s="109"/>
      <c r="HUY30" s="109"/>
      <c r="HUZ30" s="109"/>
      <c r="HVA30" s="109"/>
      <c r="HVB30" s="109"/>
      <c r="HVC30" s="109"/>
      <c r="HVD30" s="109"/>
      <c r="HVE30" s="109"/>
      <c r="HVF30" s="109"/>
      <c r="HVG30" s="109"/>
      <c r="HVH30" s="109"/>
      <c r="HVI30" s="109"/>
      <c r="HVJ30" s="109"/>
      <c r="HVK30" s="109"/>
      <c r="HVL30" s="109"/>
      <c r="HVM30" s="109"/>
      <c r="HVN30" s="109"/>
      <c r="HVO30" s="109"/>
      <c r="HVP30" s="109"/>
      <c r="HVQ30" s="109"/>
      <c r="HVR30" s="109"/>
      <c r="HVS30" s="109"/>
      <c r="HVT30" s="109"/>
      <c r="HVU30" s="109"/>
      <c r="HVV30" s="109"/>
      <c r="HVW30" s="109"/>
      <c r="HVX30" s="109"/>
      <c r="HVY30" s="109"/>
      <c r="HVZ30" s="109"/>
      <c r="HWA30" s="109"/>
      <c r="HWB30" s="109"/>
      <c r="HWC30" s="109"/>
      <c r="HWD30" s="109"/>
      <c r="HWE30" s="109"/>
      <c r="HWF30" s="109"/>
      <c r="HWG30" s="109"/>
      <c r="HWH30" s="109"/>
      <c r="HWI30" s="109"/>
      <c r="HWJ30" s="109"/>
      <c r="HWK30" s="109"/>
      <c r="HWL30" s="109"/>
      <c r="HWM30" s="109"/>
      <c r="HWN30" s="109"/>
      <c r="HWO30" s="109"/>
      <c r="HWP30" s="109"/>
      <c r="HWQ30" s="109"/>
      <c r="HWR30" s="109"/>
      <c r="HWS30" s="109"/>
      <c r="HWT30" s="109"/>
      <c r="HWU30" s="109"/>
      <c r="HWV30" s="109"/>
      <c r="HWW30" s="109"/>
      <c r="HWX30" s="109"/>
      <c r="HWY30" s="109"/>
      <c r="HWZ30" s="109"/>
      <c r="HXA30" s="109"/>
      <c r="HXB30" s="109"/>
      <c r="HXC30" s="109"/>
      <c r="HXD30" s="109"/>
      <c r="HXE30" s="109"/>
      <c r="HXF30" s="109"/>
      <c r="HXG30" s="109"/>
      <c r="HXH30" s="109"/>
      <c r="HXI30" s="109"/>
      <c r="HXJ30" s="109"/>
      <c r="HXK30" s="109"/>
      <c r="HXL30" s="109"/>
      <c r="HXM30" s="109"/>
      <c r="HXN30" s="109"/>
      <c r="HXO30" s="109"/>
      <c r="HXP30" s="109"/>
      <c r="HXQ30" s="109"/>
      <c r="HXR30" s="109"/>
      <c r="HXS30" s="109"/>
      <c r="HXT30" s="109"/>
      <c r="HXU30" s="109"/>
      <c r="HXV30" s="109"/>
      <c r="HXW30" s="109"/>
      <c r="HXX30" s="109"/>
      <c r="HXY30" s="109"/>
      <c r="HXZ30" s="109"/>
      <c r="HYA30" s="109"/>
      <c r="HYB30" s="109"/>
      <c r="HYC30" s="109"/>
      <c r="HYD30" s="109"/>
      <c r="HYE30" s="109"/>
      <c r="HYF30" s="109"/>
      <c r="HYG30" s="109"/>
      <c r="HYH30" s="109"/>
      <c r="HYI30" s="109"/>
      <c r="HYJ30" s="109"/>
      <c r="HYK30" s="109"/>
      <c r="HYL30" s="109"/>
      <c r="HYM30" s="109"/>
      <c r="HYN30" s="109"/>
      <c r="HYO30" s="109"/>
      <c r="HYP30" s="109"/>
      <c r="HYQ30" s="109"/>
      <c r="HYR30" s="109"/>
      <c r="HYS30" s="109"/>
      <c r="HYT30" s="109"/>
      <c r="HYU30" s="109"/>
      <c r="HYV30" s="109"/>
      <c r="HYW30" s="109"/>
      <c r="HYX30" s="109"/>
      <c r="HYY30" s="109"/>
      <c r="HYZ30" s="109"/>
      <c r="HZA30" s="109"/>
      <c r="HZB30" s="109"/>
      <c r="HZC30" s="109"/>
      <c r="HZD30" s="109"/>
      <c r="HZE30" s="109"/>
      <c r="HZF30" s="109"/>
      <c r="HZG30" s="109"/>
      <c r="HZH30" s="109"/>
      <c r="HZI30" s="109"/>
      <c r="HZJ30" s="109"/>
      <c r="HZK30" s="109"/>
      <c r="HZL30" s="109"/>
      <c r="HZM30" s="109"/>
      <c r="HZN30" s="109"/>
      <c r="HZO30" s="109"/>
      <c r="HZP30" s="109"/>
      <c r="HZQ30" s="109"/>
      <c r="HZR30" s="109"/>
      <c r="HZS30" s="109"/>
      <c r="HZT30" s="109"/>
      <c r="HZU30" s="109"/>
      <c r="HZV30" s="109"/>
      <c r="HZW30" s="109"/>
      <c r="HZX30" s="109"/>
      <c r="HZY30" s="109"/>
      <c r="HZZ30" s="109"/>
      <c r="IAA30" s="109"/>
      <c r="IAB30" s="109"/>
      <c r="IAC30" s="109"/>
      <c r="IAD30" s="109"/>
      <c r="IAE30" s="109"/>
      <c r="IAF30" s="109"/>
      <c r="IAG30" s="109"/>
      <c r="IAH30" s="109"/>
      <c r="IAI30" s="109"/>
      <c r="IAJ30" s="109"/>
      <c r="IAK30" s="109"/>
      <c r="IAL30" s="109"/>
      <c r="IAM30" s="109"/>
      <c r="IAN30" s="109"/>
      <c r="IAO30" s="109"/>
      <c r="IAP30" s="109"/>
      <c r="IAQ30" s="109"/>
      <c r="IAR30" s="109"/>
      <c r="IAS30" s="109"/>
      <c r="IAT30" s="109"/>
      <c r="IAU30" s="109"/>
      <c r="IAV30" s="109"/>
      <c r="IAW30" s="109"/>
      <c r="IAX30" s="109"/>
      <c r="IAY30" s="109"/>
      <c r="IAZ30" s="109"/>
      <c r="IBA30" s="109"/>
      <c r="IBB30" s="109"/>
      <c r="IBC30" s="109"/>
      <c r="IBD30" s="109"/>
      <c r="IBE30" s="109"/>
      <c r="IBF30" s="109"/>
      <c r="IBG30" s="109"/>
      <c r="IBH30" s="109"/>
      <c r="IBI30" s="109"/>
      <c r="IBJ30" s="109"/>
      <c r="IBK30" s="109"/>
      <c r="IBL30" s="109"/>
      <c r="IBM30" s="109"/>
      <c r="IBN30" s="109"/>
      <c r="IBO30" s="109"/>
      <c r="IBP30" s="109"/>
      <c r="IBQ30" s="109"/>
      <c r="IBR30" s="109"/>
      <c r="IBS30" s="109"/>
      <c r="IBT30" s="109"/>
      <c r="IBU30" s="109"/>
      <c r="IBV30" s="109"/>
      <c r="IBW30" s="109"/>
      <c r="IBX30" s="109"/>
      <c r="IBY30" s="109"/>
      <c r="IBZ30" s="109"/>
      <c r="ICA30" s="109"/>
      <c r="ICB30" s="109"/>
      <c r="ICC30" s="109"/>
      <c r="ICD30" s="109"/>
      <c r="ICE30" s="109"/>
      <c r="ICF30" s="109"/>
      <c r="ICG30" s="109"/>
      <c r="ICH30" s="109"/>
      <c r="ICI30" s="109"/>
      <c r="ICJ30" s="109"/>
      <c r="ICK30" s="109"/>
      <c r="ICL30" s="109"/>
      <c r="ICM30" s="109"/>
      <c r="ICN30" s="109"/>
      <c r="ICO30" s="109"/>
      <c r="ICP30" s="109"/>
      <c r="ICQ30" s="109"/>
      <c r="ICR30" s="109"/>
      <c r="ICS30" s="109"/>
      <c r="ICT30" s="109"/>
      <c r="ICU30" s="109"/>
      <c r="ICV30" s="109"/>
      <c r="ICW30" s="109"/>
      <c r="ICX30" s="109"/>
      <c r="ICY30" s="109"/>
      <c r="ICZ30" s="109"/>
      <c r="IDA30" s="109"/>
      <c r="IDB30" s="109"/>
      <c r="IDC30" s="109"/>
      <c r="IDD30" s="109"/>
      <c r="IDE30" s="109"/>
      <c r="IDF30" s="109"/>
      <c r="IDG30" s="109"/>
      <c r="IDH30" s="109"/>
      <c r="IDI30" s="109"/>
      <c r="IDJ30" s="109"/>
      <c r="IDK30" s="109"/>
      <c r="IDL30" s="109"/>
      <c r="IDM30" s="109"/>
      <c r="IDN30" s="109"/>
      <c r="IDO30" s="109"/>
      <c r="IDP30" s="109"/>
      <c r="IDQ30" s="109"/>
      <c r="IDR30" s="109"/>
      <c r="IDS30" s="109"/>
      <c r="IDT30" s="109"/>
      <c r="IDU30" s="109"/>
      <c r="IDV30" s="109"/>
      <c r="IDW30" s="109"/>
      <c r="IDX30" s="109"/>
      <c r="IDY30" s="109"/>
      <c r="IDZ30" s="109"/>
      <c r="IEA30" s="109"/>
      <c r="IEB30" s="109"/>
      <c r="IEC30" s="109"/>
      <c r="IED30" s="109"/>
      <c r="IEE30" s="109"/>
      <c r="IEF30" s="109"/>
      <c r="IEG30" s="109"/>
      <c r="IEH30" s="109"/>
      <c r="IEI30" s="109"/>
      <c r="IEJ30" s="109"/>
      <c r="IEK30" s="109"/>
      <c r="IEL30" s="109"/>
      <c r="IEM30" s="109"/>
      <c r="IEN30" s="109"/>
      <c r="IEO30" s="109"/>
      <c r="IEP30" s="109"/>
      <c r="IEQ30" s="109"/>
      <c r="IER30" s="109"/>
      <c r="IES30" s="109"/>
      <c r="IET30" s="109"/>
      <c r="IEU30" s="109"/>
      <c r="IEV30" s="109"/>
      <c r="IEW30" s="109"/>
      <c r="IEX30" s="109"/>
      <c r="IEY30" s="109"/>
      <c r="IEZ30" s="109"/>
      <c r="IFA30" s="109"/>
      <c r="IFB30" s="109"/>
      <c r="IFC30" s="109"/>
      <c r="IFD30" s="109"/>
      <c r="IFE30" s="109"/>
      <c r="IFF30" s="109"/>
      <c r="IFG30" s="109"/>
      <c r="IFH30" s="109"/>
      <c r="IFI30" s="109"/>
      <c r="IFJ30" s="109"/>
      <c r="IFK30" s="109"/>
      <c r="IFL30" s="109"/>
      <c r="IFM30" s="109"/>
      <c r="IFN30" s="109"/>
      <c r="IFO30" s="109"/>
      <c r="IFP30" s="109"/>
      <c r="IFQ30" s="109"/>
      <c r="IFR30" s="109"/>
      <c r="IFS30" s="109"/>
      <c r="IFT30" s="109"/>
      <c r="IFU30" s="109"/>
      <c r="IFV30" s="109"/>
      <c r="IFW30" s="109"/>
      <c r="IFX30" s="109"/>
      <c r="IFY30" s="109"/>
      <c r="IFZ30" s="109"/>
      <c r="IGA30" s="109"/>
      <c r="IGB30" s="109"/>
      <c r="IGC30" s="109"/>
      <c r="IGD30" s="109"/>
      <c r="IGE30" s="109"/>
      <c r="IGF30" s="109"/>
      <c r="IGG30" s="109"/>
      <c r="IGH30" s="109"/>
      <c r="IGI30" s="109"/>
      <c r="IGJ30" s="109"/>
      <c r="IGK30" s="109"/>
      <c r="IGL30" s="109"/>
      <c r="IGM30" s="109"/>
      <c r="IGN30" s="109"/>
      <c r="IGO30" s="109"/>
      <c r="IGP30" s="109"/>
      <c r="IGQ30" s="109"/>
      <c r="IGR30" s="109"/>
      <c r="IGS30" s="109"/>
      <c r="IGT30" s="109"/>
      <c r="IGU30" s="109"/>
      <c r="IGV30" s="109"/>
      <c r="IGW30" s="109"/>
      <c r="IGX30" s="109"/>
      <c r="IGY30" s="109"/>
      <c r="IGZ30" s="109"/>
      <c r="IHA30" s="109"/>
      <c r="IHB30" s="109"/>
      <c r="IHC30" s="109"/>
      <c r="IHD30" s="109"/>
      <c r="IHE30" s="109"/>
      <c r="IHF30" s="109"/>
      <c r="IHG30" s="109"/>
      <c r="IHH30" s="109"/>
      <c r="IHI30" s="109"/>
      <c r="IHJ30" s="109"/>
      <c r="IHK30" s="109"/>
      <c r="IHL30" s="109"/>
      <c r="IHM30" s="109"/>
      <c r="IHN30" s="109"/>
      <c r="IHO30" s="109"/>
      <c r="IHP30" s="109"/>
      <c r="IHQ30" s="109"/>
      <c r="IHR30" s="109"/>
      <c r="IHS30" s="109"/>
      <c r="IHT30" s="109"/>
      <c r="IHU30" s="109"/>
      <c r="IHV30" s="109"/>
      <c r="IHW30" s="109"/>
      <c r="IHX30" s="109"/>
      <c r="IHY30" s="109"/>
      <c r="IHZ30" s="109"/>
      <c r="IIA30" s="109"/>
      <c r="IIB30" s="109"/>
      <c r="IIC30" s="109"/>
      <c r="IID30" s="109"/>
      <c r="IIE30" s="109"/>
      <c r="IIF30" s="109"/>
      <c r="IIG30" s="109"/>
      <c r="IIH30" s="109"/>
      <c r="III30" s="109"/>
      <c r="IIJ30" s="109"/>
      <c r="IIK30" s="109"/>
      <c r="IIL30" s="109"/>
      <c r="IIM30" s="109"/>
      <c r="IIN30" s="109"/>
      <c r="IIO30" s="109"/>
      <c r="IIP30" s="109"/>
      <c r="IIQ30" s="109"/>
      <c r="IIR30" s="109"/>
      <c r="IIS30" s="109"/>
      <c r="IIT30" s="109"/>
      <c r="IIU30" s="109"/>
      <c r="IIV30" s="109"/>
      <c r="IIW30" s="109"/>
      <c r="IIX30" s="109"/>
      <c r="IIY30" s="109"/>
      <c r="IIZ30" s="109"/>
      <c r="IJA30" s="109"/>
      <c r="IJB30" s="109"/>
      <c r="IJC30" s="109"/>
      <c r="IJD30" s="109"/>
      <c r="IJE30" s="109"/>
      <c r="IJF30" s="109"/>
      <c r="IJG30" s="109"/>
      <c r="IJH30" s="109"/>
      <c r="IJI30" s="109"/>
      <c r="IJJ30" s="109"/>
      <c r="IJK30" s="109"/>
      <c r="IJL30" s="109"/>
      <c r="IJM30" s="109"/>
      <c r="IJN30" s="109"/>
      <c r="IJO30" s="109"/>
      <c r="IJP30" s="109"/>
      <c r="IJQ30" s="109"/>
      <c r="IJR30" s="109"/>
      <c r="IJS30" s="109"/>
      <c r="IJT30" s="109"/>
      <c r="IJU30" s="109"/>
      <c r="IJV30" s="109"/>
      <c r="IJW30" s="109"/>
      <c r="IJX30" s="109"/>
      <c r="IJY30" s="109"/>
      <c r="IJZ30" s="109"/>
      <c r="IKA30" s="109"/>
      <c r="IKB30" s="109"/>
      <c r="IKC30" s="109"/>
      <c r="IKD30" s="109"/>
      <c r="IKE30" s="109"/>
      <c r="IKF30" s="109"/>
      <c r="IKG30" s="109"/>
      <c r="IKH30" s="109"/>
      <c r="IKI30" s="109"/>
      <c r="IKJ30" s="109"/>
      <c r="IKK30" s="109"/>
      <c r="IKL30" s="109"/>
      <c r="IKM30" s="109"/>
      <c r="IKN30" s="109"/>
      <c r="IKO30" s="109"/>
      <c r="IKP30" s="109"/>
      <c r="IKQ30" s="109"/>
      <c r="IKR30" s="109"/>
      <c r="IKS30" s="109"/>
      <c r="IKT30" s="109"/>
      <c r="IKU30" s="109"/>
      <c r="IKV30" s="109"/>
      <c r="IKW30" s="109"/>
      <c r="IKX30" s="109"/>
      <c r="IKY30" s="109"/>
      <c r="IKZ30" s="109"/>
      <c r="ILA30" s="109"/>
      <c r="ILB30" s="109"/>
      <c r="ILC30" s="109"/>
      <c r="ILD30" s="109"/>
      <c r="ILE30" s="109"/>
      <c r="ILF30" s="109"/>
      <c r="ILG30" s="109"/>
      <c r="ILH30" s="109"/>
      <c r="ILI30" s="109"/>
      <c r="ILJ30" s="109"/>
      <c r="ILK30" s="109"/>
      <c r="ILL30" s="109"/>
      <c r="ILM30" s="109"/>
      <c r="ILN30" s="109"/>
      <c r="ILO30" s="109"/>
      <c r="ILP30" s="109"/>
      <c r="ILQ30" s="109"/>
      <c r="ILR30" s="109"/>
      <c r="ILS30" s="109"/>
      <c r="ILT30" s="109"/>
      <c r="ILU30" s="109"/>
      <c r="ILV30" s="109"/>
      <c r="ILW30" s="109"/>
      <c r="ILX30" s="109"/>
      <c r="ILY30" s="109"/>
      <c r="ILZ30" s="109"/>
      <c r="IMA30" s="109"/>
      <c r="IMB30" s="109"/>
      <c r="IMC30" s="109"/>
      <c r="IMD30" s="109"/>
      <c r="IME30" s="109"/>
      <c r="IMF30" s="109"/>
      <c r="IMG30" s="109"/>
      <c r="IMH30" s="109"/>
      <c r="IMI30" s="109"/>
      <c r="IMJ30" s="109"/>
      <c r="IMK30" s="109"/>
      <c r="IML30" s="109"/>
      <c r="IMM30" s="109"/>
      <c r="IMN30" s="109"/>
      <c r="IMO30" s="109"/>
      <c r="IMP30" s="109"/>
      <c r="IMQ30" s="109"/>
      <c r="IMR30" s="109"/>
      <c r="IMS30" s="109"/>
      <c r="IMT30" s="109"/>
      <c r="IMU30" s="109"/>
      <c r="IMV30" s="109"/>
      <c r="IMW30" s="109"/>
      <c r="IMX30" s="109"/>
      <c r="IMY30" s="109"/>
      <c r="IMZ30" s="109"/>
      <c r="INA30" s="109"/>
      <c r="INB30" s="109"/>
      <c r="INC30" s="109"/>
      <c r="IND30" s="109"/>
      <c r="INE30" s="109"/>
      <c r="INF30" s="109"/>
      <c r="ING30" s="109"/>
      <c r="INH30" s="109"/>
      <c r="INI30" s="109"/>
      <c r="INJ30" s="109"/>
      <c r="INK30" s="109"/>
      <c r="INL30" s="109"/>
      <c r="INM30" s="109"/>
      <c r="INN30" s="109"/>
      <c r="INO30" s="109"/>
      <c r="INP30" s="109"/>
      <c r="INQ30" s="109"/>
      <c r="INR30" s="109"/>
      <c r="INS30" s="109"/>
      <c r="INT30" s="109"/>
      <c r="INU30" s="109"/>
      <c r="INV30" s="109"/>
      <c r="INW30" s="109"/>
      <c r="INX30" s="109"/>
      <c r="INY30" s="109"/>
      <c r="INZ30" s="109"/>
      <c r="IOA30" s="109"/>
      <c r="IOB30" s="109"/>
      <c r="IOC30" s="109"/>
      <c r="IOD30" s="109"/>
      <c r="IOE30" s="109"/>
      <c r="IOF30" s="109"/>
      <c r="IOG30" s="109"/>
      <c r="IOH30" s="109"/>
      <c r="IOI30" s="109"/>
      <c r="IOJ30" s="109"/>
      <c r="IOK30" s="109"/>
      <c r="IOL30" s="109"/>
      <c r="IOM30" s="109"/>
      <c r="ION30" s="109"/>
      <c r="IOO30" s="109"/>
      <c r="IOP30" s="109"/>
      <c r="IOQ30" s="109"/>
      <c r="IOR30" s="109"/>
      <c r="IOS30" s="109"/>
      <c r="IOT30" s="109"/>
      <c r="IOU30" s="109"/>
      <c r="IOV30" s="109"/>
      <c r="IOW30" s="109"/>
      <c r="IOX30" s="109"/>
      <c r="IOY30" s="109"/>
      <c r="IOZ30" s="109"/>
      <c r="IPA30" s="109"/>
      <c r="IPB30" s="109"/>
      <c r="IPC30" s="109"/>
      <c r="IPD30" s="109"/>
      <c r="IPE30" s="109"/>
      <c r="IPF30" s="109"/>
      <c r="IPG30" s="109"/>
      <c r="IPH30" s="109"/>
      <c r="IPI30" s="109"/>
      <c r="IPJ30" s="109"/>
      <c r="IPK30" s="109"/>
      <c r="IPL30" s="109"/>
      <c r="IPM30" s="109"/>
      <c r="IPN30" s="109"/>
      <c r="IPO30" s="109"/>
      <c r="IPP30" s="109"/>
      <c r="IPQ30" s="109"/>
      <c r="IPR30" s="109"/>
      <c r="IPS30" s="109"/>
      <c r="IPT30" s="109"/>
      <c r="IPU30" s="109"/>
      <c r="IPV30" s="109"/>
      <c r="IPW30" s="109"/>
      <c r="IPX30" s="109"/>
      <c r="IPY30" s="109"/>
      <c r="IPZ30" s="109"/>
      <c r="IQA30" s="109"/>
      <c r="IQB30" s="109"/>
      <c r="IQC30" s="109"/>
      <c r="IQD30" s="109"/>
      <c r="IQE30" s="109"/>
      <c r="IQF30" s="109"/>
      <c r="IQG30" s="109"/>
      <c r="IQH30" s="109"/>
      <c r="IQI30" s="109"/>
      <c r="IQJ30" s="109"/>
      <c r="IQK30" s="109"/>
      <c r="IQL30" s="109"/>
      <c r="IQM30" s="109"/>
      <c r="IQN30" s="109"/>
      <c r="IQO30" s="109"/>
      <c r="IQP30" s="109"/>
      <c r="IQQ30" s="109"/>
      <c r="IQR30" s="109"/>
      <c r="IQS30" s="109"/>
      <c r="IQT30" s="109"/>
      <c r="IQU30" s="109"/>
      <c r="IQV30" s="109"/>
      <c r="IQW30" s="109"/>
      <c r="IQX30" s="109"/>
      <c r="IQY30" s="109"/>
      <c r="IQZ30" s="109"/>
      <c r="IRA30" s="109"/>
      <c r="IRB30" s="109"/>
      <c r="IRC30" s="109"/>
      <c r="IRD30" s="109"/>
      <c r="IRE30" s="109"/>
      <c r="IRF30" s="109"/>
      <c r="IRG30" s="109"/>
      <c r="IRH30" s="109"/>
      <c r="IRI30" s="109"/>
      <c r="IRJ30" s="109"/>
      <c r="IRK30" s="109"/>
      <c r="IRL30" s="109"/>
      <c r="IRM30" s="109"/>
      <c r="IRN30" s="109"/>
      <c r="IRO30" s="109"/>
      <c r="IRP30" s="109"/>
      <c r="IRQ30" s="109"/>
      <c r="IRR30" s="109"/>
      <c r="IRS30" s="109"/>
      <c r="IRT30" s="109"/>
      <c r="IRU30" s="109"/>
      <c r="IRV30" s="109"/>
      <c r="IRW30" s="109"/>
      <c r="IRX30" s="109"/>
      <c r="IRY30" s="109"/>
      <c r="IRZ30" s="109"/>
      <c r="ISA30" s="109"/>
      <c r="ISB30" s="109"/>
      <c r="ISC30" s="109"/>
      <c r="ISD30" s="109"/>
      <c r="ISE30" s="109"/>
      <c r="ISF30" s="109"/>
      <c r="ISG30" s="109"/>
      <c r="ISH30" s="109"/>
      <c r="ISI30" s="109"/>
      <c r="ISJ30" s="109"/>
      <c r="ISK30" s="109"/>
      <c r="ISL30" s="109"/>
      <c r="ISM30" s="109"/>
      <c r="ISN30" s="109"/>
      <c r="ISO30" s="109"/>
      <c r="ISP30" s="109"/>
      <c r="ISQ30" s="109"/>
      <c r="ISR30" s="109"/>
      <c r="ISS30" s="109"/>
      <c r="IST30" s="109"/>
      <c r="ISU30" s="109"/>
      <c r="ISV30" s="109"/>
      <c r="ISW30" s="109"/>
      <c r="ISX30" s="109"/>
      <c r="ISY30" s="109"/>
      <c r="ISZ30" s="109"/>
      <c r="ITA30" s="109"/>
      <c r="ITB30" s="109"/>
      <c r="ITC30" s="109"/>
      <c r="ITD30" s="109"/>
      <c r="ITE30" s="109"/>
      <c r="ITF30" s="109"/>
      <c r="ITG30" s="109"/>
      <c r="ITH30" s="109"/>
      <c r="ITI30" s="109"/>
      <c r="ITJ30" s="109"/>
      <c r="ITK30" s="109"/>
      <c r="ITL30" s="109"/>
      <c r="ITM30" s="109"/>
      <c r="ITN30" s="109"/>
      <c r="ITO30" s="109"/>
      <c r="ITP30" s="109"/>
      <c r="ITQ30" s="109"/>
      <c r="ITR30" s="109"/>
      <c r="ITS30" s="109"/>
      <c r="ITT30" s="109"/>
      <c r="ITU30" s="109"/>
      <c r="ITV30" s="109"/>
      <c r="ITW30" s="109"/>
      <c r="ITX30" s="109"/>
      <c r="ITY30" s="109"/>
      <c r="ITZ30" s="109"/>
      <c r="IUA30" s="109"/>
      <c r="IUB30" s="109"/>
      <c r="IUC30" s="109"/>
      <c r="IUD30" s="109"/>
      <c r="IUE30" s="109"/>
      <c r="IUF30" s="109"/>
      <c r="IUG30" s="109"/>
      <c r="IUH30" s="109"/>
      <c r="IUI30" s="109"/>
      <c r="IUJ30" s="109"/>
      <c r="IUK30" s="109"/>
      <c r="IUL30" s="109"/>
      <c r="IUM30" s="109"/>
      <c r="IUN30" s="109"/>
      <c r="IUO30" s="109"/>
      <c r="IUP30" s="109"/>
      <c r="IUQ30" s="109"/>
      <c r="IUR30" s="109"/>
      <c r="IUS30" s="109"/>
      <c r="IUT30" s="109"/>
      <c r="IUU30" s="109"/>
      <c r="IUV30" s="109"/>
      <c r="IUW30" s="109"/>
      <c r="IUX30" s="109"/>
      <c r="IUY30" s="109"/>
      <c r="IUZ30" s="109"/>
      <c r="IVA30" s="109"/>
      <c r="IVB30" s="109"/>
      <c r="IVC30" s="109"/>
      <c r="IVD30" s="109"/>
      <c r="IVE30" s="109"/>
      <c r="IVF30" s="109"/>
      <c r="IVG30" s="109"/>
      <c r="IVH30" s="109"/>
      <c r="IVI30" s="109"/>
      <c r="IVJ30" s="109"/>
      <c r="IVK30" s="109"/>
      <c r="IVL30" s="109"/>
      <c r="IVM30" s="109"/>
      <c r="IVN30" s="109"/>
      <c r="IVO30" s="109"/>
      <c r="IVP30" s="109"/>
      <c r="IVQ30" s="109"/>
      <c r="IVR30" s="109"/>
      <c r="IVS30" s="109"/>
      <c r="IVT30" s="109"/>
      <c r="IVU30" s="109"/>
      <c r="IVV30" s="109"/>
      <c r="IVW30" s="109"/>
      <c r="IVX30" s="109"/>
      <c r="IVY30" s="109"/>
      <c r="IVZ30" s="109"/>
      <c r="IWA30" s="109"/>
      <c r="IWB30" s="109"/>
      <c r="IWC30" s="109"/>
      <c r="IWD30" s="109"/>
      <c r="IWE30" s="109"/>
      <c r="IWF30" s="109"/>
      <c r="IWG30" s="109"/>
      <c r="IWH30" s="109"/>
      <c r="IWI30" s="109"/>
      <c r="IWJ30" s="109"/>
      <c r="IWK30" s="109"/>
      <c r="IWL30" s="109"/>
      <c r="IWM30" s="109"/>
      <c r="IWN30" s="109"/>
      <c r="IWO30" s="109"/>
      <c r="IWP30" s="109"/>
      <c r="IWQ30" s="109"/>
      <c r="IWR30" s="109"/>
      <c r="IWS30" s="109"/>
      <c r="IWT30" s="109"/>
      <c r="IWU30" s="109"/>
      <c r="IWV30" s="109"/>
      <c r="IWW30" s="109"/>
      <c r="IWX30" s="109"/>
      <c r="IWY30" s="109"/>
      <c r="IWZ30" s="109"/>
      <c r="IXA30" s="109"/>
      <c r="IXB30" s="109"/>
      <c r="IXC30" s="109"/>
      <c r="IXD30" s="109"/>
      <c r="IXE30" s="109"/>
      <c r="IXF30" s="109"/>
      <c r="IXG30" s="109"/>
      <c r="IXH30" s="109"/>
      <c r="IXI30" s="109"/>
      <c r="IXJ30" s="109"/>
      <c r="IXK30" s="109"/>
      <c r="IXL30" s="109"/>
      <c r="IXM30" s="109"/>
      <c r="IXN30" s="109"/>
      <c r="IXO30" s="109"/>
      <c r="IXP30" s="109"/>
      <c r="IXQ30" s="109"/>
      <c r="IXR30" s="109"/>
      <c r="IXS30" s="109"/>
      <c r="IXT30" s="109"/>
      <c r="IXU30" s="109"/>
      <c r="IXV30" s="109"/>
      <c r="IXW30" s="109"/>
      <c r="IXX30" s="109"/>
      <c r="IXY30" s="109"/>
      <c r="IXZ30" s="109"/>
      <c r="IYA30" s="109"/>
      <c r="IYB30" s="109"/>
      <c r="IYC30" s="109"/>
      <c r="IYD30" s="109"/>
      <c r="IYE30" s="109"/>
      <c r="IYF30" s="109"/>
      <c r="IYG30" s="109"/>
      <c r="IYH30" s="109"/>
      <c r="IYI30" s="109"/>
      <c r="IYJ30" s="109"/>
      <c r="IYK30" s="109"/>
      <c r="IYL30" s="109"/>
      <c r="IYM30" s="109"/>
      <c r="IYN30" s="109"/>
      <c r="IYO30" s="109"/>
      <c r="IYP30" s="109"/>
      <c r="IYQ30" s="109"/>
      <c r="IYR30" s="109"/>
      <c r="IYS30" s="109"/>
      <c r="IYT30" s="109"/>
      <c r="IYU30" s="109"/>
      <c r="IYV30" s="109"/>
      <c r="IYW30" s="109"/>
      <c r="IYX30" s="109"/>
      <c r="IYY30" s="109"/>
      <c r="IYZ30" s="109"/>
      <c r="IZA30" s="109"/>
      <c r="IZB30" s="109"/>
      <c r="IZC30" s="109"/>
      <c r="IZD30" s="109"/>
      <c r="IZE30" s="109"/>
      <c r="IZF30" s="109"/>
      <c r="IZG30" s="109"/>
      <c r="IZH30" s="109"/>
      <c r="IZI30" s="109"/>
      <c r="IZJ30" s="109"/>
      <c r="IZK30" s="109"/>
      <c r="IZL30" s="109"/>
      <c r="IZM30" s="109"/>
      <c r="IZN30" s="109"/>
      <c r="IZO30" s="109"/>
      <c r="IZP30" s="109"/>
      <c r="IZQ30" s="109"/>
      <c r="IZR30" s="109"/>
      <c r="IZS30" s="109"/>
      <c r="IZT30" s="109"/>
      <c r="IZU30" s="109"/>
      <c r="IZV30" s="109"/>
      <c r="IZW30" s="109"/>
      <c r="IZX30" s="109"/>
      <c r="IZY30" s="109"/>
      <c r="IZZ30" s="109"/>
      <c r="JAA30" s="109"/>
      <c r="JAB30" s="109"/>
      <c r="JAC30" s="109"/>
      <c r="JAD30" s="109"/>
      <c r="JAE30" s="109"/>
      <c r="JAF30" s="109"/>
      <c r="JAG30" s="109"/>
      <c r="JAH30" s="109"/>
      <c r="JAI30" s="109"/>
      <c r="JAJ30" s="109"/>
      <c r="JAK30" s="109"/>
      <c r="JAL30" s="109"/>
      <c r="JAM30" s="109"/>
      <c r="JAN30" s="109"/>
      <c r="JAO30" s="109"/>
      <c r="JAP30" s="109"/>
      <c r="JAQ30" s="109"/>
      <c r="JAR30" s="109"/>
      <c r="JAS30" s="109"/>
      <c r="JAT30" s="109"/>
      <c r="JAU30" s="109"/>
      <c r="JAV30" s="109"/>
      <c r="JAW30" s="109"/>
      <c r="JAX30" s="109"/>
      <c r="JAY30" s="109"/>
      <c r="JAZ30" s="109"/>
      <c r="JBA30" s="109"/>
      <c r="JBB30" s="109"/>
      <c r="JBC30" s="109"/>
      <c r="JBD30" s="109"/>
      <c r="JBE30" s="109"/>
      <c r="JBF30" s="109"/>
      <c r="JBG30" s="109"/>
      <c r="JBH30" s="109"/>
      <c r="JBI30" s="109"/>
      <c r="JBJ30" s="109"/>
      <c r="JBK30" s="109"/>
      <c r="JBL30" s="109"/>
      <c r="JBM30" s="109"/>
      <c r="JBN30" s="109"/>
      <c r="JBO30" s="109"/>
      <c r="JBP30" s="109"/>
      <c r="JBQ30" s="109"/>
      <c r="JBR30" s="109"/>
      <c r="JBS30" s="109"/>
      <c r="JBT30" s="109"/>
      <c r="JBU30" s="109"/>
      <c r="JBV30" s="109"/>
      <c r="JBW30" s="109"/>
      <c r="JBX30" s="109"/>
      <c r="JBY30" s="109"/>
      <c r="JBZ30" s="109"/>
      <c r="JCA30" s="109"/>
      <c r="JCB30" s="109"/>
      <c r="JCC30" s="109"/>
      <c r="JCD30" s="109"/>
      <c r="JCE30" s="109"/>
      <c r="JCF30" s="109"/>
      <c r="JCG30" s="109"/>
      <c r="JCH30" s="109"/>
      <c r="JCI30" s="109"/>
      <c r="JCJ30" s="109"/>
      <c r="JCK30" s="109"/>
      <c r="JCL30" s="109"/>
      <c r="JCM30" s="109"/>
      <c r="JCN30" s="109"/>
      <c r="JCO30" s="109"/>
      <c r="JCP30" s="109"/>
      <c r="JCQ30" s="109"/>
      <c r="JCR30" s="109"/>
      <c r="JCS30" s="109"/>
      <c r="JCT30" s="109"/>
      <c r="JCU30" s="109"/>
      <c r="JCV30" s="109"/>
      <c r="JCW30" s="109"/>
      <c r="JCX30" s="109"/>
      <c r="JCY30" s="109"/>
      <c r="JCZ30" s="109"/>
      <c r="JDA30" s="109"/>
      <c r="JDB30" s="109"/>
      <c r="JDC30" s="109"/>
      <c r="JDD30" s="109"/>
      <c r="JDE30" s="109"/>
      <c r="JDF30" s="109"/>
      <c r="JDG30" s="109"/>
      <c r="JDH30" s="109"/>
      <c r="JDI30" s="109"/>
      <c r="JDJ30" s="109"/>
      <c r="JDK30" s="109"/>
      <c r="JDL30" s="109"/>
      <c r="JDM30" s="109"/>
      <c r="JDN30" s="109"/>
      <c r="JDO30" s="109"/>
      <c r="JDP30" s="109"/>
      <c r="JDQ30" s="109"/>
      <c r="JDR30" s="109"/>
      <c r="JDS30" s="109"/>
      <c r="JDT30" s="109"/>
      <c r="JDU30" s="109"/>
      <c r="JDV30" s="109"/>
      <c r="JDW30" s="109"/>
      <c r="JDX30" s="109"/>
      <c r="JDY30" s="109"/>
      <c r="JDZ30" s="109"/>
      <c r="JEA30" s="109"/>
      <c r="JEB30" s="109"/>
      <c r="JEC30" s="109"/>
      <c r="JED30" s="109"/>
      <c r="JEE30" s="109"/>
      <c r="JEF30" s="109"/>
      <c r="JEG30" s="109"/>
      <c r="JEH30" s="109"/>
      <c r="JEI30" s="109"/>
      <c r="JEJ30" s="109"/>
      <c r="JEK30" s="109"/>
      <c r="JEL30" s="109"/>
      <c r="JEM30" s="109"/>
      <c r="JEN30" s="109"/>
      <c r="JEO30" s="109"/>
      <c r="JEP30" s="109"/>
      <c r="JEQ30" s="109"/>
      <c r="JER30" s="109"/>
      <c r="JES30" s="109"/>
      <c r="JET30" s="109"/>
      <c r="JEU30" s="109"/>
      <c r="JEV30" s="109"/>
      <c r="JEW30" s="109"/>
      <c r="JEX30" s="109"/>
      <c r="JEY30" s="109"/>
      <c r="JEZ30" s="109"/>
      <c r="JFA30" s="109"/>
      <c r="JFB30" s="109"/>
      <c r="JFC30" s="109"/>
      <c r="JFD30" s="109"/>
      <c r="JFE30" s="109"/>
      <c r="JFF30" s="109"/>
      <c r="JFG30" s="109"/>
      <c r="JFH30" s="109"/>
      <c r="JFI30" s="109"/>
      <c r="JFJ30" s="109"/>
      <c r="JFK30" s="109"/>
      <c r="JFL30" s="109"/>
      <c r="JFM30" s="109"/>
      <c r="JFN30" s="109"/>
      <c r="JFO30" s="109"/>
      <c r="JFP30" s="109"/>
      <c r="JFQ30" s="109"/>
      <c r="JFR30" s="109"/>
      <c r="JFS30" s="109"/>
      <c r="JFT30" s="109"/>
      <c r="JFU30" s="109"/>
      <c r="JFV30" s="109"/>
      <c r="JFW30" s="109"/>
      <c r="JFX30" s="109"/>
      <c r="JFY30" s="109"/>
      <c r="JFZ30" s="109"/>
      <c r="JGA30" s="109"/>
      <c r="JGB30" s="109"/>
      <c r="JGC30" s="109"/>
      <c r="JGD30" s="109"/>
      <c r="JGE30" s="109"/>
      <c r="JGF30" s="109"/>
      <c r="JGG30" s="109"/>
      <c r="JGH30" s="109"/>
      <c r="JGI30" s="109"/>
      <c r="JGJ30" s="109"/>
      <c r="JGK30" s="109"/>
      <c r="JGL30" s="109"/>
      <c r="JGM30" s="109"/>
      <c r="JGN30" s="109"/>
      <c r="JGO30" s="109"/>
      <c r="JGP30" s="109"/>
      <c r="JGQ30" s="109"/>
      <c r="JGR30" s="109"/>
      <c r="JGS30" s="109"/>
      <c r="JGT30" s="109"/>
      <c r="JGU30" s="109"/>
      <c r="JGV30" s="109"/>
      <c r="JGW30" s="109"/>
      <c r="JGX30" s="109"/>
      <c r="JGY30" s="109"/>
      <c r="JGZ30" s="109"/>
      <c r="JHA30" s="109"/>
      <c r="JHB30" s="109"/>
      <c r="JHC30" s="109"/>
      <c r="JHD30" s="109"/>
      <c r="JHE30" s="109"/>
      <c r="JHF30" s="109"/>
      <c r="JHG30" s="109"/>
      <c r="JHH30" s="109"/>
      <c r="JHI30" s="109"/>
      <c r="JHJ30" s="109"/>
      <c r="JHK30" s="109"/>
      <c r="JHL30" s="109"/>
      <c r="JHM30" s="109"/>
      <c r="JHN30" s="109"/>
      <c r="JHO30" s="109"/>
      <c r="JHP30" s="109"/>
      <c r="JHQ30" s="109"/>
      <c r="JHR30" s="109"/>
      <c r="JHS30" s="109"/>
      <c r="JHT30" s="109"/>
      <c r="JHU30" s="109"/>
      <c r="JHV30" s="109"/>
      <c r="JHW30" s="109"/>
      <c r="JHX30" s="109"/>
      <c r="JHY30" s="109"/>
      <c r="JHZ30" s="109"/>
      <c r="JIA30" s="109"/>
      <c r="JIB30" s="109"/>
      <c r="JIC30" s="109"/>
      <c r="JID30" s="109"/>
      <c r="JIE30" s="109"/>
      <c r="JIF30" s="109"/>
      <c r="JIG30" s="109"/>
      <c r="JIH30" s="109"/>
      <c r="JII30" s="109"/>
      <c r="JIJ30" s="109"/>
      <c r="JIK30" s="109"/>
      <c r="JIL30" s="109"/>
      <c r="JIM30" s="109"/>
      <c r="JIN30" s="109"/>
      <c r="JIO30" s="109"/>
      <c r="JIP30" s="109"/>
      <c r="JIQ30" s="109"/>
      <c r="JIR30" s="109"/>
      <c r="JIS30" s="109"/>
      <c r="JIT30" s="109"/>
      <c r="JIU30" s="109"/>
      <c r="JIV30" s="109"/>
      <c r="JIW30" s="109"/>
      <c r="JIX30" s="109"/>
      <c r="JIY30" s="109"/>
      <c r="JIZ30" s="109"/>
      <c r="JJA30" s="109"/>
      <c r="JJB30" s="109"/>
      <c r="JJC30" s="109"/>
      <c r="JJD30" s="109"/>
      <c r="JJE30" s="109"/>
      <c r="JJF30" s="109"/>
      <c r="JJG30" s="109"/>
      <c r="JJH30" s="109"/>
      <c r="JJI30" s="109"/>
      <c r="JJJ30" s="109"/>
      <c r="JJK30" s="109"/>
      <c r="JJL30" s="109"/>
      <c r="JJM30" s="109"/>
      <c r="JJN30" s="109"/>
      <c r="JJO30" s="109"/>
      <c r="JJP30" s="109"/>
      <c r="JJQ30" s="109"/>
      <c r="JJR30" s="109"/>
      <c r="JJS30" s="109"/>
      <c r="JJT30" s="109"/>
      <c r="JJU30" s="109"/>
      <c r="JJV30" s="109"/>
      <c r="JJW30" s="109"/>
      <c r="JJX30" s="109"/>
      <c r="JJY30" s="109"/>
      <c r="JJZ30" s="109"/>
      <c r="JKA30" s="109"/>
      <c r="JKB30" s="109"/>
      <c r="JKC30" s="109"/>
      <c r="JKD30" s="109"/>
      <c r="JKE30" s="109"/>
      <c r="JKF30" s="109"/>
      <c r="JKG30" s="109"/>
      <c r="JKH30" s="109"/>
      <c r="JKI30" s="109"/>
      <c r="JKJ30" s="109"/>
      <c r="JKK30" s="109"/>
      <c r="JKL30" s="109"/>
      <c r="JKM30" s="109"/>
      <c r="JKN30" s="109"/>
      <c r="JKO30" s="109"/>
      <c r="JKP30" s="109"/>
      <c r="JKQ30" s="109"/>
      <c r="JKR30" s="109"/>
      <c r="JKS30" s="109"/>
      <c r="JKT30" s="109"/>
      <c r="JKU30" s="109"/>
      <c r="JKV30" s="109"/>
      <c r="JKW30" s="109"/>
      <c r="JKX30" s="109"/>
      <c r="JKY30" s="109"/>
      <c r="JKZ30" s="109"/>
      <c r="JLA30" s="109"/>
      <c r="JLB30" s="109"/>
      <c r="JLC30" s="109"/>
      <c r="JLD30" s="109"/>
      <c r="JLE30" s="109"/>
      <c r="JLF30" s="109"/>
      <c r="JLG30" s="109"/>
      <c r="JLH30" s="109"/>
      <c r="JLI30" s="109"/>
      <c r="JLJ30" s="109"/>
      <c r="JLK30" s="109"/>
      <c r="JLL30" s="109"/>
      <c r="JLM30" s="109"/>
      <c r="JLN30" s="109"/>
      <c r="JLO30" s="109"/>
      <c r="JLP30" s="109"/>
      <c r="JLQ30" s="109"/>
      <c r="JLR30" s="109"/>
      <c r="JLS30" s="109"/>
      <c r="JLT30" s="109"/>
      <c r="JLU30" s="109"/>
      <c r="JLV30" s="109"/>
      <c r="JLW30" s="109"/>
      <c r="JLX30" s="109"/>
      <c r="JLY30" s="109"/>
      <c r="JLZ30" s="109"/>
      <c r="JMA30" s="109"/>
      <c r="JMB30" s="109"/>
      <c r="JMC30" s="109"/>
      <c r="JMD30" s="109"/>
      <c r="JME30" s="109"/>
      <c r="JMF30" s="109"/>
      <c r="JMG30" s="109"/>
      <c r="JMH30" s="109"/>
      <c r="JMI30" s="109"/>
      <c r="JMJ30" s="109"/>
      <c r="JMK30" s="109"/>
      <c r="JML30" s="109"/>
      <c r="JMM30" s="109"/>
      <c r="JMN30" s="109"/>
      <c r="JMO30" s="109"/>
      <c r="JMP30" s="109"/>
      <c r="JMQ30" s="109"/>
      <c r="JMR30" s="109"/>
      <c r="JMS30" s="109"/>
      <c r="JMT30" s="109"/>
      <c r="JMU30" s="109"/>
      <c r="JMV30" s="109"/>
      <c r="JMW30" s="109"/>
      <c r="JMX30" s="109"/>
      <c r="JMY30" s="109"/>
      <c r="JMZ30" s="109"/>
      <c r="JNA30" s="109"/>
      <c r="JNB30" s="109"/>
      <c r="JNC30" s="109"/>
      <c r="JND30" s="109"/>
      <c r="JNE30" s="109"/>
      <c r="JNF30" s="109"/>
      <c r="JNG30" s="109"/>
      <c r="JNH30" s="109"/>
      <c r="JNI30" s="109"/>
      <c r="JNJ30" s="109"/>
      <c r="JNK30" s="109"/>
      <c r="JNL30" s="109"/>
      <c r="JNM30" s="109"/>
      <c r="JNN30" s="109"/>
      <c r="JNO30" s="109"/>
      <c r="JNP30" s="109"/>
      <c r="JNQ30" s="109"/>
      <c r="JNR30" s="109"/>
      <c r="JNS30" s="109"/>
      <c r="JNT30" s="109"/>
      <c r="JNU30" s="109"/>
      <c r="JNV30" s="109"/>
      <c r="JNW30" s="109"/>
      <c r="JNX30" s="109"/>
      <c r="JNY30" s="109"/>
      <c r="JNZ30" s="109"/>
      <c r="JOA30" s="109"/>
      <c r="JOB30" s="109"/>
      <c r="JOC30" s="109"/>
      <c r="JOD30" s="109"/>
      <c r="JOE30" s="109"/>
      <c r="JOF30" s="109"/>
      <c r="JOG30" s="109"/>
      <c r="JOH30" s="109"/>
      <c r="JOI30" s="109"/>
      <c r="JOJ30" s="109"/>
      <c r="JOK30" s="109"/>
      <c r="JOL30" s="109"/>
      <c r="JOM30" s="109"/>
      <c r="JON30" s="109"/>
      <c r="JOO30" s="109"/>
      <c r="JOP30" s="109"/>
      <c r="JOQ30" s="109"/>
      <c r="JOR30" s="109"/>
      <c r="JOS30" s="109"/>
      <c r="JOT30" s="109"/>
      <c r="JOU30" s="109"/>
      <c r="JOV30" s="109"/>
      <c r="JOW30" s="109"/>
      <c r="JOX30" s="109"/>
      <c r="JOY30" s="109"/>
      <c r="JOZ30" s="109"/>
      <c r="JPA30" s="109"/>
      <c r="JPB30" s="109"/>
      <c r="JPC30" s="109"/>
      <c r="JPD30" s="109"/>
      <c r="JPE30" s="109"/>
      <c r="JPF30" s="109"/>
      <c r="JPG30" s="109"/>
      <c r="JPH30" s="109"/>
      <c r="JPI30" s="109"/>
      <c r="JPJ30" s="109"/>
      <c r="JPK30" s="109"/>
      <c r="JPL30" s="109"/>
      <c r="JPM30" s="109"/>
      <c r="JPN30" s="109"/>
      <c r="JPO30" s="109"/>
      <c r="JPP30" s="109"/>
      <c r="JPQ30" s="109"/>
      <c r="JPR30" s="109"/>
      <c r="JPS30" s="109"/>
      <c r="JPT30" s="109"/>
      <c r="JPU30" s="109"/>
      <c r="JPV30" s="109"/>
      <c r="JPW30" s="109"/>
      <c r="JPX30" s="109"/>
      <c r="JPY30" s="109"/>
      <c r="JPZ30" s="109"/>
      <c r="JQA30" s="109"/>
      <c r="JQB30" s="109"/>
      <c r="JQC30" s="109"/>
      <c r="JQD30" s="109"/>
      <c r="JQE30" s="109"/>
      <c r="JQF30" s="109"/>
      <c r="JQG30" s="109"/>
      <c r="JQH30" s="109"/>
      <c r="JQI30" s="109"/>
      <c r="JQJ30" s="109"/>
      <c r="JQK30" s="109"/>
      <c r="JQL30" s="109"/>
      <c r="JQM30" s="109"/>
      <c r="JQN30" s="109"/>
      <c r="JQO30" s="109"/>
      <c r="JQP30" s="109"/>
      <c r="JQQ30" s="109"/>
      <c r="JQR30" s="109"/>
      <c r="JQS30" s="109"/>
      <c r="JQT30" s="109"/>
      <c r="JQU30" s="109"/>
      <c r="JQV30" s="109"/>
      <c r="JQW30" s="109"/>
      <c r="JQX30" s="109"/>
      <c r="JQY30" s="109"/>
      <c r="JQZ30" s="109"/>
      <c r="JRA30" s="109"/>
      <c r="JRB30" s="109"/>
      <c r="JRC30" s="109"/>
      <c r="JRD30" s="109"/>
      <c r="JRE30" s="109"/>
      <c r="JRF30" s="109"/>
      <c r="JRG30" s="109"/>
      <c r="JRH30" s="109"/>
      <c r="JRI30" s="109"/>
      <c r="JRJ30" s="109"/>
      <c r="JRK30" s="109"/>
      <c r="JRL30" s="109"/>
      <c r="JRM30" s="109"/>
      <c r="JRN30" s="109"/>
      <c r="JRO30" s="109"/>
      <c r="JRP30" s="109"/>
      <c r="JRQ30" s="109"/>
      <c r="JRR30" s="109"/>
      <c r="JRS30" s="109"/>
      <c r="JRT30" s="109"/>
      <c r="JRU30" s="109"/>
      <c r="JRV30" s="109"/>
      <c r="JRW30" s="109"/>
      <c r="JRX30" s="109"/>
      <c r="JRY30" s="109"/>
      <c r="JRZ30" s="109"/>
      <c r="JSA30" s="109"/>
      <c r="JSB30" s="109"/>
      <c r="JSC30" s="109"/>
      <c r="JSD30" s="109"/>
      <c r="JSE30" s="109"/>
      <c r="JSF30" s="109"/>
      <c r="JSG30" s="109"/>
      <c r="JSH30" s="109"/>
      <c r="JSI30" s="109"/>
      <c r="JSJ30" s="109"/>
      <c r="JSK30" s="109"/>
      <c r="JSL30" s="109"/>
      <c r="JSM30" s="109"/>
      <c r="JSN30" s="109"/>
      <c r="JSO30" s="109"/>
      <c r="JSP30" s="109"/>
      <c r="JSQ30" s="109"/>
      <c r="JSR30" s="109"/>
      <c r="JSS30" s="109"/>
      <c r="JST30" s="109"/>
      <c r="JSU30" s="109"/>
      <c r="JSV30" s="109"/>
      <c r="JSW30" s="109"/>
      <c r="JSX30" s="109"/>
      <c r="JSY30" s="109"/>
      <c r="JSZ30" s="109"/>
      <c r="JTA30" s="109"/>
      <c r="JTB30" s="109"/>
      <c r="JTC30" s="109"/>
      <c r="JTD30" s="109"/>
      <c r="JTE30" s="109"/>
      <c r="JTF30" s="109"/>
      <c r="JTG30" s="109"/>
      <c r="JTH30" s="109"/>
      <c r="JTI30" s="109"/>
      <c r="JTJ30" s="109"/>
      <c r="JTK30" s="109"/>
      <c r="JTL30" s="109"/>
      <c r="JTM30" s="109"/>
      <c r="JTN30" s="109"/>
      <c r="JTO30" s="109"/>
      <c r="JTP30" s="109"/>
      <c r="JTQ30" s="109"/>
      <c r="JTR30" s="109"/>
      <c r="JTS30" s="109"/>
      <c r="JTT30" s="109"/>
      <c r="JTU30" s="109"/>
      <c r="JTV30" s="109"/>
      <c r="JTW30" s="109"/>
      <c r="JTX30" s="109"/>
      <c r="JTY30" s="109"/>
      <c r="JTZ30" s="109"/>
      <c r="JUA30" s="109"/>
      <c r="JUB30" s="109"/>
      <c r="JUC30" s="109"/>
      <c r="JUD30" s="109"/>
      <c r="JUE30" s="109"/>
      <c r="JUF30" s="109"/>
      <c r="JUG30" s="109"/>
      <c r="JUH30" s="109"/>
      <c r="JUI30" s="109"/>
      <c r="JUJ30" s="109"/>
      <c r="JUK30" s="109"/>
      <c r="JUL30" s="109"/>
      <c r="JUM30" s="109"/>
      <c r="JUN30" s="109"/>
      <c r="JUO30" s="109"/>
      <c r="JUP30" s="109"/>
      <c r="JUQ30" s="109"/>
      <c r="JUR30" s="109"/>
      <c r="JUS30" s="109"/>
      <c r="JUT30" s="109"/>
      <c r="JUU30" s="109"/>
      <c r="JUV30" s="109"/>
      <c r="JUW30" s="109"/>
      <c r="JUX30" s="109"/>
      <c r="JUY30" s="109"/>
      <c r="JUZ30" s="109"/>
      <c r="JVA30" s="109"/>
      <c r="JVB30" s="109"/>
      <c r="JVC30" s="109"/>
      <c r="JVD30" s="109"/>
      <c r="JVE30" s="109"/>
      <c r="JVF30" s="109"/>
      <c r="JVG30" s="109"/>
      <c r="JVH30" s="109"/>
      <c r="JVI30" s="109"/>
      <c r="JVJ30" s="109"/>
      <c r="JVK30" s="109"/>
      <c r="JVL30" s="109"/>
      <c r="JVM30" s="109"/>
      <c r="JVN30" s="109"/>
      <c r="JVO30" s="109"/>
      <c r="JVP30" s="109"/>
      <c r="JVQ30" s="109"/>
      <c r="JVR30" s="109"/>
      <c r="JVS30" s="109"/>
      <c r="JVT30" s="109"/>
      <c r="JVU30" s="109"/>
      <c r="JVV30" s="109"/>
      <c r="JVW30" s="109"/>
      <c r="JVX30" s="109"/>
      <c r="JVY30" s="109"/>
      <c r="JVZ30" s="109"/>
      <c r="JWA30" s="109"/>
      <c r="JWB30" s="109"/>
      <c r="JWC30" s="109"/>
      <c r="JWD30" s="109"/>
      <c r="JWE30" s="109"/>
      <c r="JWF30" s="109"/>
      <c r="JWG30" s="109"/>
      <c r="JWH30" s="109"/>
      <c r="JWI30" s="109"/>
      <c r="JWJ30" s="109"/>
      <c r="JWK30" s="109"/>
      <c r="JWL30" s="109"/>
      <c r="JWM30" s="109"/>
      <c r="JWN30" s="109"/>
      <c r="JWO30" s="109"/>
      <c r="JWP30" s="109"/>
      <c r="JWQ30" s="109"/>
      <c r="JWR30" s="109"/>
      <c r="JWS30" s="109"/>
      <c r="JWT30" s="109"/>
      <c r="JWU30" s="109"/>
      <c r="JWV30" s="109"/>
      <c r="JWW30" s="109"/>
      <c r="JWX30" s="109"/>
      <c r="JWY30" s="109"/>
      <c r="JWZ30" s="109"/>
      <c r="JXA30" s="109"/>
      <c r="JXB30" s="109"/>
      <c r="JXC30" s="109"/>
      <c r="JXD30" s="109"/>
      <c r="JXE30" s="109"/>
      <c r="JXF30" s="109"/>
      <c r="JXG30" s="109"/>
      <c r="JXH30" s="109"/>
      <c r="JXI30" s="109"/>
      <c r="JXJ30" s="109"/>
      <c r="JXK30" s="109"/>
      <c r="JXL30" s="109"/>
      <c r="JXM30" s="109"/>
      <c r="JXN30" s="109"/>
      <c r="JXO30" s="109"/>
      <c r="JXP30" s="109"/>
      <c r="JXQ30" s="109"/>
      <c r="JXR30" s="109"/>
      <c r="JXS30" s="109"/>
      <c r="JXT30" s="109"/>
      <c r="JXU30" s="109"/>
      <c r="JXV30" s="109"/>
      <c r="JXW30" s="109"/>
      <c r="JXX30" s="109"/>
      <c r="JXY30" s="109"/>
      <c r="JXZ30" s="109"/>
      <c r="JYA30" s="109"/>
      <c r="JYB30" s="109"/>
      <c r="JYC30" s="109"/>
      <c r="JYD30" s="109"/>
      <c r="JYE30" s="109"/>
      <c r="JYF30" s="109"/>
      <c r="JYG30" s="109"/>
      <c r="JYH30" s="109"/>
      <c r="JYI30" s="109"/>
      <c r="JYJ30" s="109"/>
      <c r="JYK30" s="109"/>
      <c r="JYL30" s="109"/>
      <c r="JYM30" s="109"/>
      <c r="JYN30" s="109"/>
      <c r="JYO30" s="109"/>
      <c r="JYP30" s="109"/>
      <c r="JYQ30" s="109"/>
      <c r="JYR30" s="109"/>
      <c r="JYS30" s="109"/>
      <c r="JYT30" s="109"/>
      <c r="JYU30" s="109"/>
      <c r="JYV30" s="109"/>
      <c r="JYW30" s="109"/>
      <c r="JYX30" s="109"/>
      <c r="JYY30" s="109"/>
      <c r="JYZ30" s="109"/>
      <c r="JZA30" s="109"/>
      <c r="JZB30" s="109"/>
      <c r="JZC30" s="109"/>
      <c r="JZD30" s="109"/>
      <c r="JZE30" s="109"/>
      <c r="JZF30" s="109"/>
      <c r="JZG30" s="109"/>
      <c r="JZH30" s="109"/>
      <c r="JZI30" s="109"/>
      <c r="JZJ30" s="109"/>
      <c r="JZK30" s="109"/>
      <c r="JZL30" s="109"/>
      <c r="JZM30" s="109"/>
      <c r="JZN30" s="109"/>
      <c r="JZO30" s="109"/>
      <c r="JZP30" s="109"/>
      <c r="JZQ30" s="109"/>
      <c r="JZR30" s="109"/>
      <c r="JZS30" s="109"/>
      <c r="JZT30" s="109"/>
      <c r="JZU30" s="109"/>
      <c r="JZV30" s="109"/>
      <c r="JZW30" s="109"/>
      <c r="JZX30" s="109"/>
      <c r="JZY30" s="109"/>
      <c r="JZZ30" s="109"/>
      <c r="KAA30" s="109"/>
      <c r="KAB30" s="109"/>
      <c r="KAC30" s="109"/>
      <c r="KAD30" s="109"/>
      <c r="KAE30" s="109"/>
      <c r="KAF30" s="109"/>
      <c r="KAG30" s="109"/>
      <c r="KAH30" s="109"/>
      <c r="KAI30" s="109"/>
      <c r="KAJ30" s="109"/>
      <c r="KAK30" s="109"/>
      <c r="KAL30" s="109"/>
      <c r="KAM30" s="109"/>
      <c r="KAN30" s="109"/>
      <c r="KAO30" s="109"/>
      <c r="KAP30" s="109"/>
      <c r="KAQ30" s="109"/>
      <c r="KAR30" s="109"/>
      <c r="KAS30" s="109"/>
      <c r="KAT30" s="109"/>
      <c r="KAU30" s="109"/>
      <c r="KAV30" s="109"/>
      <c r="KAW30" s="109"/>
      <c r="KAX30" s="109"/>
      <c r="KAY30" s="109"/>
      <c r="KAZ30" s="109"/>
      <c r="KBA30" s="109"/>
      <c r="KBB30" s="109"/>
      <c r="KBC30" s="109"/>
      <c r="KBD30" s="109"/>
      <c r="KBE30" s="109"/>
      <c r="KBF30" s="109"/>
      <c r="KBG30" s="109"/>
      <c r="KBH30" s="109"/>
      <c r="KBI30" s="109"/>
      <c r="KBJ30" s="109"/>
      <c r="KBK30" s="109"/>
      <c r="KBL30" s="109"/>
      <c r="KBM30" s="109"/>
      <c r="KBN30" s="109"/>
      <c r="KBO30" s="109"/>
      <c r="KBP30" s="109"/>
      <c r="KBQ30" s="109"/>
      <c r="KBR30" s="109"/>
      <c r="KBS30" s="109"/>
      <c r="KBT30" s="109"/>
      <c r="KBU30" s="109"/>
      <c r="KBV30" s="109"/>
      <c r="KBW30" s="109"/>
      <c r="KBX30" s="109"/>
      <c r="KBY30" s="109"/>
      <c r="KBZ30" s="109"/>
      <c r="KCA30" s="109"/>
      <c r="KCB30" s="109"/>
      <c r="KCC30" s="109"/>
      <c r="KCD30" s="109"/>
      <c r="KCE30" s="109"/>
      <c r="KCF30" s="109"/>
      <c r="KCG30" s="109"/>
      <c r="KCH30" s="109"/>
      <c r="KCI30" s="109"/>
      <c r="KCJ30" s="109"/>
      <c r="KCK30" s="109"/>
      <c r="KCL30" s="109"/>
      <c r="KCM30" s="109"/>
      <c r="KCN30" s="109"/>
      <c r="KCO30" s="109"/>
      <c r="KCP30" s="109"/>
      <c r="KCQ30" s="109"/>
      <c r="KCR30" s="109"/>
      <c r="KCS30" s="109"/>
      <c r="KCT30" s="109"/>
      <c r="KCU30" s="109"/>
      <c r="KCV30" s="109"/>
      <c r="KCW30" s="109"/>
      <c r="KCX30" s="109"/>
      <c r="KCY30" s="109"/>
      <c r="KCZ30" s="109"/>
      <c r="KDA30" s="109"/>
      <c r="KDB30" s="109"/>
      <c r="KDC30" s="109"/>
      <c r="KDD30" s="109"/>
      <c r="KDE30" s="109"/>
      <c r="KDF30" s="109"/>
      <c r="KDG30" s="109"/>
      <c r="KDH30" s="109"/>
      <c r="KDI30" s="109"/>
      <c r="KDJ30" s="109"/>
      <c r="KDK30" s="109"/>
      <c r="KDL30" s="109"/>
      <c r="KDM30" s="109"/>
      <c r="KDN30" s="109"/>
      <c r="KDO30" s="109"/>
      <c r="KDP30" s="109"/>
      <c r="KDQ30" s="109"/>
      <c r="KDR30" s="109"/>
      <c r="KDS30" s="109"/>
      <c r="KDT30" s="109"/>
      <c r="KDU30" s="109"/>
      <c r="KDV30" s="109"/>
      <c r="KDW30" s="109"/>
      <c r="KDX30" s="109"/>
      <c r="KDY30" s="109"/>
      <c r="KDZ30" s="109"/>
      <c r="KEA30" s="109"/>
      <c r="KEB30" s="109"/>
      <c r="KEC30" s="109"/>
      <c r="KED30" s="109"/>
      <c r="KEE30" s="109"/>
      <c r="KEF30" s="109"/>
      <c r="KEG30" s="109"/>
      <c r="KEH30" s="109"/>
      <c r="KEI30" s="109"/>
      <c r="KEJ30" s="109"/>
      <c r="KEK30" s="109"/>
      <c r="KEL30" s="109"/>
      <c r="KEM30" s="109"/>
      <c r="KEN30" s="109"/>
      <c r="KEO30" s="109"/>
      <c r="KEP30" s="109"/>
      <c r="KEQ30" s="109"/>
      <c r="KER30" s="109"/>
      <c r="KES30" s="109"/>
      <c r="KET30" s="109"/>
      <c r="KEU30" s="109"/>
      <c r="KEV30" s="109"/>
      <c r="KEW30" s="109"/>
      <c r="KEX30" s="109"/>
      <c r="KEY30" s="109"/>
      <c r="KEZ30" s="109"/>
      <c r="KFA30" s="109"/>
      <c r="KFB30" s="109"/>
      <c r="KFC30" s="109"/>
      <c r="KFD30" s="109"/>
      <c r="KFE30" s="109"/>
      <c r="KFF30" s="109"/>
      <c r="KFG30" s="109"/>
      <c r="KFH30" s="109"/>
      <c r="KFI30" s="109"/>
      <c r="KFJ30" s="109"/>
      <c r="KFK30" s="109"/>
      <c r="KFL30" s="109"/>
      <c r="KFM30" s="109"/>
      <c r="KFN30" s="109"/>
      <c r="KFO30" s="109"/>
      <c r="KFP30" s="109"/>
      <c r="KFQ30" s="109"/>
      <c r="KFR30" s="109"/>
      <c r="KFS30" s="109"/>
      <c r="KFT30" s="109"/>
      <c r="KFU30" s="109"/>
      <c r="KFV30" s="109"/>
      <c r="KFW30" s="109"/>
      <c r="KFX30" s="109"/>
      <c r="KFY30" s="109"/>
      <c r="KFZ30" s="109"/>
      <c r="KGA30" s="109"/>
      <c r="KGB30" s="109"/>
      <c r="KGC30" s="109"/>
      <c r="KGD30" s="109"/>
      <c r="KGE30" s="109"/>
      <c r="KGF30" s="109"/>
      <c r="KGG30" s="109"/>
      <c r="KGH30" s="109"/>
      <c r="KGI30" s="109"/>
      <c r="KGJ30" s="109"/>
      <c r="KGK30" s="109"/>
      <c r="KGL30" s="109"/>
      <c r="KGM30" s="109"/>
      <c r="KGN30" s="109"/>
      <c r="KGO30" s="109"/>
      <c r="KGP30" s="109"/>
      <c r="KGQ30" s="109"/>
      <c r="KGR30" s="109"/>
      <c r="KGS30" s="109"/>
      <c r="KGT30" s="109"/>
      <c r="KGU30" s="109"/>
      <c r="KGV30" s="109"/>
      <c r="KGW30" s="109"/>
      <c r="KGX30" s="109"/>
      <c r="KGY30" s="109"/>
      <c r="KGZ30" s="109"/>
      <c r="KHA30" s="109"/>
      <c r="KHB30" s="109"/>
      <c r="KHC30" s="109"/>
      <c r="KHD30" s="109"/>
      <c r="KHE30" s="109"/>
      <c r="KHF30" s="109"/>
      <c r="KHG30" s="109"/>
      <c r="KHH30" s="109"/>
      <c r="KHI30" s="109"/>
      <c r="KHJ30" s="109"/>
      <c r="KHK30" s="109"/>
      <c r="KHL30" s="109"/>
      <c r="KHM30" s="109"/>
      <c r="KHN30" s="109"/>
      <c r="KHO30" s="109"/>
      <c r="KHP30" s="109"/>
      <c r="KHQ30" s="109"/>
      <c r="KHR30" s="109"/>
      <c r="KHS30" s="109"/>
      <c r="KHT30" s="109"/>
      <c r="KHU30" s="109"/>
      <c r="KHV30" s="109"/>
      <c r="KHW30" s="109"/>
      <c r="KHX30" s="109"/>
      <c r="KHY30" s="109"/>
      <c r="KHZ30" s="109"/>
      <c r="KIA30" s="109"/>
      <c r="KIB30" s="109"/>
      <c r="KIC30" s="109"/>
      <c r="KID30" s="109"/>
      <c r="KIE30" s="109"/>
      <c r="KIF30" s="109"/>
      <c r="KIG30" s="109"/>
      <c r="KIH30" s="109"/>
      <c r="KII30" s="109"/>
      <c r="KIJ30" s="109"/>
      <c r="KIK30" s="109"/>
      <c r="KIL30" s="109"/>
      <c r="KIM30" s="109"/>
      <c r="KIN30" s="109"/>
      <c r="KIO30" s="109"/>
      <c r="KIP30" s="109"/>
      <c r="KIQ30" s="109"/>
      <c r="KIR30" s="109"/>
      <c r="KIS30" s="109"/>
      <c r="KIT30" s="109"/>
      <c r="KIU30" s="109"/>
      <c r="KIV30" s="109"/>
      <c r="KIW30" s="109"/>
      <c r="KIX30" s="109"/>
      <c r="KIY30" s="109"/>
      <c r="KIZ30" s="109"/>
      <c r="KJA30" s="109"/>
      <c r="KJB30" s="109"/>
      <c r="KJC30" s="109"/>
      <c r="KJD30" s="109"/>
      <c r="KJE30" s="109"/>
      <c r="KJF30" s="109"/>
      <c r="KJG30" s="109"/>
      <c r="KJH30" s="109"/>
      <c r="KJI30" s="109"/>
      <c r="KJJ30" s="109"/>
      <c r="KJK30" s="109"/>
      <c r="KJL30" s="109"/>
      <c r="KJM30" s="109"/>
      <c r="KJN30" s="109"/>
      <c r="KJO30" s="109"/>
      <c r="KJP30" s="109"/>
      <c r="KJQ30" s="109"/>
      <c r="KJR30" s="109"/>
      <c r="KJS30" s="109"/>
      <c r="KJT30" s="109"/>
      <c r="KJU30" s="109"/>
      <c r="KJV30" s="109"/>
      <c r="KJW30" s="109"/>
      <c r="KJX30" s="109"/>
      <c r="KJY30" s="109"/>
      <c r="KJZ30" s="109"/>
      <c r="KKA30" s="109"/>
      <c r="KKB30" s="109"/>
      <c r="KKC30" s="109"/>
      <c r="KKD30" s="109"/>
      <c r="KKE30" s="109"/>
      <c r="KKF30" s="109"/>
      <c r="KKG30" s="109"/>
      <c r="KKH30" s="109"/>
      <c r="KKI30" s="109"/>
      <c r="KKJ30" s="109"/>
      <c r="KKK30" s="109"/>
      <c r="KKL30" s="109"/>
      <c r="KKM30" s="109"/>
      <c r="KKN30" s="109"/>
      <c r="KKO30" s="109"/>
      <c r="KKP30" s="109"/>
      <c r="KKQ30" s="109"/>
      <c r="KKR30" s="109"/>
      <c r="KKS30" s="109"/>
      <c r="KKT30" s="109"/>
      <c r="KKU30" s="109"/>
      <c r="KKV30" s="109"/>
      <c r="KKW30" s="109"/>
      <c r="KKX30" s="109"/>
      <c r="KKY30" s="109"/>
      <c r="KKZ30" s="109"/>
      <c r="KLA30" s="109"/>
      <c r="KLB30" s="109"/>
      <c r="KLC30" s="109"/>
      <c r="KLD30" s="109"/>
      <c r="KLE30" s="109"/>
      <c r="KLF30" s="109"/>
      <c r="KLG30" s="109"/>
      <c r="KLH30" s="109"/>
      <c r="KLI30" s="109"/>
      <c r="KLJ30" s="109"/>
      <c r="KLK30" s="109"/>
      <c r="KLL30" s="109"/>
      <c r="KLM30" s="109"/>
      <c r="KLN30" s="109"/>
      <c r="KLO30" s="109"/>
      <c r="KLP30" s="109"/>
      <c r="KLQ30" s="109"/>
      <c r="KLR30" s="109"/>
      <c r="KLS30" s="109"/>
      <c r="KLT30" s="109"/>
      <c r="KLU30" s="109"/>
      <c r="KLV30" s="109"/>
      <c r="KLW30" s="109"/>
      <c r="KLX30" s="109"/>
      <c r="KLY30" s="109"/>
      <c r="KLZ30" s="109"/>
      <c r="KMA30" s="109"/>
      <c r="KMB30" s="109"/>
      <c r="KMC30" s="109"/>
      <c r="KMD30" s="109"/>
      <c r="KME30" s="109"/>
      <c r="KMF30" s="109"/>
      <c r="KMG30" s="109"/>
      <c r="KMH30" s="109"/>
      <c r="KMI30" s="109"/>
      <c r="KMJ30" s="109"/>
      <c r="KMK30" s="109"/>
      <c r="KML30" s="109"/>
      <c r="KMM30" s="109"/>
      <c r="KMN30" s="109"/>
      <c r="KMO30" s="109"/>
      <c r="KMP30" s="109"/>
      <c r="KMQ30" s="109"/>
      <c r="KMR30" s="109"/>
      <c r="KMS30" s="109"/>
      <c r="KMT30" s="109"/>
      <c r="KMU30" s="109"/>
      <c r="KMV30" s="109"/>
      <c r="KMW30" s="109"/>
      <c r="KMX30" s="109"/>
      <c r="KMY30" s="109"/>
      <c r="KMZ30" s="109"/>
      <c r="KNA30" s="109"/>
      <c r="KNB30" s="109"/>
      <c r="KNC30" s="109"/>
      <c r="KND30" s="109"/>
      <c r="KNE30" s="109"/>
      <c r="KNF30" s="109"/>
      <c r="KNG30" s="109"/>
      <c r="KNH30" s="109"/>
      <c r="KNI30" s="109"/>
      <c r="KNJ30" s="109"/>
      <c r="KNK30" s="109"/>
      <c r="KNL30" s="109"/>
      <c r="KNM30" s="109"/>
      <c r="KNN30" s="109"/>
      <c r="KNO30" s="109"/>
      <c r="KNP30" s="109"/>
      <c r="KNQ30" s="109"/>
      <c r="KNR30" s="109"/>
      <c r="KNS30" s="109"/>
      <c r="KNT30" s="109"/>
      <c r="KNU30" s="109"/>
      <c r="KNV30" s="109"/>
      <c r="KNW30" s="109"/>
      <c r="KNX30" s="109"/>
      <c r="KNY30" s="109"/>
      <c r="KNZ30" s="109"/>
      <c r="KOA30" s="109"/>
      <c r="KOB30" s="109"/>
      <c r="KOC30" s="109"/>
      <c r="KOD30" s="109"/>
      <c r="KOE30" s="109"/>
      <c r="KOF30" s="109"/>
      <c r="KOG30" s="109"/>
      <c r="KOH30" s="109"/>
      <c r="KOI30" s="109"/>
      <c r="KOJ30" s="109"/>
      <c r="KOK30" s="109"/>
      <c r="KOL30" s="109"/>
      <c r="KOM30" s="109"/>
      <c r="KON30" s="109"/>
      <c r="KOO30" s="109"/>
      <c r="KOP30" s="109"/>
      <c r="KOQ30" s="109"/>
      <c r="KOR30" s="109"/>
      <c r="KOS30" s="109"/>
      <c r="KOT30" s="109"/>
      <c r="KOU30" s="109"/>
      <c r="KOV30" s="109"/>
      <c r="KOW30" s="109"/>
      <c r="KOX30" s="109"/>
      <c r="KOY30" s="109"/>
      <c r="KOZ30" s="109"/>
      <c r="KPA30" s="109"/>
      <c r="KPB30" s="109"/>
      <c r="KPC30" s="109"/>
      <c r="KPD30" s="109"/>
      <c r="KPE30" s="109"/>
      <c r="KPF30" s="109"/>
      <c r="KPG30" s="109"/>
      <c r="KPH30" s="109"/>
      <c r="KPI30" s="109"/>
      <c r="KPJ30" s="109"/>
      <c r="KPK30" s="109"/>
      <c r="KPL30" s="109"/>
      <c r="KPM30" s="109"/>
      <c r="KPN30" s="109"/>
      <c r="KPO30" s="109"/>
      <c r="KPP30" s="109"/>
      <c r="KPQ30" s="109"/>
      <c r="KPR30" s="109"/>
      <c r="KPS30" s="109"/>
      <c r="KPT30" s="109"/>
      <c r="KPU30" s="109"/>
      <c r="KPV30" s="109"/>
      <c r="KPW30" s="109"/>
      <c r="KPX30" s="109"/>
      <c r="KPY30" s="109"/>
      <c r="KPZ30" s="109"/>
      <c r="KQA30" s="109"/>
      <c r="KQB30" s="109"/>
      <c r="KQC30" s="109"/>
      <c r="KQD30" s="109"/>
      <c r="KQE30" s="109"/>
      <c r="KQF30" s="109"/>
      <c r="KQG30" s="109"/>
      <c r="KQH30" s="109"/>
      <c r="KQI30" s="109"/>
      <c r="KQJ30" s="109"/>
      <c r="KQK30" s="109"/>
      <c r="KQL30" s="109"/>
      <c r="KQM30" s="109"/>
      <c r="KQN30" s="109"/>
      <c r="KQO30" s="109"/>
      <c r="KQP30" s="109"/>
      <c r="KQQ30" s="109"/>
      <c r="KQR30" s="109"/>
      <c r="KQS30" s="109"/>
      <c r="KQT30" s="109"/>
      <c r="KQU30" s="109"/>
      <c r="KQV30" s="109"/>
      <c r="KQW30" s="109"/>
      <c r="KQX30" s="109"/>
      <c r="KQY30" s="109"/>
      <c r="KQZ30" s="109"/>
      <c r="KRA30" s="109"/>
      <c r="KRB30" s="109"/>
      <c r="KRC30" s="109"/>
      <c r="KRD30" s="109"/>
      <c r="KRE30" s="109"/>
      <c r="KRF30" s="109"/>
      <c r="KRG30" s="109"/>
      <c r="KRH30" s="109"/>
      <c r="KRI30" s="109"/>
      <c r="KRJ30" s="109"/>
      <c r="KRK30" s="109"/>
      <c r="KRL30" s="109"/>
      <c r="KRM30" s="109"/>
      <c r="KRN30" s="109"/>
      <c r="KRO30" s="109"/>
      <c r="KRP30" s="109"/>
      <c r="KRQ30" s="109"/>
      <c r="KRR30" s="109"/>
      <c r="KRS30" s="109"/>
      <c r="KRT30" s="109"/>
      <c r="KRU30" s="109"/>
      <c r="KRV30" s="109"/>
      <c r="KRW30" s="109"/>
      <c r="KRX30" s="109"/>
      <c r="KRY30" s="109"/>
      <c r="KRZ30" s="109"/>
      <c r="KSA30" s="109"/>
      <c r="KSB30" s="109"/>
      <c r="KSC30" s="109"/>
      <c r="KSD30" s="109"/>
      <c r="KSE30" s="109"/>
      <c r="KSF30" s="109"/>
      <c r="KSG30" s="109"/>
      <c r="KSH30" s="109"/>
      <c r="KSI30" s="109"/>
      <c r="KSJ30" s="109"/>
      <c r="KSK30" s="109"/>
      <c r="KSL30" s="109"/>
      <c r="KSM30" s="109"/>
      <c r="KSN30" s="109"/>
      <c r="KSO30" s="109"/>
      <c r="KSP30" s="109"/>
      <c r="KSQ30" s="109"/>
      <c r="KSR30" s="109"/>
      <c r="KSS30" s="109"/>
      <c r="KST30" s="109"/>
      <c r="KSU30" s="109"/>
      <c r="KSV30" s="109"/>
      <c r="KSW30" s="109"/>
      <c r="KSX30" s="109"/>
      <c r="KSY30" s="109"/>
      <c r="KSZ30" s="109"/>
      <c r="KTA30" s="109"/>
      <c r="KTB30" s="109"/>
      <c r="KTC30" s="109"/>
      <c r="KTD30" s="109"/>
      <c r="KTE30" s="109"/>
      <c r="KTF30" s="109"/>
      <c r="KTG30" s="109"/>
      <c r="KTH30" s="109"/>
      <c r="KTI30" s="109"/>
      <c r="KTJ30" s="109"/>
      <c r="KTK30" s="109"/>
      <c r="KTL30" s="109"/>
      <c r="KTM30" s="109"/>
      <c r="KTN30" s="109"/>
      <c r="KTO30" s="109"/>
      <c r="KTP30" s="109"/>
      <c r="KTQ30" s="109"/>
      <c r="KTR30" s="109"/>
      <c r="KTS30" s="109"/>
      <c r="KTT30" s="109"/>
      <c r="KTU30" s="109"/>
      <c r="KTV30" s="109"/>
      <c r="KTW30" s="109"/>
      <c r="KTX30" s="109"/>
      <c r="KTY30" s="109"/>
      <c r="KTZ30" s="109"/>
      <c r="KUA30" s="109"/>
      <c r="KUB30" s="109"/>
      <c r="KUC30" s="109"/>
      <c r="KUD30" s="109"/>
      <c r="KUE30" s="109"/>
      <c r="KUF30" s="109"/>
      <c r="KUG30" s="109"/>
      <c r="KUH30" s="109"/>
      <c r="KUI30" s="109"/>
      <c r="KUJ30" s="109"/>
      <c r="KUK30" s="109"/>
      <c r="KUL30" s="109"/>
      <c r="KUM30" s="109"/>
      <c r="KUN30" s="109"/>
      <c r="KUO30" s="109"/>
      <c r="KUP30" s="109"/>
      <c r="KUQ30" s="109"/>
      <c r="KUR30" s="109"/>
      <c r="KUS30" s="109"/>
      <c r="KUT30" s="109"/>
      <c r="KUU30" s="109"/>
      <c r="KUV30" s="109"/>
      <c r="KUW30" s="109"/>
      <c r="KUX30" s="109"/>
      <c r="KUY30" s="109"/>
      <c r="KUZ30" s="109"/>
      <c r="KVA30" s="109"/>
      <c r="KVB30" s="109"/>
      <c r="KVC30" s="109"/>
      <c r="KVD30" s="109"/>
      <c r="KVE30" s="109"/>
      <c r="KVF30" s="109"/>
      <c r="KVG30" s="109"/>
      <c r="KVH30" s="109"/>
      <c r="KVI30" s="109"/>
      <c r="KVJ30" s="109"/>
      <c r="KVK30" s="109"/>
      <c r="KVL30" s="109"/>
      <c r="KVM30" s="109"/>
      <c r="KVN30" s="109"/>
      <c r="KVO30" s="109"/>
      <c r="KVP30" s="109"/>
      <c r="KVQ30" s="109"/>
      <c r="KVR30" s="109"/>
      <c r="KVS30" s="109"/>
      <c r="KVT30" s="109"/>
      <c r="KVU30" s="109"/>
      <c r="KVV30" s="109"/>
      <c r="KVW30" s="109"/>
      <c r="KVX30" s="109"/>
      <c r="KVY30" s="109"/>
      <c r="KVZ30" s="109"/>
      <c r="KWA30" s="109"/>
      <c r="KWB30" s="109"/>
      <c r="KWC30" s="109"/>
      <c r="KWD30" s="109"/>
      <c r="KWE30" s="109"/>
      <c r="KWF30" s="109"/>
      <c r="KWG30" s="109"/>
      <c r="KWH30" s="109"/>
      <c r="KWI30" s="109"/>
      <c r="KWJ30" s="109"/>
      <c r="KWK30" s="109"/>
      <c r="KWL30" s="109"/>
      <c r="KWM30" s="109"/>
      <c r="KWN30" s="109"/>
      <c r="KWO30" s="109"/>
      <c r="KWP30" s="109"/>
      <c r="KWQ30" s="109"/>
      <c r="KWR30" s="109"/>
      <c r="KWS30" s="109"/>
      <c r="KWT30" s="109"/>
      <c r="KWU30" s="109"/>
      <c r="KWV30" s="109"/>
      <c r="KWW30" s="109"/>
      <c r="KWX30" s="109"/>
      <c r="KWY30" s="109"/>
      <c r="KWZ30" s="109"/>
      <c r="KXA30" s="109"/>
      <c r="KXB30" s="109"/>
      <c r="KXC30" s="109"/>
      <c r="KXD30" s="109"/>
      <c r="KXE30" s="109"/>
      <c r="KXF30" s="109"/>
      <c r="KXG30" s="109"/>
      <c r="KXH30" s="109"/>
      <c r="KXI30" s="109"/>
      <c r="KXJ30" s="109"/>
      <c r="KXK30" s="109"/>
      <c r="KXL30" s="109"/>
      <c r="KXM30" s="109"/>
      <c r="KXN30" s="109"/>
      <c r="KXO30" s="109"/>
      <c r="KXP30" s="109"/>
      <c r="KXQ30" s="109"/>
      <c r="KXR30" s="109"/>
      <c r="KXS30" s="109"/>
      <c r="KXT30" s="109"/>
      <c r="KXU30" s="109"/>
      <c r="KXV30" s="109"/>
      <c r="KXW30" s="109"/>
      <c r="KXX30" s="109"/>
      <c r="KXY30" s="109"/>
      <c r="KXZ30" s="109"/>
      <c r="KYA30" s="109"/>
      <c r="KYB30" s="109"/>
      <c r="KYC30" s="109"/>
      <c r="KYD30" s="109"/>
      <c r="KYE30" s="109"/>
      <c r="KYF30" s="109"/>
      <c r="KYG30" s="109"/>
      <c r="KYH30" s="109"/>
      <c r="KYI30" s="109"/>
      <c r="KYJ30" s="109"/>
      <c r="KYK30" s="109"/>
      <c r="KYL30" s="109"/>
      <c r="KYM30" s="109"/>
      <c r="KYN30" s="109"/>
      <c r="KYO30" s="109"/>
      <c r="KYP30" s="109"/>
      <c r="KYQ30" s="109"/>
      <c r="KYR30" s="109"/>
      <c r="KYS30" s="109"/>
      <c r="KYT30" s="109"/>
      <c r="KYU30" s="109"/>
      <c r="KYV30" s="109"/>
      <c r="KYW30" s="109"/>
      <c r="KYX30" s="109"/>
      <c r="KYY30" s="109"/>
      <c r="KYZ30" s="109"/>
      <c r="KZA30" s="109"/>
      <c r="KZB30" s="109"/>
      <c r="KZC30" s="109"/>
      <c r="KZD30" s="109"/>
      <c r="KZE30" s="109"/>
      <c r="KZF30" s="109"/>
      <c r="KZG30" s="109"/>
      <c r="KZH30" s="109"/>
      <c r="KZI30" s="109"/>
      <c r="KZJ30" s="109"/>
      <c r="KZK30" s="109"/>
      <c r="KZL30" s="109"/>
      <c r="KZM30" s="109"/>
      <c r="KZN30" s="109"/>
      <c r="KZO30" s="109"/>
      <c r="KZP30" s="109"/>
      <c r="KZQ30" s="109"/>
      <c r="KZR30" s="109"/>
      <c r="KZS30" s="109"/>
      <c r="KZT30" s="109"/>
      <c r="KZU30" s="109"/>
      <c r="KZV30" s="109"/>
      <c r="KZW30" s="109"/>
      <c r="KZX30" s="109"/>
      <c r="KZY30" s="109"/>
      <c r="KZZ30" s="109"/>
      <c r="LAA30" s="109"/>
      <c r="LAB30" s="109"/>
      <c r="LAC30" s="109"/>
      <c r="LAD30" s="109"/>
      <c r="LAE30" s="109"/>
      <c r="LAF30" s="109"/>
      <c r="LAG30" s="109"/>
      <c r="LAH30" s="109"/>
      <c r="LAI30" s="109"/>
      <c r="LAJ30" s="109"/>
      <c r="LAK30" s="109"/>
      <c r="LAL30" s="109"/>
      <c r="LAM30" s="109"/>
      <c r="LAN30" s="109"/>
      <c r="LAO30" s="109"/>
      <c r="LAP30" s="109"/>
      <c r="LAQ30" s="109"/>
      <c r="LAR30" s="109"/>
      <c r="LAS30" s="109"/>
      <c r="LAT30" s="109"/>
      <c r="LAU30" s="109"/>
      <c r="LAV30" s="109"/>
      <c r="LAW30" s="109"/>
      <c r="LAX30" s="109"/>
      <c r="LAY30" s="109"/>
      <c r="LAZ30" s="109"/>
      <c r="LBA30" s="109"/>
      <c r="LBB30" s="109"/>
      <c r="LBC30" s="109"/>
      <c r="LBD30" s="109"/>
      <c r="LBE30" s="109"/>
      <c r="LBF30" s="109"/>
      <c r="LBG30" s="109"/>
      <c r="LBH30" s="109"/>
      <c r="LBI30" s="109"/>
      <c r="LBJ30" s="109"/>
      <c r="LBK30" s="109"/>
      <c r="LBL30" s="109"/>
      <c r="LBM30" s="109"/>
      <c r="LBN30" s="109"/>
      <c r="LBO30" s="109"/>
      <c r="LBP30" s="109"/>
      <c r="LBQ30" s="109"/>
      <c r="LBR30" s="109"/>
      <c r="LBS30" s="109"/>
      <c r="LBT30" s="109"/>
      <c r="LBU30" s="109"/>
      <c r="LBV30" s="109"/>
      <c r="LBW30" s="109"/>
      <c r="LBX30" s="109"/>
      <c r="LBY30" s="109"/>
      <c r="LBZ30" s="109"/>
      <c r="LCA30" s="109"/>
      <c r="LCB30" s="109"/>
      <c r="LCC30" s="109"/>
      <c r="LCD30" s="109"/>
      <c r="LCE30" s="109"/>
      <c r="LCF30" s="109"/>
      <c r="LCG30" s="109"/>
      <c r="LCH30" s="109"/>
      <c r="LCI30" s="109"/>
      <c r="LCJ30" s="109"/>
      <c r="LCK30" s="109"/>
      <c r="LCL30" s="109"/>
      <c r="LCM30" s="109"/>
      <c r="LCN30" s="109"/>
      <c r="LCO30" s="109"/>
      <c r="LCP30" s="109"/>
      <c r="LCQ30" s="109"/>
      <c r="LCR30" s="109"/>
      <c r="LCS30" s="109"/>
      <c r="LCT30" s="109"/>
      <c r="LCU30" s="109"/>
      <c r="LCV30" s="109"/>
      <c r="LCW30" s="109"/>
      <c r="LCX30" s="109"/>
      <c r="LCY30" s="109"/>
      <c r="LCZ30" s="109"/>
      <c r="LDA30" s="109"/>
      <c r="LDB30" s="109"/>
      <c r="LDC30" s="109"/>
      <c r="LDD30" s="109"/>
      <c r="LDE30" s="109"/>
      <c r="LDF30" s="109"/>
      <c r="LDG30" s="109"/>
      <c r="LDH30" s="109"/>
      <c r="LDI30" s="109"/>
      <c r="LDJ30" s="109"/>
      <c r="LDK30" s="109"/>
      <c r="LDL30" s="109"/>
      <c r="LDM30" s="109"/>
      <c r="LDN30" s="109"/>
      <c r="LDO30" s="109"/>
      <c r="LDP30" s="109"/>
      <c r="LDQ30" s="109"/>
      <c r="LDR30" s="109"/>
      <c r="LDS30" s="109"/>
      <c r="LDT30" s="109"/>
      <c r="LDU30" s="109"/>
      <c r="LDV30" s="109"/>
      <c r="LDW30" s="109"/>
      <c r="LDX30" s="109"/>
      <c r="LDY30" s="109"/>
      <c r="LDZ30" s="109"/>
      <c r="LEA30" s="109"/>
      <c r="LEB30" s="109"/>
      <c r="LEC30" s="109"/>
      <c r="LED30" s="109"/>
      <c r="LEE30" s="109"/>
      <c r="LEF30" s="109"/>
      <c r="LEG30" s="109"/>
      <c r="LEH30" s="109"/>
      <c r="LEI30" s="109"/>
      <c r="LEJ30" s="109"/>
      <c r="LEK30" s="109"/>
      <c r="LEL30" s="109"/>
      <c r="LEM30" s="109"/>
      <c r="LEN30" s="109"/>
      <c r="LEO30" s="109"/>
      <c r="LEP30" s="109"/>
      <c r="LEQ30" s="109"/>
      <c r="LER30" s="109"/>
      <c r="LES30" s="109"/>
      <c r="LET30" s="109"/>
      <c r="LEU30" s="109"/>
      <c r="LEV30" s="109"/>
      <c r="LEW30" s="109"/>
      <c r="LEX30" s="109"/>
      <c r="LEY30" s="109"/>
      <c r="LEZ30" s="109"/>
      <c r="LFA30" s="109"/>
      <c r="LFB30" s="109"/>
      <c r="LFC30" s="109"/>
      <c r="LFD30" s="109"/>
      <c r="LFE30" s="109"/>
      <c r="LFF30" s="109"/>
      <c r="LFG30" s="109"/>
      <c r="LFH30" s="109"/>
      <c r="LFI30" s="109"/>
      <c r="LFJ30" s="109"/>
      <c r="LFK30" s="109"/>
      <c r="LFL30" s="109"/>
      <c r="LFM30" s="109"/>
      <c r="LFN30" s="109"/>
      <c r="LFO30" s="109"/>
      <c r="LFP30" s="109"/>
      <c r="LFQ30" s="109"/>
      <c r="LFR30" s="109"/>
      <c r="LFS30" s="109"/>
      <c r="LFT30" s="109"/>
      <c r="LFU30" s="109"/>
      <c r="LFV30" s="109"/>
      <c r="LFW30" s="109"/>
      <c r="LFX30" s="109"/>
      <c r="LFY30" s="109"/>
      <c r="LFZ30" s="109"/>
      <c r="LGA30" s="109"/>
      <c r="LGB30" s="109"/>
      <c r="LGC30" s="109"/>
      <c r="LGD30" s="109"/>
      <c r="LGE30" s="109"/>
      <c r="LGF30" s="109"/>
      <c r="LGG30" s="109"/>
      <c r="LGH30" s="109"/>
      <c r="LGI30" s="109"/>
      <c r="LGJ30" s="109"/>
      <c r="LGK30" s="109"/>
      <c r="LGL30" s="109"/>
      <c r="LGM30" s="109"/>
      <c r="LGN30" s="109"/>
      <c r="LGO30" s="109"/>
      <c r="LGP30" s="109"/>
      <c r="LGQ30" s="109"/>
      <c r="LGR30" s="109"/>
      <c r="LGS30" s="109"/>
      <c r="LGT30" s="109"/>
      <c r="LGU30" s="109"/>
      <c r="LGV30" s="109"/>
      <c r="LGW30" s="109"/>
      <c r="LGX30" s="109"/>
      <c r="LGY30" s="109"/>
      <c r="LGZ30" s="109"/>
      <c r="LHA30" s="109"/>
      <c r="LHB30" s="109"/>
      <c r="LHC30" s="109"/>
      <c r="LHD30" s="109"/>
      <c r="LHE30" s="109"/>
      <c r="LHF30" s="109"/>
      <c r="LHG30" s="109"/>
      <c r="LHH30" s="109"/>
      <c r="LHI30" s="109"/>
      <c r="LHJ30" s="109"/>
      <c r="LHK30" s="109"/>
      <c r="LHL30" s="109"/>
      <c r="LHM30" s="109"/>
      <c r="LHN30" s="109"/>
      <c r="LHO30" s="109"/>
      <c r="LHP30" s="109"/>
      <c r="LHQ30" s="109"/>
      <c r="LHR30" s="109"/>
      <c r="LHS30" s="109"/>
      <c r="LHT30" s="109"/>
      <c r="LHU30" s="109"/>
      <c r="LHV30" s="109"/>
      <c r="LHW30" s="109"/>
      <c r="LHX30" s="109"/>
      <c r="LHY30" s="109"/>
      <c r="LHZ30" s="109"/>
      <c r="LIA30" s="109"/>
      <c r="LIB30" s="109"/>
      <c r="LIC30" s="109"/>
      <c r="LID30" s="109"/>
      <c r="LIE30" s="109"/>
      <c r="LIF30" s="109"/>
      <c r="LIG30" s="109"/>
      <c r="LIH30" s="109"/>
      <c r="LII30" s="109"/>
      <c r="LIJ30" s="109"/>
      <c r="LIK30" s="109"/>
      <c r="LIL30" s="109"/>
      <c r="LIM30" s="109"/>
      <c r="LIN30" s="109"/>
      <c r="LIO30" s="109"/>
      <c r="LIP30" s="109"/>
      <c r="LIQ30" s="109"/>
      <c r="LIR30" s="109"/>
      <c r="LIS30" s="109"/>
      <c r="LIT30" s="109"/>
      <c r="LIU30" s="109"/>
      <c r="LIV30" s="109"/>
      <c r="LIW30" s="109"/>
      <c r="LIX30" s="109"/>
      <c r="LIY30" s="109"/>
      <c r="LIZ30" s="109"/>
      <c r="LJA30" s="109"/>
      <c r="LJB30" s="109"/>
      <c r="LJC30" s="109"/>
      <c r="LJD30" s="109"/>
      <c r="LJE30" s="109"/>
      <c r="LJF30" s="109"/>
      <c r="LJG30" s="109"/>
      <c r="LJH30" s="109"/>
      <c r="LJI30" s="109"/>
      <c r="LJJ30" s="109"/>
      <c r="LJK30" s="109"/>
      <c r="LJL30" s="109"/>
      <c r="LJM30" s="109"/>
      <c r="LJN30" s="109"/>
      <c r="LJO30" s="109"/>
      <c r="LJP30" s="109"/>
      <c r="LJQ30" s="109"/>
      <c r="LJR30" s="109"/>
      <c r="LJS30" s="109"/>
      <c r="LJT30" s="109"/>
      <c r="LJU30" s="109"/>
      <c r="LJV30" s="109"/>
      <c r="LJW30" s="109"/>
      <c r="LJX30" s="109"/>
      <c r="LJY30" s="109"/>
      <c r="LJZ30" s="109"/>
      <c r="LKA30" s="109"/>
      <c r="LKB30" s="109"/>
      <c r="LKC30" s="109"/>
      <c r="LKD30" s="109"/>
      <c r="LKE30" s="109"/>
      <c r="LKF30" s="109"/>
      <c r="LKG30" s="109"/>
      <c r="LKH30" s="109"/>
      <c r="LKI30" s="109"/>
      <c r="LKJ30" s="109"/>
      <c r="LKK30" s="109"/>
      <c r="LKL30" s="109"/>
      <c r="LKM30" s="109"/>
      <c r="LKN30" s="109"/>
      <c r="LKO30" s="109"/>
      <c r="LKP30" s="109"/>
      <c r="LKQ30" s="109"/>
      <c r="LKR30" s="109"/>
      <c r="LKS30" s="109"/>
      <c r="LKT30" s="109"/>
      <c r="LKU30" s="109"/>
      <c r="LKV30" s="109"/>
      <c r="LKW30" s="109"/>
      <c r="LKX30" s="109"/>
      <c r="LKY30" s="109"/>
      <c r="LKZ30" s="109"/>
      <c r="LLA30" s="109"/>
      <c r="LLB30" s="109"/>
      <c r="LLC30" s="109"/>
      <c r="LLD30" s="109"/>
      <c r="LLE30" s="109"/>
      <c r="LLF30" s="109"/>
      <c r="LLG30" s="109"/>
      <c r="LLH30" s="109"/>
      <c r="LLI30" s="109"/>
      <c r="LLJ30" s="109"/>
      <c r="LLK30" s="109"/>
      <c r="LLL30" s="109"/>
      <c r="LLM30" s="109"/>
      <c r="LLN30" s="109"/>
      <c r="LLO30" s="109"/>
      <c r="LLP30" s="109"/>
      <c r="LLQ30" s="109"/>
      <c r="LLR30" s="109"/>
      <c r="LLS30" s="109"/>
      <c r="LLT30" s="109"/>
      <c r="LLU30" s="109"/>
      <c r="LLV30" s="109"/>
      <c r="LLW30" s="109"/>
      <c r="LLX30" s="109"/>
      <c r="LLY30" s="109"/>
      <c r="LLZ30" s="109"/>
      <c r="LMA30" s="109"/>
      <c r="LMB30" s="109"/>
      <c r="LMC30" s="109"/>
      <c r="LMD30" s="109"/>
      <c r="LME30" s="109"/>
      <c r="LMF30" s="109"/>
      <c r="LMG30" s="109"/>
      <c r="LMH30" s="109"/>
      <c r="LMI30" s="109"/>
      <c r="LMJ30" s="109"/>
      <c r="LMK30" s="109"/>
      <c r="LML30" s="109"/>
      <c r="LMM30" s="109"/>
      <c r="LMN30" s="109"/>
      <c r="LMO30" s="109"/>
      <c r="LMP30" s="109"/>
      <c r="LMQ30" s="109"/>
      <c r="LMR30" s="109"/>
      <c r="LMS30" s="109"/>
      <c r="LMT30" s="109"/>
      <c r="LMU30" s="109"/>
      <c r="LMV30" s="109"/>
      <c r="LMW30" s="109"/>
      <c r="LMX30" s="109"/>
      <c r="LMY30" s="109"/>
      <c r="LMZ30" s="109"/>
      <c r="LNA30" s="109"/>
      <c r="LNB30" s="109"/>
      <c r="LNC30" s="109"/>
      <c r="LND30" s="109"/>
      <c r="LNE30" s="109"/>
      <c r="LNF30" s="109"/>
      <c r="LNG30" s="109"/>
      <c r="LNH30" s="109"/>
      <c r="LNI30" s="109"/>
      <c r="LNJ30" s="109"/>
      <c r="LNK30" s="109"/>
      <c r="LNL30" s="109"/>
      <c r="LNM30" s="109"/>
      <c r="LNN30" s="109"/>
      <c r="LNO30" s="109"/>
      <c r="LNP30" s="109"/>
      <c r="LNQ30" s="109"/>
      <c r="LNR30" s="109"/>
      <c r="LNS30" s="109"/>
      <c r="LNT30" s="109"/>
      <c r="LNU30" s="109"/>
      <c r="LNV30" s="109"/>
      <c r="LNW30" s="109"/>
      <c r="LNX30" s="109"/>
      <c r="LNY30" s="109"/>
      <c r="LNZ30" s="109"/>
      <c r="LOA30" s="109"/>
      <c r="LOB30" s="109"/>
      <c r="LOC30" s="109"/>
      <c r="LOD30" s="109"/>
      <c r="LOE30" s="109"/>
      <c r="LOF30" s="109"/>
      <c r="LOG30" s="109"/>
      <c r="LOH30" s="109"/>
      <c r="LOI30" s="109"/>
      <c r="LOJ30" s="109"/>
      <c r="LOK30" s="109"/>
      <c r="LOL30" s="109"/>
      <c r="LOM30" s="109"/>
      <c r="LON30" s="109"/>
      <c r="LOO30" s="109"/>
      <c r="LOP30" s="109"/>
      <c r="LOQ30" s="109"/>
      <c r="LOR30" s="109"/>
      <c r="LOS30" s="109"/>
      <c r="LOT30" s="109"/>
      <c r="LOU30" s="109"/>
      <c r="LOV30" s="109"/>
      <c r="LOW30" s="109"/>
      <c r="LOX30" s="109"/>
      <c r="LOY30" s="109"/>
      <c r="LOZ30" s="109"/>
      <c r="LPA30" s="109"/>
      <c r="LPB30" s="109"/>
      <c r="LPC30" s="109"/>
      <c r="LPD30" s="109"/>
      <c r="LPE30" s="109"/>
      <c r="LPF30" s="109"/>
      <c r="LPG30" s="109"/>
      <c r="LPH30" s="109"/>
      <c r="LPI30" s="109"/>
      <c r="LPJ30" s="109"/>
      <c r="LPK30" s="109"/>
      <c r="LPL30" s="109"/>
      <c r="LPM30" s="109"/>
      <c r="LPN30" s="109"/>
      <c r="LPO30" s="109"/>
      <c r="LPP30" s="109"/>
      <c r="LPQ30" s="109"/>
      <c r="LPR30" s="109"/>
      <c r="LPS30" s="109"/>
      <c r="LPT30" s="109"/>
      <c r="LPU30" s="109"/>
      <c r="LPV30" s="109"/>
      <c r="LPW30" s="109"/>
      <c r="LPX30" s="109"/>
      <c r="LPY30" s="109"/>
      <c r="LPZ30" s="109"/>
      <c r="LQA30" s="109"/>
      <c r="LQB30" s="109"/>
      <c r="LQC30" s="109"/>
      <c r="LQD30" s="109"/>
      <c r="LQE30" s="109"/>
      <c r="LQF30" s="109"/>
      <c r="LQG30" s="109"/>
      <c r="LQH30" s="109"/>
      <c r="LQI30" s="109"/>
      <c r="LQJ30" s="109"/>
      <c r="LQK30" s="109"/>
      <c r="LQL30" s="109"/>
      <c r="LQM30" s="109"/>
      <c r="LQN30" s="109"/>
      <c r="LQO30" s="109"/>
      <c r="LQP30" s="109"/>
      <c r="LQQ30" s="109"/>
      <c r="LQR30" s="109"/>
      <c r="LQS30" s="109"/>
      <c r="LQT30" s="109"/>
      <c r="LQU30" s="109"/>
      <c r="LQV30" s="109"/>
      <c r="LQW30" s="109"/>
      <c r="LQX30" s="109"/>
      <c r="LQY30" s="109"/>
      <c r="LQZ30" s="109"/>
      <c r="LRA30" s="109"/>
      <c r="LRB30" s="109"/>
      <c r="LRC30" s="109"/>
      <c r="LRD30" s="109"/>
      <c r="LRE30" s="109"/>
      <c r="LRF30" s="109"/>
      <c r="LRG30" s="109"/>
      <c r="LRH30" s="109"/>
      <c r="LRI30" s="109"/>
      <c r="LRJ30" s="109"/>
      <c r="LRK30" s="109"/>
      <c r="LRL30" s="109"/>
      <c r="LRM30" s="109"/>
      <c r="LRN30" s="109"/>
      <c r="LRO30" s="109"/>
      <c r="LRP30" s="109"/>
      <c r="LRQ30" s="109"/>
      <c r="LRR30" s="109"/>
      <c r="LRS30" s="109"/>
      <c r="LRT30" s="109"/>
      <c r="LRU30" s="109"/>
      <c r="LRV30" s="109"/>
      <c r="LRW30" s="109"/>
      <c r="LRX30" s="109"/>
      <c r="LRY30" s="109"/>
      <c r="LRZ30" s="109"/>
      <c r="LSA30" s="109"/>
      <c r="LSB30" s="109"/>
      <c r="LSC30" s="109"/>
      <c r="LSD30" s="109"/>
      <c r="LSE30" s="109"/>
      <c r="LSF30" s="109"/>
      <c r="LSG30" s="109"/>
      <c r="LSH30" s="109"/>
      <c r="LSI30" s="109"/>
      <c r="LSJ30" s="109"/>
      <c r="LSK30" s="109"/>
      <c r="LSL30" s="109"/>
      <c r="LSM30" s="109"/>
      <c r="LSN30" s="109"/>
      <c r="LSO30" s="109"/>
      <c r="LSP30" s="109"/>
      <c r="LSQ30" s="109"/>
      <c r="LSR30" s="109"/>
      <c r="LSS30" s="109"/>
      <c r="LST30" s="109"/>
      <c r="LSU30" s="109"/>
      <c r="LSV30" s="109"/>
      <c r="LSW30" s="109"/>
      <c r="LSX30" s="109"/>
      <c r="LSY30" s="109"/>
      <c r="LSZ30" s="109"/>
      <c r="LTA30" s="109"/>
      <c r="LTB30" s="109"/>
      <c r="LTC30" s="109"/>
      <c r="LTD30" s="109"/>
      <c r="LTE30" s="109"/>
      <c r="LTF30" s="109"/>
      <c r="LTG30" s="109"/>
      <c r="LTH30" s="109"/>
      <c r="LTI30" s="109"/>
      <c r="LTJ30" s="109"/>
      <c r="LTK30" s="109"/>
      <c r="LTL30" s="109"/>
      <c r="LTM30" s="109"/>
      <c r="LTN30" s="109"/>
      <c r="LTO30" s="109"/>
      <c r="LTP30" s="109"/>
      <c r="LTQ30" s="109"/>
      <c r="LTR30" s="109"/>
      <c r="LTS30" s="109"/>
      <c r="LTT30" s="109"/>
      <c r="LTU30" s="109"/>
      <c r="LTV30" s="109"/>
      <c r="LTW30" s="109"/>
      <c r="LTX30" s="109"/>
      <c r="LTY30" s="109"/>
      <c r="LTZ30" s="109"/>
      <c r="LUA30" s="109"/>
      <c r="LUB30" s="109"/>
      <c r="LUC30" s="109"/>
      <c r="LUD30" s="109"/>
      <c r="LUE30" s="109"/>
      <c r="LUF30" s="109"/>
      <c r="LUG30" s="109"/>
      <c r="LUH30" s="109"/>
      <c r="LUI30" s="109"/>
      <c r="LUJ30" s="109"/>
      <c r="LUK30" s="109"/>
      <c r="LUL30" s="109"/>
      <c r="LUM30" s="109"/>
      <c r="LUN30" s="109"/>
      <c r="LUO30" s="109"/>
      <c r="LUP30" s="109"/>
      <c r="LUQ30" s="109"/>
      <c r="LUR30" s="109"/>
      <c r="LUS30" s="109"/>
      <c r="LUT30" s="109"/>
      <c r="LUU30" s="109"/>
      <c r="LUV30" s="109"/>
      <c r="LUW30" s="109"/>
      <c r="LUX30" s="109"/>
      <c r="LUY30" s="109"/>
      <c r="LUZ30" s="109"/>
      <c r="LVA30" s="109"/>
      <c r="LVB30" s="109"/>
      <c r="LVC30" s="109"/>
      <c r="LVD30" s="109"/>
      <c r="LVE30" s="109"/>
      <c r="LVF30" s="109"/>
      <c r="LVG30" s="109"/>
      <c r="LVH30" s="109"/>
      <c r="LVI30" s="109"/>
      <c r="LVJ30" s="109"/>
      <c r="LVK30" s="109"/>
      <c r="LVL30" s="109"/>
      <c r="LVM30" s="109"/>
      <c r="LVN30" s="109"/>
      <c r="LVO30" s="109"/>
      <c r="LVP30" s="109"/>
      <c r="LVQ30" s="109"/>
      <c r="LVR30" s="109"/>
      <c r="LVS30" s="109"/>
      <c r="LVT30" s="109"/>
      <c r="LVU30" s="109"/>
      <c r="LVV30" s="109"/>
      <c r="LVW30" s="109"/>
      <c r="LVX30" s="109"/>
      <c r="LVY30" s="109"/>
      <c r="LVZ30" s="109"/>
      <c r="LWA30" s="109"/>
      <c r="LWB30" s="109"/>
      <c r="LWC30" s="109"/>
      <c r="LWD30" s="109"/>
      <c r="LWE30" s="109"/>
      <c r="LWF30" s="109"/>
      <c r="LWG30" s="109"/>
      <c r="LWH30" s="109"/>
      <c r="LWI30" s="109"/>
      <c r="LWJ30" s="109"/>
      <c r="LWK30" s="109"/>
      <c r="LWL30" s="109"/>
      <c r="LWM30" s="109"/>
      <c r="LWN30" s="109"/>
      <c r="LWO30" s="109"/>
      <c r="LWP30" s="109"/>
      <c r="LWQ30" s="109"/>
      <c r="LWR30" s="109"/>
      <c r="LWS30" s="109"/>
      <c r="LWT30" s="109"/>
      <c r="LWU30" s="109"/>
      <c r="LWV30" s="109"/>
      <c r="LWW30" s="109"/>
      <c r="LWX30" s="109"/>
      <c r="LWY30" s="109"/>
      <c r="LWZ30" s="109"/>
      <c r="LXA30" s="109"/>
      <c r="LXB30" s="109"/>
      <c r="LXC30" s="109"/>
      <c r="LXD30" s="109"/>
      <c r="LXE30" s="109"/>
      <c r="LXF30" s="109"/>
      <c r="LXG30" s="109"/>
      <c r="LXH30" s="109"/>
      <c r="LXI30" s="109"/>
      <c r="LXJ30" s="109"/>
      <c r="LXK30" s="109"/>
      <c r="LXL30" s="109"/>
      <c r="LXM30" s="109"/>
      <c r="LXN30" s="109"/>
      <c r="LXO30" s="109"/>
      <c r="LXP30" s="109"/>
      <c r="LXQ30" s="109"/>
      <c r="LXR30" s="109"/>
      <c r="LXS30" s="109"/>
      <c r="LXT30" s="109"/>
      <c r="LXU30" s="109"/>
      <c r="LXV30" s="109"/>
      <c r="LXW30" s="109"/>
      <c r="LXX30" s="109"/>
      <c r="LXY30" s="109"/>
      <c r="LXZ30" s="109"/>
      <c r="LYA30" s="109"/>
      <c r="LYB30" s="109"/>
      <c r="LYC30" s="109"/>
      <c r="LYD30" s="109"/>
      <c r="LYE30" s="109"/>
      <c r="LYF30" s="109"/>
      <c r="LYG30" s="109"/>
      <c r="LYH30" s="109"/>
      <c r="LYI30" s="109"/>
      <c r="LYJ30" s="109"/>
      <c r="LYK30" s="109"/>
      <c r="LYL30" s="109"/>
      <c r="LYM30" s="109"/>
      <c r="LYN30" s="109"/>
      <c r="LYO30" s="109"/>
      <c r="LYP30" s="109"/>
      <c r="LYQ30" s="109"/>
      <c r="LYR30" s="109"/>
      <c r="LYS30" s="109"/>
      <c r="LYT30" s="109"/>
      <c r="LYU30" s="109"/>
      <c r="LYV30" s="109"/>
      <c r="LYW30" s="109"/>
      <c r="LYX30" s="109"/>
      <c r="LYY30" s="109"/>
      <c r="LYZ30" s="109"/>
      <c r="LZA30" s="109"/>
      <c r="LZB30" s="109"/>
      <c r="LZC30" s="109"/>
      <c r="LZD30" s="109"/>
      <c r="LZE30" s="109"/>
      <c r="LZF30" s="109"/>
      <c r="LZG30" s="109"/>
      <c r="LZH30" s="109"/>
      <c r="LZI30" s="109"/>
      <c r="LZJ30" s="109"/>
      <c r="LZK30" s="109"/>
      <c r="LZL30" s="109"/>
      <c r="LZM30" s="109"/>
      <c r="LZN30" s="109"/>
      <c r="LZO30" s="109"/>
      <c r="LZP30" s="109"/>
      <c r="LZQ30" s="109"/>
      <c r="LZR30" s="109"/>
      <c r="LZS30" s="109"/>
      <c r="LZT30" s="109"/>
      <c r="LZU30" s="109"/>
      <c r="LZV30" s="109"/>
      <c r="LZW30" s="109"/>
      <c r="LZX30" s="109"/>
      <c r="LZY30" s="109"/>
      <c r="LZZ30" s="109"/>
      <c r="MAA30" s="109"/>
      <c r="MAB30" s="109"/>
      <c r="MAC30" s="109"/>
      <c r="MAD30" s="109"/>
      <c r="MAE30" s="109"/>
      <c r="MAF30" s="109"/>
      <c r="MAG30" s="109"/>
      <c r="MAH30" s="109"/>
      <c r="MAI30" s="109"/>
      <c r="MAJ30" s="109"/>
      <c r="MAK30" s="109"/>
      <c r="MAL30" s="109"/>
      <c r="MAM30" s="109"/>
      <c r="MAN30" s="109"/>
      <c r="MAO30" s="109"/>
      <c r="MAP30" s="109"/>
      <c r="MAQ30" s="109"/>
      <c r="MAR30" s="109"/>
      <c r="MAS30" s="109"/>
      <c r="MAT30" s="109"/>
      <c r="MAU30" s="109"/>
      <c r="MAV30" s="109"/>
      <c r="MAW30" s="109"/>
      <c r="MAX30" s="109"/>
      <c r="MAY30" s="109"/>
      <c r="MAZ30" s="109"/>
      <c r="MBA30" s="109"/>
      <c r="MBB30" s="109"/>
      <c r="MBC30" s="109"/>
      <c r="MBD30" s="109"/>
      <c r="MBE30" s="109"/>
      <c r="MBF30" s="109"/>
      <c r="MBG30" s="109"/>
      <c r="MBH30" s="109"/>
      <c r="MBI30" s="109"/>
      <c r="MBJ30" s="109"/>
      <c r="MBK30" s="109"/>
      <c r="MBL30" s="109"/>
      <c r="MBM30" s="109"/>
      <c r="MBN30" s="109"/>
      <c r="MBO30" s="109"/>
      <c r="MBP30" s="109"/>
      <c r="MBQ30" s="109"/>
      <c r="MBR30" s="109"/>
      <c r="MBS30" s="109"/>
      <c r="MBT30" s="109"/>
      <c r="MBU30" s="109"/>
      <c r="MBV30" s="109"/>
      <c r="MBW30" s="109"/>
      <c r="MBX30" s="109"/>
      <c r="MBY30" s="109"/>
      <c r="MBZ30" s="109"/>
      <c r="MCA30" s="109"/>
      <c r="MCB30" s="109"/>
      <c r="MCC30" s="109"/>
      <c r="MCD30" s="109"/>
      <c r="MCE30" s="109"/>
      <c r="MCF30" s="109"/>
      <c r="MCG30" s="109"/>
      <c r="MCH30" s="109"/>
      <c r="MCI30" s="109"/>
      <c r="MCJ30" s="109"/>
      <c r="MCK30" s="109"/>
      <c r="MCL30" s="109"/>
      <c r="MCM30" s="109"/>
      <c r="MCN30" s="109"/>
      <c r="MCO30" s="109"/>
      <c r="MCP30" s="109"/>
      <c r="MCQ30" s="109"/>
      <c r="MCR30" s="109"/>
      <c r="MCS30" s="109"/>
      <c r="MCT30" s="109"/>
      <c r="MCU30" s="109"/>
      <c r="MCV30" s="109"/>
      <c r="MCW30" s="109"/>
      <c r="MCX30" s="109"/>
      <c r="MCY30" s="109"/>
      <c r="MCZ30" s="109"/>
      <c r="MDA30" s="109"/>
      <c r="MDB30" s="109"/>
      <c r="MDC30" s="109"/>
      <c r="MDD30" s="109"/>
      <c r="MDE30" s="109"/>
      <c r="MDF30" s="109"/>
      <c r="MDG30" s="109"/>
      <c r="MDH30" s="109"/>
      <c r="MDI30" s="109"/>
      <c r="MDJ30" s="109"/>
      <c r="MDK30" s="109"/>
      <c r="MDL30" s="109"/>
      <c r="MDM30" s="109"/>
      <c r="MDN30" s="109"/>
      <c r="MDO30" s="109"/>
      <c r="MDP30" s="109"/>
      <c r="MDQ30" s="109"/>
      <c r="MDR30" s="109"/>
      <c r="MDS30" s="109"/>
      <c r="MDT30" s="109"/>
      <c r="MDU30" s="109"/>
      <c r="MDV30" s="109"/>
      <c r="MDW30" s="109"/>
      <c r="MDX30" s="109"/>
      <c r="MDY30" s="109"/>
      <c r="MDZ30" s="109"/>
      <c r="MEA30" s="109"/>
      <c r="MEB30" s="109"/>
      <c r="MEC30" s="109"/>
      <c r="MED30" s="109"/>
      <c r="MEE30" s="109"/>
      <c r="MEF30" s="109"/>
      <c r="MEG30" s="109"/>
      <c r="MEH30" s="109"/>
      <c r="MEI30" s="109"/>
      <c r="MEJ30" s="109"/>
      <c r="MEK30" s="109"/>
      <c r="MEL30" s="109"/>
      <c r="MEM30" s="109"/>
      <c r="MEN30" s="109"/>
      <c r="MEO30" s="109"/>
      <c r="MEP30" s="109"/>
      <c r="MEQ30" s="109"/>
      <c r="MER30" s="109"/>
      <c r="MES30" s="109"/>
      <c r="MET30" s="109"/>
      <c r="MEU30" s="109"/>
      <c r="MEV30" s="109"/>
      <c r="MEW30" s="109"/>
      <c r="MEX30" s="109"/>
      <c r="MEY30" s="109"/>
      <c r="MEZ30" s="109"/>
      <c r="MFA30" s="109"/>
      <c r="MFB30" s="109"/>
      <c r="MFC30" s="109"/>
      <c r="MFD30" s="109"/>
      <c r="MFE30" s="109"/>
      <c r="MFF30" s="109"/>
      <c r="MFG30" s="109"/>
      <c r="MFH30" s="109"/>
      <c r="MFI30" s="109"/>
      <c r="MFJ30" s="109"/>
      <c r="MFK30" s="109"/>
      <c r="MFL30" s="109"/>
      <c r="MFM30" s="109"/>
      <c r="MFN30" s="109"/>
      <c r="MFO30" s="109"/>
      <c r="MFP30" s="109"/>
      <c r="MFQ30" s="109"/>
      <c r="MFR30" s="109"/>
      <c r="MFS30" s="109"/>
      <c r="MFT30" s="109"/>
      <c r="MFU30" s="109"/>
      <c r="MFV30" s="109"/>
      <c r="MFW30" s="109"/>
      <c r="MFX30" s="109"/>
      <c r="MFY30" s="109"/>
      <c r="MFZ30" s="109"/>
      <c r="MGA30" s="109"/>
      <c r="MGB30" s="109"/>
      <c r="MGC30" s="109"/>
      <c r="MGD30" s="109"/>
      <c r="MGE30" s="109"/>
      <c r="MGF30" s="109"/>
      <c r="MGG30" s="109"/>
      <c r="MGH30" s="109"/>
      <c r="MGI30" s="109"/>
      <c r="MGJ30" s="109"/>
      <c r="MGK30" s="109"/>
      <c r="MGL30" s="109"/>
      <c r="MGM30" s="109"/>
      <c r="MGN30" s="109"/>
      <c r="MGO30" s="109"/>
      <c r="MGP30" s="109"/>
      <c r="MGQ30" s="109"/>
      <c r="MGR30" s="109"/>
      <c r="MGS30" s="109"/>
      <c r="MGT30" s="109"/>
      <c r="MGU30" s="109"/>
      <c r="MGV30" s="109"/>
      <c r="MGW30" s="109"/>
      <c r="MGX30" s="109"/>
      <c r="MGY30" s="109"/>
      <c r="MGZ30" s="109"/>
      <c r="MHA30" s="109"/>
      <c r="MHB30" s="109"/>
      <c r="MHC30" s="109"/>
      <c r="MHD30" s="109"/>
      <c r="MHE30" s="109"/>
      <c r="MHF30" s="109"/>
      <c r="MHG30" s="109"/>
      <c r="MHH30" s="109"/>
      <c r="MHI30" s="109"/>
      <c r="MHJ30" s="109"/>
      <c r="MHK30" s="109"/>
      <c r="MHL30" s="109"/>
      <c r="MHM30" s="109"/>
      <c r="MHN30" s="109"/>
      <c r="MHO30" s="109"/>
      <c r="MHP30" s="109"/>
      <c r="MHQ30" s="109"/>
      <c r="MHR30" s="109"/>
      <c r="MHS30" s="109"/>
      <c r="MHT30" s="109"/>
      <c r="MHU30" s="109"/>
      <c r="MHV30" s="109"/>
      <c r="MHW30" s="109"/>
      <c r="MHX30" s="109"/>
      <c r="MHY30" s="109"/>
      <c r="MHZ30" s="109"/>
      <c r="MIA30" s="109"/>
      <c r="MIB30" s="109"/>
      <c r="MIC30" s="109"/>
      <c r="MID30" s="109"/>
      <c r="MIE30" s="109"/>
      <c r="MIF30" s="109"/>
      <c r="MIG30" s="109"/>
      <c r="MIH30" s="109"/>
      <c r="MII30" s="109"/>
      <c r="MIJ30" s="109"/>
      <c r="MIK30" s="109"/>
      <c r="MIL30" s="109"/>
      <c r="MIM30" s="109"/>
      <c r="MIN30" s="109"/>
      <c r="MIO30" s="109"/>
      <c r="MIP30" s="109"/>
      <c r="MIQ30" s="109"/>
      <c r="MIR30" s="109"/>
      <c r="MIS30" s="109"/>
      <c r="MIT30" s="109"/>
      <c r="MIU30" s="109"/>
      <c r="MIV30" s="109"/>
      <c r="MIW30" s="109"/>
      <c r="MIX30" s="109"/>
      <c r="MIY30" s="109"/>
      <c r="MIZ30" s="109"/>
      <c r="MJA30" s="109"/>
      <c r="MJB30" s="109"/>
      <c r="MJC30" s="109"/>
      <c r="MJD30" s="109"/>
      <c r="MJE30" s="109"/>
      <c r="MJF30" s="109"/>
      <c r="MJG30" s="109"/>
      <c r="MJH30" s="109"/>
      <c r="MJI30" s="109"/>
      <c r="MJJ30" s="109"/>
      <c r="MJK30" s="109"/>
      <c r="MJL30" s="109"/>
      <c r="MJM30" s="109"/>
      <c r="MJN30" s="109"/>
      <c r="MJO30" s="109"/>
      <c r="MJP30" s="109"/>
      <c r="MJQ30" s="109"/>
      <c r="MJR30" s="109"/>
      <c r="MJS30" s="109"/>
      <c r="MJT30" s="109"/>
      <c r="MJU30" s="109"/>
      <c r="MJV30" s="109"/>
      <c r="MJW30" s="109"/>
      <c r="MJX30" s="109"/>
      <c r="MJY30" s="109"/>
      <c r="MJZ30" s="109"/>
      <c r="MKA30" s="109"/>
      <c r="MKB30" s="109"/>
      <c r="MKC30" s="109"/>
      <c r="MKD30" s="109"/>
      <c r="MKE30" s="109"/>
      <c r="MKF30" s="109"/>
      <c r="MKG30" s="109"/>
      <c r="MKH30" s="109"/>
      <c r="MKI30" s="109"/>
      <c r="MKJ30" s="109"/>
      <c r="MKK30" s="109"/>
      <c r="MKL30" s="109"/>
      <c r="MKM30" s="109"/>
      <c r="MKN30" s="109"/>
      <c r="MKO30" s="109"/>
      <c r="MKP30" s="109"/>
      <c r="MKQ30" s="109"/>
      <c r="MKR30" s="109"/>
      <c r="MKS30" s="109"/>
      <c r="MKT30" s="109"/>
      <c r="MKU30" s="109"/>
      <c r="MKV30" s="109"/>
      <c r="MKW30" s="109"/>
      <c r="MKX30" s="109"/>
      <c r="MKY30" s="109"/>
      <c r="MKZ30" s="109"/>
      <c r="MLA30" s="109"/>
      <c r="MLB30" s="109"/>
      <c r="MLC30" s="109"/>
      <c r="MLD30" s="109"/>
      <c r="MLE30" s="109"/>
      <c r="MLF30" s="109"/>
      <c r="MLG30" s="109"/>
      <c r="MLH30" s="109"/>
      <c r="MLI30" s="109"/>
      <c r="MLJ30" s="109"/>
      <c r="MLK30" s="109"/>
      <c r="MLL30" s="109"/>
      <c r="MLM30" s="109"/>
      <c r="MLN30" s="109"/>
      <c r="MLO30" s="109"/>
      <c r="MLP30" s="109"/>
      <c r="MLQ30" s="109"/>
      <c r="MLR30" s="109"/>
      <c r="MLS30" s="109"/>
      <c r="MLT30" s="109"/>
      <c r="MLU30" s="109"/>
      <c r="MLV30" s="109"/>
      <c r="MLW30" s="109"/>
      <c r="MLX30" s="109"/>
      <c r="MLY30" s="109"/>
      <c r="MLZ30" s="109"/>
      <c r="MMA30" s="109"/>
      <c r="MMB30" s="109"/>
      <c r="MMC30" s="109"/>
      <c r="MMD30" s="109"/>
      <c r="MME30" s="109"/>
      <c r="MMF30" s="109"/>
      <c r="MMG30" s="109"/>
      <c r="MMH30" s="109"/>
      <c r="MMI30" s="109"/>
      <c r="MMJ30" s="109"/>
      <c r="MMK30" s="109"/>
      <c r="MML30" s="109"/>
      <c r="MMM30" s="109"/>
      <c r="MMN30" s="109"/>
      <c r="MMO30" s="109"/>
      <c r="MMP30" s="109"/>
      <c r="MMQ30" s="109"/>
      <c r="MMR30" s="109"/>
      <c r="MMS30" s="109"/>
      <c r="MMT30" s="109"/>
      <c r="MMU30" s="109"/>
      <c r="MMV30" s="109"/>
      <c r="MMW30" s="109"/>
      <c r="MMX30" s="109"/>
      <c r="MMY30" s="109"/>
      <c r="MMZ30" s="109"/>
      <c r="MNA30" s="109"/>
      <c r="MNB30" s="109"/>
      <c r="MNC30" s="109"/>
      <c r="MND30" s="109"/>
      <c r="MNE30" s="109"/>
      <c r="MNF30" s="109"/>
      <c r="MNG30" s="109"/>
      <c r="MNH30" s="109"/>
      <c r="MNI30" s="109"/>
      <c r="MNJ30" s="109"/>
      <c r="MNK30" s="109"/>
      <c r="MNL30" s="109"/>
      <c r="MNM30" s="109"/>
      <c r="MNN30" s="109"/>
      <c r="MNO30" s="109"/>
      <c r="MNP30" s="109"/>
      <c r="MNQ30" s="109"/>
      <c r="MNR30" s="109"/>
      <c r="MNS30" s="109"/>
      <c r="MNT30" s="109"/>
      <c r="MNU30" s="109"/>
      <c r="MNV30" s="109"/>
      <c r="MNW30" s="109"/>
      <c r="MNX30" s="109"/>
      <c r="MNY30" s="109"/>
      <c r="MNZ30" s="109"/>
      <c r="MOA30" s="109"/>
      <c r="MOB30" s="109"/>
      <c r="MOC30" s="109"/>
      <c r="MOD30" s="109"/>
      <c r="MOE30" s="109"/>
      <c r="MOF30" s="109"/>
      <c r="MOG30" s="109"/>
      <c r="MOH30" s="109"/>
      <c r="MOI30" s="109"/>
      <c r="MOJ30" s="109"/>
      <c r="MOK30" s="109"/>
      <c r="MOL30" s="109"/>
      <c r="MOM30" s="109"/>
      <c r="MON30" s="109"/>
      <c r="MOO30" s="109"/>
      <c r="MOP30" s="109"/>
      <c r="MOQ30" s="109"/>
      <c r="MOR30" s="109"/>
      <c r="MOS30" s="109"/>
      <c r="MOT30" s="109"/>
      <c r="MOU30" s="109"/>
      <c r="MOV30" s="109"/>
      <c r="MOW30" s="109"/>
      <c r="MOX30" s="109"/>
      <c r="MOY30" s="109"/>
      <c r="MOZ30" s="109"/>
      <c r="MPA30" s="109"/>
      <c r="MPB30" s="109"/>
      <c r="MPC30" s="109"/>
      <c r="MPD30" s="109"/>
      <c r="MPE30" s="109"/>
      <c r="MPF30" s="109"/>
      <c r="MPG30" s="109"/>
      <c r="MPH30" s="109"/>
      <c r="MPI30" s="109"/>
      <c r="MPJ30" s="109"/>
      <c r="MPK30" s="109"/>
      <c r="MPL30" s="109"/>
      <c r="MPM30" s="109"/>
      <c r="MPN30" s="109"/>
      <c r="MPO30" s="109"/>
      <c r="MPP30" s="109"/>
      <c r="MPQ30" s="109"/>
      <c r="MPR30" s="109"/>
      <c r="MPS30" s="109"/>
      <c r="MPT30" s="109"/>
      <c r="MPU30" s="109"/>
      <c r="MPV30" s="109"/>
      <c r="MPW30" s="109"/>
      <c r="MPX30" s="109"/>
      <c r="MPY30" s="109"/>
      <c r="MPZ30" s="109"/>
      <c r="MQA30" s="109"/>
      <c r="MQB30" s="109"/>
      <c r="MQC30" s="109"/>
      <c r="MQD30" s="109"/>
      <c r="MQE30" s="109"/>
      <c r="MQF30" s="109"/>
      <c r="MQG30" s="109"/>
      <c r="MQH30" s="109"/>
      <c r="MQI30" s="109"/>
      <c r="MQJ30" s="109"/>
      <c r="MQK30" s="109"/>
      <c r="MQL30" s="109"/>
      <c r="MQM30" s="109"/>
      <c r="MQN30" s="109"/>
      <c r="MQO30" s="109"/>
      <c r="MQP30" s="109"/>
      <c r="MQQ30" s="109"/>
      <c r="MQR30" s="109"/>
      <c r="MQS30" s="109"/>
      <c r="MQT30" s="109"/>
      <c r="MQU30" s="109"/>
      <c r="MQV30" s="109"/>
      <c r="MQW30" s="109"/>
      <c r="MQX30" s="109"/>
      <c r="MQY30" s="109"/>
      <c r="MQZ30" s="109"/>
      <c r="MRA30" s="109"/>
      <c r="MRB30" s="109"/>
      <c r="MRC30" s="109"/>
      <c r="MRD30" s="109"/>
      <c r="MRE30" s="109"/>
      <c r="MRF30" s="109"/>
      <c r="MRG30" s="109"/>
      <c r="MRH30" s="109"/>
      <c r="MRI30" s="109"/>
      <c r="MRJ30" s="109"/>
      <c r="MRK30" s="109"/>
      <c r="MRL30" s="109"/>
      <c r="MRM30" s="109"/>
      <c r="MRN30" s="109"/>
      <c r="MRO30" s="109"/>
      <c r="MRP30" s="109"/>
      <c r="MRQ30" s="109"/>
      <c r="MRR30" s="109"/>
      <c r="MRS30" s="109"/>
      <c r="MRT30" s="109"/>
      <c r="MRU30" s="109"/>
      <c r="MRV30" s="109"/>
      <c r="MRW30" s="109"/>
      <c r="MRX30" s="109"/>
      <c r="MRY30" s="109"/>
      <c r="MRZ30" s="109"/>
      <c r="MSA30" s="109"/>
      <c r="MSB30" s="109"/>
      <c r="MSC30" s="109"/>
      <c r="MSD30" s="109"/>
      <c r="MSE30" s="109"/>
      <c r="MSF30" s="109"/>
      <c r="MSG30" s="109"/>
      <c r="MSH30" s="109"/>
      <c r="MSI30" s="109"/>
      <c r="MSJ30" s="109"/>
      <c r="MSK30" s="109"/>
      <c r="MSL30" s="109"/>
      <c r="MSM30" s="109"/>
      <c r="MSN30" s="109"/>
      <c r="MSO30" s="109"/>
      <c r="MSP30" s="109"/>
      <c r="MSQ30" s="109"/>
      <c r="MSR30" s="109"/>
      <c r="MSS30" s="109"/>
      <c r="MST30" s="109"/>
      <c r="MSU30" s="109"/>
      <c r="MSV30" s="109"/>
      <c r="MSW30" s="109"/>
      <c r="MSX30" s="109"/>
      <c r="MSY30" s="109"/>
      <c r="MSZ30" s="109"/>
      <c r="MTA30" s="109"/>
      <c r="MTB30" s="109"/>
      <c r="MTC30" s="109"/>
      <c r="MTD30" s="109"/>
      <c r="MTE30" s="109"/>
      <c r="MTF30" s="109"/>
      <c r="MTG30" s="109"/>
      <c r="MTH30" s="109"/>
      <c r="MTI30" s="109"/>
      <c r="MTJ30" s="109"/>
      <c r="MTK30" s="109"/>
      <c r="MTL30" s="109"/>
      <c r="MTM30" s="109"/>
      <c r="MTN30" s="109"/>
      <c r="MTO30" s="109"/>
      <c r="MTP30" s="109"/>
      <c r="MTQ30" s="109"/>
      <c r="MTR30" s="109"/>
      <c r="MTS30" s="109"/>
      <c r="MTT30" s="109"/>
      <c r="MTU30" s="109"/>
      <c r="MTV30" s="109"/>
      <c r="MTW30" s="109"/>
      <c r="MTX30" s="109"/>
      <c r="MTY30" s="109"/>
      <c r="MTZ30" s="109"/>
      <c r="MUA30" s="109"/>
      <c r="MUB30" s="109"/>
      <c r="MUC30" s="109"/>
      <c r="MUD30" s="109"/>
      <c r="MUE30" s="109"/>
      <c r="MUF30" s="109"/>
      <c r="MUG30" s="109"/>
      <c r="MUH30" s="109"/>
      <c r="MUI30" s="109"/>
      <c r="MUJ30" s="109"/>
      <c r="MUK30" s="109"/>
      <c r="MUL30" s="109"/>
      <c r="MUM30" s="109"/>
      <c r="MUN30" s="109"/>
      <c r="MUO30" s="109"/>
      <c r="MUP30" s="109"/>
      <c r="MUQ30" s="109"/>
      <c r="MUR30" s="109"/>
      <c r="MUS30" s="109"/>
      <c r="MUT30" s="109"/>
      <c r="MUU30" s="109"/>
      <c r="MUV30" s="109"/>
      <c r="MUW30" s="109"/>
      <c r="MUX30" s="109"/>
      <c r="MUY30" s="109"/>
      <c r="MUZ30" s="109"/>
      <c r="MVA30" s="109"/>
      <c r="MVB30" s="109"/>
      <c r="MVC30" s="109"/>
      <c r="MVD30" s="109"/>
      <c r="MVE30" s="109"/>
      <c r="MVF30" s="109"/>
      <c r="MVG30" s="109"/>
      <c r="MVH30" s="109"/>
      <c r="MVI30" s="109"/>
      <c r="MVJ30" s="109"/>
      <c r="MVK30" s="109"/>
      <c r="MVL30" s="109"/>
      <c r="MVM30" s="109"/>
      <c r="MVN30" s="109"/>
      <c r="MVO30" s="109"/>
      <c r="MVP30" s="109"/>
      <c r="MVQ30" s="109"/>
      <c r="MVR30" s="109"/>
      <c r="MVS30" s="109"/>
      <c r="MVT30" s="109"/>
      <c r="MVU30" s="109"/>
      <c r="MVV30" s="109"/>
      <c r="MVW30" s="109"/>
      <c r="MVX30" s="109"/>
      <c r="MVY30" s="109"/>
      <c r="MVZ30" s="109"/>
      <c r="MWA30" s="109"/>
      <c r="MWB30" s="109"/>
      <c r="MWC30" s="109"/>
      <c r="MWD30" s="109"/>
      <c r="MWE30" s="109"/>
      <c r="MWF30" s="109"/>
      <c r="MWG30" s="109"/>
      <c r="MWH30" s="109"/>
      <c r="MWI30" s="109"/>
      <c r="MWJ30" s="109"/>
      <c r="MWK30" s="109"/>
      <c r="MWL30" s="109"/>
      <c r="MWM30" s="109"/>
      <c r="MWN30" s="109"/>
      <c r="MWO30" s="109"/>
      <c r="MWP30" s="109"/>
      <c r="MWQ30" s="109"/>
      <c r="MWR30" s="109"/>
      <c r="MWS30" s="109"/>
      <c r="MWT30" s="109"/>
      <c r="MWU30" s="109"/>
      <c r="MWV30" s="109"/>
      <c r="MWW30" s="109"/>
      <c r="MWX30" s="109"/>
      <c r="MWY30" s="109"/>
      <c r="MWZ30" s="109"/>
      <c r="MXA30" s="109"/>
      <c r="MXB30" s="109"/>
      <c r="MXC30" s="109"/>
      <c r="MXD30" s="109"/>
      <c r="MXE30" s="109"/>
      <c r="MXF30" s="109"/>
      <c r="MXG30" s="109"/>
      <c r="MXH30" s="109"/>
      <c r="MXI30" s="109"/>
      <c r="MXJ30" s="109"/>
      <c r="MXK30" s="109"/>
      <c r="MXL30" s="109"/>
      <c r="MXM30" s="109"/>
      <c r="MXN30" s="109"/>
      <c r="MXO30" s="109"/>
      <c r="MXP30" s="109"/>
      <c r="MXQ30" s="109"/>
      <c r="MXR30" s="109"/>
      <c r="MXS30" s="109"/>
      <c r="MXT30" s="109"/>
      <c r="MXU30" s="109"/>
      <c r="MXV30" s="109"/>
      <c r="MXW30" s="109"/>
      <c r="MXX30" s="109"/>
      <c r="MXY30" s="109"/>
      <c r="MXZ30" s="109"/>
      <c r="MYA30" s="109"/>
      <c r="MYB30" s="109"/>
      <c r="MYC30" s="109"/>
      <c r="MYD30" s="109"/>
      <c r="MYE30" s="109"/>
      <c r="MYF30" s="109"/>
      <c r="MYG30" s="109"/>
      <c r="MYH30" s="109"/>
      <c r="MYI30" s="109"/>
      <c r="MYJ30" s="109"/>
      <c r="MYK30" s="109"/>
      <c r="MYL30" s="109"/>
      <c r="MYM30" s="109"/>
      <c r="MYN30" s="109"/>
      <c r="MYO30" s="109"/>
      <c r="MYP30" s="109"/>
      <c r="MYQ30" s="109"/>
      <c r="MYR30" s="109"/>
      <c r="MYS30" s="109"/>
      <c r="MYT30" s="109"/>
      <c r="MYU30" s="109"/>
      <c r="MYV30" s="109"/>
      <c r="MYW30" s="109"/>
      <c r="MYX30" s="109"/>
      <c r="MYY30" s="109"/>
      <c r="MYZ30" s="109"/>
      <c r="MZA30" s="109"/>
      <c r="MZB30" s="109"/>
      <c r="MZC30" s="109"/>
      <c r="MZD30" s="109"/>
      <c r="MZE30" s="109"/>
      <c r="MZF30" s="109"/>
      <c r="MZG30" s="109"/>
      <c r="MZH30" s="109"/>
      <c r="MZI30" s="109"/>
      <c r="MZJ30" s="109"/>
      <c r="MZK30" s="109"/>
      <c r="MZL30" s="109"/>
      <c r="MZM30" s="109"/>
      <c r="MZN30" s="109"/>
      <c r="MZO30" s="109"/>
      <c r="MZP30" s="109"/>
      <c r="MZQ30" s="109"/>
      <c r="MZR30" s="109"/>
      <c r="MZS30" s="109"/>
      <c r="MZT30" s="109"/>
      <c r="MZU30" s="109"/>
      <c r="MZV30" s="109"/>
      <c r="MZW30" s="109"/>
      <c r="MZX30" s="109"/>
      <c r="MZY30" s="109"/>
      <c r="MZZ30" s="109"/>
      <c r="NAA30" s="109"/>
      <c r="NAB30" s="109"/>
      <c r="NAC30" s="109"/>
      <c r="NAD30" s="109"/>
      <c r="NAE30" s="109"/>
      <c r="NAF30" s="109"/>
      <c r="NAG30" s="109"/>
      <c r="NAH30" s="109"/>
      <c r="NAI30" s="109"/>
      <c r="NAJ30" s="109"/>
      <c r="NAK30" s="109"/>
      <c r="NAL30" s="109"/>
      <c r="NAM30" s="109"/>
      <c r="NAN30" s="109"/>
      <c r="NAO30" s="109"/>
      <c r="NAP30" s="109"/>
      <c r="NAQ30" s="109"/>
      <c r="NAR30" s="109"/>
      <c r="NAS30" s="109"/>
      <c r="NAT30" s="109"/>
      <c r="NAU30" s="109"/>
      <c r="NAV30" s="109"/>
      <c r="NAW30" s="109"/>
      <c r="NAX30" s="109"/>
      <c r="NAY30" s="109"/>
      <c r="NAZ30" s="109"/>
      <c r="NBA30" s="109"/>
      <c r="NBB30" s="109"/>
      <c r="NBC30" s="109"/>
      <c r="NBD30" s="109"/>
      <c r="NBE30" s="109"/>
      <c r="NBF30" s="109"/>
      <c r="NBG30" s="109"/>
      <c r="NBH30" s="109"/>
      <c r="NBI30" s="109"/>
      <c r="NBJ30" s="109"/>
      <c r="NBK30" s="109"/>
      <c r="NBL30" s="109"/>
      <c r="NBM30" s="109"/>
      <c r="NBN30" s="109"/>
      <c r="NBO30" s="109"/>
      <c r="NBP30" s="109"/>
      <c r="NBQ30" s="109"/>
      <c r="NBR30" s="109"/>
      <c r="NBS30" s="109"/>
      <c r="NBT30" s="109"/>
      <c r="NBU30" s="109"/>
      <c r="NBV30" s="109"/>
      <c r="NBW30" s="109"/>
      <c r="NBX30" s="109"/>
      <c r="NBY30" s="109"/>
      <c r="NBZ30" s="109"/>
      <c r="NCA30" s="109"/>
      <c r="NCB30" s="109"/>
      <c r="NCC30" s="109"/>
      <c r="NCD30" s="109"/>
      <c r="NCE30" s="109"/>
      <c r="NCF30" s="109"/>
      <c r="NCG30" s="109"/>
      <c r="NCH30" s="109"/>
      <c r="NCI30" s="109"/>
      <c r="NCJ30" s="109"/>
      <c r="NCK30" s="109"/>
      <c r="NCL30" s="109"/>
      <c r="NCM30" s="109"/>
      <c r="NCN30" s="109"/>
      <c r="NCO30" s="109"/>
      <c r="NCP30" s="109"/>
      <c r="NCQ30" s="109"/>
      <c r="NCR30" s="109"/>
      <c r="NCS30" s="109"/>
      <c r="NCT30" s="109"/>
      <c r="NCU30" s="109"/>
      <c r="NCV30" s="109"/>
      <c r="NCW30" s="109"/>
      <c r="NCX30" s="109"/>
      <c r="NCY30" s="109"/>
      <c r="NCZ30" s="109"/>
      <c r="NDA30" s="109"/>
      <c r="NDB30" s="109"/>
      <c r="NDC30" s="109"/>
      <c r="NDD30" s="109"/>
      <c r="NDE30" s="109"/>
      <c r="NDF30" s="109"/>
      <c r="NDG30" s="109"/>
      <c r="NDH30" s="109"/>
      <c r="NDI30" s="109"/>
      <c r="NDJ30" s="109"/>
      <c r="NDK30" s="109"/>
      <c r="NDL30" s="109"/>
      <c r="NDM30" s="109"/>
      <c r="NDN30" s="109"/>
      <c r="NDO30" s="109"/>
      <c r="NDP30" s="109"/>
      <c r="NDQ30" s="109"/>
      <c r="NDR30" s="109"/>
      <c r="NDS30" s="109"/>
      <c r="NDT30" s="109"/>
      <c r="NDU30" s="109"/>
      <c r="NDV30" s="109"/>
      <c r="NDW30" s="109"/>
      <c r="NDX30" s="109"/>
      <c r="NDY30" s="109"/>
      <c r="NDZ30" s="109"/>
      <c r="NEA30" s="109"/>
      <c r="NEB30" s="109"/>
      <c r="NEC30" s="109"/>
      <c r="NED30" s="109"/>
      <c r="NEE30" s="109"/>
      <c r="NEF30" s="109"/>
      <c r="NEG30" s="109"/>
      <c r="NEH30" s="109"/>
      <c r="NEI30" s="109"/>
      <c r="NEJ30" s="109"/>
      <c r="NEK30" s="109"/>
      <c r="NEL30" s="109"/>
      <c r="NEM30" s="109"/>
      <c r="NEN30" s="109"/>
      <c r="NEO30" s="109"/>
      <c r="NEP30" s="109"/>
      <c r="NEQ30" s="109"/>
      <c r="NER30" s="109"/>
      <c r="NES30" s="109"/>
      <c r="NET30" s="109"/>
      <c r="NEU30" s="109"/>
      <c r="NEV30" s="109"/>
      <c r="NEW30" s="109"/>
      <c r="NEX30" s="109"/>
      <c r="NEY30" s="109"/>
      <c r="NEZ30" s="109"/>
      <c r="NFA30" s="109"/>
      <c r="NFB30" s="109"/>
      <c r="NFC30" s="109"/>
      <c r="NFD30" s="109"/>
      <c r="NFE30" s="109"/>
      <c r="NFF30" s="109"/>
      <c r="NFG30" s="109"/>
      <c r="NFH30" s="109"/>
      <c r="NFI30" s="109"/>
      <c r="NFJ30" s="109"/>
      <c r="NFK30" s="109"/>
      <c r="NFL30" s="109"/>
      <c r="NFM30" s="109"/>
      <c r="NFN30" s="109"/>
      <c r="NFO30" s="109"/>
      <c r="NFP30" s="109"/>
      <c r="NFQ30" s="109"/>
      <c r="NFR30" s="109"/>
      <c r="NFS30" s="109"/>
      <c r="NFT30" s="109"/>
      <c r="NFU30" s="109"/>
      <c r="NFV30" s="109"/>
      <c r="NFW30" s="109"/>
      <c r="NFX30" s="109"/>
      <c r="NFY30" s="109"/>
      <c r="NFZ30" s="109"/>
      <c r="NGA30" s="109"/>
      <c r="NGB30" s="109"/>
      <c r="NGC30" s="109"/>
      <c r="NGD30" s="109"/>
      <c r="NGE30" s="109"/>
      <c r="NGF30" s="109"/>
      <c r="NGG30" s="109"/>
      <c r="NGH30" s="109"/>
      <c r="NGI30" s="109"/>
      <c r="NGJ30" s="109"/>
      <c r="NGK30" s="109"/>
      <c r="NGL30" s="109"/>
      <c r="NGM30" s="109"/>
      <c r="NGN30" s="109"/>
      <c r="NGO30" s="109"/>
      <c r="NGP30" s="109"/>
      <c r="NGQ30" s="109"/>
      <c r="NGR30" s="109"/>
      <c r="NGS30" s="109"/>
      <c r="NGT30" s="109"/>
      <c r="NGU30" s="109"/>
      <c r="NGV30" s="109"/>
      <c r="NGW30" s="109"/>
      <c r="NGX30" s="109"/>
      <c r="NGY30" s="109"/>
      <c r="NGZ30" s="109"/>
      <c r="NHA30" s="109"/>
      <c r="NHB30" s="109"/>
      <c r="NHC30" s="109"/>
      <c r="NHD30" s="109"/>
      <c r="NHE30" s="109"/>
      <c r="NHF30" s="109"/>
      <c r="NHG30" s="109"/>
      <c r="NHH30" s="109"/>
      <c r="NHI30" s="109"/>
      <c r="NHJ30" s="109"/>
      <c r="NHK30" s="109"/>
      <c r="NHL30" s="109"/>
      <c r="NHM30" s="109"/>
      <c r="NHN30" s="109"/>
      <c r="NHO30" s="109"/>
      <c r="NHP30" s="109"/>
      <c r="NHQ30" s="109"/>
      <c r="NHR30" s="109"/>
      <c r="NHS30" s="109"/>
      <c r="NHT30" s="109"/>
      <c r="NHU30" s="109"/>
      <c r="NHV30" s="109"/>
      <c r="NHW30" s="109"/>
      <c r="NHX30" s="109"/>
      <c r="NHY30" s="109"/>
      <c r="NHZ30" s="109"/>
      <c r="NIA30" s="109"/>
      <c r="NIB30" s="109"/>
      <c r="NIC30" s="109"/>
      <c r="NID30" s="109"/>
      <c r="NIE30" s="109"/>
      <c r="NIF30" s="109"/>
      <c r="NIG30" s="109"/>
      <c r="NIH30" s="109"/>
      <c r="NII30" s="109"/>
      <c r="NIJ30" s="109"/>
      <c r="NIK30" s="109"/>
      <c r="NIL30" s="109"/>
      <c r="NIM30" s="109"/>
      <c r="NIN30" s="109"/>
      <c r="NIO30" s="109"/>
      <c r="NIP30" s="109"/>
      <c r="NIQ30" s="109"/>
      <c r="NIR30" s="109"/>
      <c r="NIS30" s="109"/>
      <c r="NIT30" s="109"/>
      <c r="NIU30" s="109"/>
      <c r="NIV30" s="109"/>
      <c r="NIW30" s="109"/>
      <c r="NIX30" s="109"/>
      <c r="NIY30" s="109"/>
      <c r="NIZ30" s="109"/>
      <c r="NJA30" s="109"/>
      <c r="NJB30" s="109"/>
      <c r="NJC30" s="109"/>
      <c r="NJD30" s="109"/>
      <c r="NJE30" s="109"/>
      <c r="NJF30" s="109"/>
      <c r="NJG30" s="109"/>
      <c r="NJH30" s="109"/>
      <c r="NJI30" s="109"/>
      <c r="NJJ30" s="109"/>
      <c r="NJK30" s="109"/>
      <c r="NJL30" s="109"/>
      <c r="NJM30" s="109"/>
      <c r="NJN30" s="109"/>
      <c r="NJO30" s="109"/>
      <c r="NJP30" s="109"/>
      <c r="NJQ30" s="109"/>
      <c r="NJR30" s="109"/>
      <c r="NJS30" s="109"/>
      <c r="NJT30" s="109"/>
      <c r="NJU30" s="109"/>
      <c r="NJV30" s="109"/>
      <c r="NJW30" s="109"/>
      <c r="NJX30" s="109"/>
      <c r="NJY30" s="109"/>
      <c r="NJZ30" s="109"/>
      <c r="NKA30" s="109"/>
      <c r="NKB30" s="109"/>
      <c r="NKC30" s="109"/>
      <c r="NKD30" s="109"/>
      <c r="NKE30" s="109"/>
      <c r="NKF30" s="109"/>
      <c r="NKG30" s="109"/>
      <c r="NKH30" s="109"/>
      <c r="NKI30" s="109"/>
      <c r="NKJ30" s="109"/>
      <c r="NKK30" s="109"/>
      <c r="NKL30" s="109"/>
      <c r="NKM30" s="109"/>
      <c r="NKN30" s="109"/>
      <c r="NKO30" s="109"/>
      <c r="NKP30" s="109"/>
      <c r="NKQ30" s="109"/>
      <c r="NKR30" s="109"/>
      <c r="NKS30" s="109"/>
      <c r="NKT30" s="109"/>
      <c r="NKU30" s="109"/>
      <c r="NKV30" s="109"/>
      <c r="NKW30" s="109"/>
      <c r="NKX30" s="109"/>
      <c r="NKY30" s="109"/>
      <c r="NKZ30" s="109"/>
      <c r="NLA30" s="109"/>
      <c r="NLB30" s="109"/>
      <c r="NLC30" s="109"/>
      <c r="NLD30" s="109"/>
      <c r="NLE30" s="109"/>
      <c r="NLF30" s="109"/>
      <c r="NLG30" s="109"/>
      <c r="NLH30" s="109"/>
      <c r="NLI30" s="109"/>
      <c r="NLJ30" s="109"/>
      <c r="NLK30" s="109"/>
      <c r="NLL30" s="109"/>
      <c r="NLM30" s="109"/>
      <c r="NLN30" s="109"/>
      <c r="NLO30" s="109"/>
      <c r="NLP30" s="109"/>
      <c r="NLQ30" s="109"/>
      <c r="NLR30" s="109"/>
      <c r="NLS30" s="109"/>
      <c r="NLT30" s="109"/>
      <c r="NLU30" s="109"/>
      <c r="NLV30" s="109"/>
      <c r="NLW30" s="109"/>
      <c r="NLX30" s="109"/>
      <c r="NLY30" s="109"/>
      <c r="NLZ30" s="109"/>
      <c r="NMA30" s="109"/>
      <c r="NMB30" s="109"/>
      <c r="NMC30" s="109"/>
      <c r="NMD30" s="109"/>
      <c r="NME30" s="109"/>
      <c r="NMF30" s="109"/>
      <c r="NMG30" s="109"/>
      <c r="NMH30" s="109"/>
      <c r="NMI30" s="109"/>
      <c r="NMJ30" s="109"/>
      <c r="NMK30" s="109"/>
      <c r="NML30" s="109"/>
      <c r="NMM30" s="109"/>
      <c r="NMN30" s="109"/>
      <c r="NMO30" s="109"/>
      <c r="NMP30" s="109"/>
      <c r="NMQ30" s="109"/>
      <c r="NMR30" s="109"/>
      <c r="NMS30" s="109"/>
      <c r="NMT30" s="109"/>
      <c r="NMU30" s="109"/>
      <c r="NMV30" s="109"/>
      <c r="NMW30" s="109"/>
      <c r="NMX30" s="109"/>
      <c r="NMY30" s="109"/>
      <c r="NMZ30" s="109"/>
      <c r="NNA30" s="109"/>
      <c r="NNB30" s="109"/>
      <c r="NNC30" s="109"/>
      <c r="NND30" s="109"/>
      <c r="NNE30" s="109"/>
      <c r="NNF30" s="109"/>
      <c r="NNG30" s="109"/>
      <c r="NNH30" s="109"/>
      <c r="NNI30" s="109"/>
      <c r="NNJ30" s="109"/>
      <c r="NNK30" s="109"/>
      <c r="NNL30" s="109"/>
      <c r="NNM30" s="109"/>
      <c r="NNN30" s="109"/>
      <c r="NNO30" s="109"/>
      <c r="NNP30" s="109"/>
      <c r="NNQ30" s="109"/>
      <c r="NNR30" s="109"/>
      <c r="NNS30" s="109"/>
      <c r="NNT30" s="109"/>
      <c r="NNU30" s="109"/>
      <c r="NNV30" s="109"/>
      <c r="NNW30" s="109"/>
      <c r="NNX30" s="109"/>
      <c r="NNY30" s="109"/>
      <c r="NNZ30" s="109"/>
      <c r="NOA30" s="109"/>
      <c r="NOB30" s="109"/>
      <c r="NOC30" s="109"/>
      <c r="NOD30" s="109"/>
      <c r="NOE30" s="109"/>
      <c r="NOF30" s="109"/>
      <c r="NOG30" s="109"/>
      <c r="NOH30" s="109"/>
      <c r="NOI30" s="109"/>
      <c r="NOJ30" s="109"/>
      <c r="NOK30" s="109"/>
      <c r="NOL30" s="109"/>
      <c r="NOM30" s="109"/>
      <c r="NON30" s="109"/>
      <c r="NOO30" s="109"/>
      <c r="NOP30" s="109"/>
      <c r="NOQ30" s="109"/>
      <c r="NOR30" s="109"/>
      <c r="NOS30" s="109"/>
      <c r="NOT30" s="109"/>
      <c r="NOU30" s="109"/>
      <c r="NOV30" s="109"/>
      <c r="NOW30" s="109"/>
      <c r="NOX30" s="109"/>
      <c r="NOY30" s="109"/>
      <c r="NOZ30" s="109"/>
      <c r="NPA30" s="109"/>
      <c r="NPB30" s="109"/>
      <c r="NPC30" s="109"/>
      <c r="NPD30" s="109"/>
      <c r="NPE30" s="109"/>
      <c r="NPF30" s="109"/>
      <c r="NPG30" s="109"/>
      <c r="NPH30" s="109"/>
      <c r="NPI30" s="109"/>
      <c r="NPJ30" s="109"/>
      <c r="NPK30" s="109"/>
      <c r="NPL30" s="109"/>
      <c r="NPM30" s="109"/>
      <c r="NPN30" s="109"/>
      <c r="NPO30" s="109"/>
      <c r="NPP30" s="109"/>
      <c r="NPQ30" s="109"/>
      <c r="NPR30" s="109"/>
      <c r="NPS30" s="109"/>
      <c r="NPT30" s="109"/>
      <c r="NPU30" s="109"/>
      <c r="NPV30" s="109"/>
      <c r="NPW30" s="109"/>
      <c r="NPX30" s="109"/>
      <c r="NPY30" s="109"/>
      <c r="NPZ30" s="109"/>
      <c r="NQA30" s="109"/>
      <c r="NQB30" s="109"/>
      <c r="NQC30" s="109"/>
      <c r="NQD30" s="109"/>
      <c r="NQE30" s="109"/>
      <c r="NQF30" s="109"/>
      <c r="NQG30" s="109"/>
      <c r="NQH30" s="109"/>
      <c r="NQI30" s="109"/>
      <c r="NQJ30" s="109"/>
      <c r="NQK30" s="109"/>
      <c r="NQL30" s="109"/>
      <c r="NQM30" s="109"/>
      <c r="NQN30" s="109"/>
      <c r="NQO30" s="109"/>
      <c r="NQP30" s="109"/>
      <c r="NQQ30" s="109"/>
      <c r="NQR30" s="109"/>
      <c r="NQS30" s="109"/>
      <c r="NQT30" s="109"/>
      <c r="NQU30" s="109"/>
      <c r="NQV30" s="109"/>
      <c r="NQW30" s="109"/>
      <c r="NQX30" s="109"/>
      <c r="NQY30" s="109"/>
      <c r="NQZ30" s="109"/>
      <c r="NRA30" s="109"/>
      <c r="NRB30" s="109"/>
      <c r="NRC30" s="109"/>
      <c r="NRD30" s="109"/>
      <c r="NRE30" s="109"/>
      <c r="NRF30" s="109"/>
      <c r="NRG30" s="109"/>
      <c r="NRH30" s="109"/>
      <c r="NRI30" s="109"/>
      <c r="NRJ30" s="109"/>
      <c r="NRK30" s="109"/>
      <c r="NRL30" s="109"/>
      <c r="NRM30" s="109"/>
      <c r="NRN30" s="109"/>
      <c r="NRO30" s="109"/>
      <c r="NRP30" s="109"/>
      <c r="NRQ30" s="109"/>
      <c r="NRR30" s="109"/>
      <c r="NRS30" s="109"/>
      <c r="NRT30" s="109"/>
      <c r="NRU30" s="109"/>
      <c r="NRV30" s="109"/>
      <c r="NRW30" s="109"/>
      <c r="NRX30" s="109"/>
      <c r="NRY30" s="109"/>
      <c r="NRZ30" s="109"/>
      <c r="NSA30" s="109"/>
      <c r="NSB30" s="109"/>
      <c r="NSC30" s="109"/>
      <c r="NSD30" s="109"/>
      <c r="NSE30" s="109"/>
      <c r="NSF30" s="109"/>
      <c r="NSG30" s="109"/>
      <c r="NSH30" s="109"/>
      <c r="NSI30" s="109"/>
      <c r="NSJ30" s="109"/>
      <c r="NSK30" s="109"/>
      <c r="NSL30" s="109"/>
      <c r="NSM30" s="109"/>
      <c r="NSN30" s="109"/>
      <c r="NSO30" s="109"/>
      <c r="NSP30" s="109"/>
      <c r="NSQ30" s="109"/>
      <c r="NSR30" s="109"/>
      <c r="NSS30" s="109"/>
      <c r="NST30" s="109"/>
      <c r="NSU30" s="109"/>
      <c r="NSV30" s="109"/>
      <c r="NSW30" s="109"/>
      <c r="NSX30" s="109"/>
      <c r="NSY30" s="109"/>
      <c r="NSZ30" s="109"/>
      <c r="NTA30" s="109"/>
      <c r="NTB30" s="109"/>
      <c r="NTC30" s="109"/>
      <c r="NTD30" s="109"/>
      <c r="NTE30" s="109"/>
      <c r="NTF30" s="109"/>
      <c r="NTG30" s="109"/>
      <c r="NTH30" s="109"/>
      <c r="NTI30" s="109"/>
      <c r="NTJ30" s="109"/>
      <c r="NTK30" s="109"/>
      <c r="NTL30" s="109"/>
      <c r="NTM30" s="109"/>
      <c r="NTN30" s="109"/>
      <c r="NTO30" s="109"/>
      <c r="NTP30" s="109"/>
      <c r="NTQ30" s="109"/>
      <c r="NTR30" s="109"/>
      <c r="NTS30" s="109"/>
      <c r="NTT30" s="109"/>
      <c r="NTU30" s="109"/>
      <c r="NTV30" s="109"/>
      <c r="NTW30" s="109"/>
      <c r="NTX30" s="109"/>
      <c r="NTY30" s="109"/>
      <c r="NTZ30" s="109"/>
      <c r="NUA30" s="109"/>
      <c r="NUB30" s="109"/>
      <c r="NUC30" s="109"/>
      <c r="NUD30" s="109"/>
      <c r="NUE30" s="109"/>
      <c r="NUF30" s="109"/>
      <c r="NUG30" s="109"/>
      <c r="NUH30" s="109"/>
      <c r="NUI30" s="109"/>
      <c r="NUJ30" s="109"/>
      <c r="NUK30" s="109"/>
      <c r="NUL30" s="109"/>
      <c r="NUM30" s="109"/>
      <c r="NUN30" s="109"/>
      <c r="NUO30" s="109"/>
      <c r="NUP30" s="109"/>
      <c r="NUQ30" s="109"/>
      <c r="NUR30" s="109"/>
      <c r="NUS30" s="109"/>
      <c r="NUT30" s="109"/>
      <c r="NUU30" s="109"/>
      <c r="NUV30" s="109"/>
      <c r="NUW30" s="109"/>
      <c r="NUX30" s="109"/>
      <c r="NUY30" s="109"/>
      <c r="NUZ30" s="109"/>
      <c r="NVA30" s="109"/>
      <c r="NVB30" s="109"/>
      <c r="NVC30" s="109"/>
      <c r="NVD30" s="109"/>
      <c r="NVE30" s="109"/>
      <c r="NVF30" s="109"/>
      <c r="NVG30" s="109"/>
      <c r="NVH30" s="109"/>
      <c r="NVI30" s="109"/>
      <c r="NVJ30" s="109"/>
      <c r="NVK30" s="109"/>
      <c r="NVL30" s="109"/>
      <c r="NVM30" s="109"/>
      <c r="NVN30" s="109"/>
      <c r="NVO30" s="109"/>
      <c r="NVP30" s="109"/>
      <c r="NVQ30" s="109"/>
      <c r="NVR30" s="109"/>
      <c r="NVS30" s="109"/>
      <c r="NVT30" s="109"/>
      <c r="NVU30" s="109"/>
      <c r="NVV30" s="109"/>
      <c r="NVW30" s="109"/>
      <c r="NVX30" s="109"/>
      <c r="NVY30" s="109"/>
      <c r="NVZ30" s="109"/>
      <c r="NWA30" s="109"/>
      <c r="NWB30" s="109"/>
      <c r="NWC30" s="109"/>
      <c r="NWD30" s="109"/>
      <c r="NWE30" s="109"/>
      <c r="NWF30" s="109"/>
      <c r="NWG30" s="109"/>
      <c r="NWH30" s="109"/>
      <c r="NWI30" s="109"/>
      <c r="NWJ30" s="109"/>
      <c r="NWK30" s="109"/>
      <c r="NWL30" s="109"/>
      <c r="NWM30" s="109"/>
      <c r="NWN30" s="109"/>
      <c r="NWO30" s="109"/>
      <c r="NWP30" s="109"/>
      <c r="NWQ30" s="109"/>
      <c r="NWR30" s="109"/>
      <c r="NWS30" s="109"/>
      <c r="NWT30" s="109"/>
      <c r="NWU30" s="109"/>
      <c r="NWV30" s="109"/>
      <c r="NWW30" s="109"/>
      <c r="NWX30" s="109"/>
      <c r="NWY30" s="109"/>
      <c r="NWZ30" s="109"/>
      <c r="NXA30" s="109"/>
      <c r="NXB30" s="109"/>
      <c r="NXC30" s="109"/>
      <c r="NXD30" s="109"/>
      <c r="NXE30" s="109"/>
      <c r="NXF30" s="109"/>
      <c r="NXG30" s="109"/>
      <c r="NXH30" s="109"/>
      <c r="NXI30" s="109"/>
      <c r="NXJ30" s="109"/>
      <c r="NXK30" s="109"/>
      <c r="NXL30" s="109"/>
      <c r="NXM30" s="109"/>
      <c r="NXN30" s="109"/>
      <c r="NXO30" s="109"/>
      <c r="NXP30" s="109"/>
      <c r="NXQ30" s="109"/>
      <c r="NXR30" s="109"/>
      <c r="NXS30" s="109"/>
      <c r="NXT30" s="109"/>
      <c r="NXU30" s="109"/>
      <c r="NXV30" s="109"/>
      <c r="NXW30" s="109"/>
      <c r="NXX30" s="109"/>
      <c r="NXY30" s="109"/>
      <c r="NXZ30" s="109"/>
      <c r="NYA30" s="109"/>
      <c r="NYB30" s="109"/>
      <c r="NYC30" s="109"/>
      <c r="NYD30" s="109"/>
      <c r="NYE30" s="109"/>
      <c r="NYF30" s="109"/>
      <c r="NYG30" s="109"/>
      <c r="NYH30" s="109"/>
      <c r="NYI30" s="109"/>
      <c r="NYJ30" s="109"/>
      <c r="NYK30" s="109"/>
      <c r="NYL30" s="109"/>
      <c r="NYM30" s="109"/>
      <c r="NYN30" s="109"/>
      <c r="NYO30" s="109"/>
      <c r="NYP30" s="109"/>
      <c r="NYQ30" s="109"/>
      <c r="NYR30" s="109"/>
      <c r="NYS30" s="109"/>
      <c r="NYT30" s="109"/>
      <c r="NYU30" s="109"/>
      <c r="NYV30" s="109"/>
      <c r="NYW30" s="109"/>
      <c r="NYX30" s="109"/>
      <c r="NYY30" s="109"/>
      <c r="NYZ30" s="109"/>
      <c r="NZA30" s="109"/>
      <c r="NZB30" s="109"/>
      <c r="NZC30" s="109"/>
      <c r="NZD30" s="109"/>
      <c r="NZE30" s="109"/>
      <c r="NZF30" s="109"/>
      <c r="NZG30" s="109"/>
      <c r="NZH30" s="109"/>
      <c r="NZI30" s="109"/>
      <c r="NZJ30" s="109"/>
      <c r="NZK30" s="109"/>
      <c r="NZL30" s="109"/>
      <c r="NZM30" s="109"/>
      <c r="NZN30" s="109"/>
      <c r="NZO30" s="109"/>
      <c r="NZP30" s="109"/>
      <c r="NZQ30" s="109"/>
      <c r="NZR30" s="109"/>
      <c r="NZS30" s="109"/>
      <c r="NZT30" s="109"/>
      <c r="NZU30" s="109"/>
      <c r="NZV30" s="109"/>
      <c r="NZW30" s="109"/>
      <c r="NZX30" s="109"/>
      <c r="NZY30" s="109"/>
      <c r="NZZ30" s="109"/>
      <c r="OAA30" s="109"/>
      <c r="OAB30" s="109"/>
      <c r="OAC30" s="109"/>
      <c r="OAD30" s="109"/>
      <c r="OAE30" s="109"/>
      <c r="OAF30" s="109"/>
      <c r="OAG30" s="109"/>
      <c r="OAH30" s="109"/>
      <c r="OAI30" s="109"/>
      <c r="OAJ30" s="109"/>
      <c r="OAK30" s="109"/>
      <c r="OAL30" s="109"/>
      <c r="OAM30" s="109"/>
      <c r="OAN30" s="109"/>
      <c r="OAO30" s="109"/>
      <c r="OAP30" s="109"/>
      <c r="OAQ30" s="109"/>
      <c r="OAR30" s="109"/>
      <c r="OAS30" s="109"/>
      <c r="OAT30" s="109"/>
      <c r="OAU30" s="109"/>
      <c r="OAV30" s="109"/>
      <c r="OAW30" s="109"/>
      <c r="OAX30" s="109"/>
      <c r="OAY30" s="109"/>
      <c r="OAZ30" s="109"/>
      <c r="OBA30" s="109"/>
      <c r="OBB30" s="109"/>
      <c r="OBC30" s="109"/>
      <c r="OBD30" s="109"/>
      <c r="OBE30" s="109"/>
      <c r="OBF30" s="109"/>
      <c r="OBG30" s="109"/>
      <c r="OBH30" s="109"/>
      <c r="OBI30" s="109"/>
      <c r="OBJ30" s="109"/>
      <c r="OBK30" s="109"/>
      <c r="OBL30" s="109"/>
      <c r="OBM30" s="109"/>
      <c r="OBN30" s="109"/>
      <c r="OBO30" s="109"/>
      <c r="OBP30" s="109"/>
      <c r="OBQ30" s="109"/>
      <c r="OBR30" s="109"/>
      <c r="OBS30" s="109"/>
      <c r="OBT30" s="109"/>
      <c r="OBU30" s="109"/>
      <c r="OBV30" s="109"/>
      <c r="OBW30" s="109"/>
      <c r="OBX30" s="109"/>
      <c r="OBY30" s="109"/>
      <c r="OBZ30" s="109"/>
      <c r="OCA30" s="109"/>
      <c r="OCB30" s="109"/>
      <c r="OCC30" s="109"/>
      <c r="OCD30" s="109"/>
      <c r="OCE30" s="109"/>
      <c r="OCF30" s="109"/>
      <c r="OCG30" s="109"/>
      <c r="OCH30" s="109"/>
      <c r="OCI30" s="109"/>
      <c r="OCJ30" s="109"/>
      <c r="OCK30" s="109"/>
      <c r="OCL30" s="109"/>
      <c r="OCM30" s="109"/>
      <c r="OCN30" s="109"/>
      <c r="OCO30" s="109"/>
      <c r="OCP30" s="109"/>
      <c r="OCQ30" s="109"/>
      <c r="OCR30" s="109"/>
      <c r="OCS30" s="109"/>
      <c r="OCT30" s="109"/>
      <c r="OCU30" s="109"/>
      <c r="OCV30" s="109"/>
      <c r="OCW30" s="109"/>
      <c r="OCX30" s="109"/>
      <c r="OCY30" s="109"/>
      <c r="OCZ30" s="109"/>
      <c r="ODA30" s="109"/>
      <c r="ODB30" s="109"/>
      <c r="ODC30" s="109"/>
      <c r="ODD30" s="109"/>
      <c r="ODE30" s="109"/>
      <c r="ODF30" s="109"/>
      <c r="ODG30" s="109"/>
      <c r="ODH30" s="109"/>
      <c r="ODI30" s="109"/>
      <c r="ODJ30" s="109"/>
      <c r="ODK30" s="109"/>
      <c r="ODL30" s="109"/>
      <c r="ODM30" s="109"/>
      <c r="ODN30" s="109"/>
      <c r="ODO30" s="109"/>
      <c r="ODP30" s="109"/>
      <c r="ODQ30" s="109"/>
      <c r="ODR30" s="109"/>
      <c r="ODS30" s="109"/>
      <c r="ODT30" s="109"/>
      <c r="ODU30" s="109"/>
      <c r="ODV30" s="109"/>
      <c r="ODW30" s="109"/>
      <c r="ODX30" s="109"/>
      <c r="ODY30" s="109"/>
      <c r="ODZ30" s="109"/>
      <c r="OEA30" s="109"/>
      <c r="OEB30" s="109"/>
      <c r="OEC30" s="109"/>
      <c r="OED30" s="109"/>
      <c r="OEE30" s="109"/>
      <c r="OEF30" s="109"/>
      <c r="OEG30" s="109"/>
      <c r="OEH30" s="109"/>
      <c r="OEI30" s="109"/>
      <c r="OEJ30" s="109"/>
      <c r="OEK30" s="109"/>
      <c r="OEL30" s="109"/>
      <c r="OEM30" s="109"/>
      <c r="OEN30" s="109"/>
      <c r="OEO30" s="109"/>
      <c r="OEP30" s="109"/>
      <c r="OEQ30" s="109"/>
      <c r="OER30" s="109"/>
      <c r="OES30" s="109"/>
      <c r="OET30" s="109"/>
      <c r="OEU30" s="109"/>
      <c r="OEV30" s="109"/>
      <c r="OEW30" s="109"/>
      <c r="OEX30" s="109"/>
      <c r="OEY30" s="109"/>
      <c r="OEZ30" s="109"/>
      <c r="OFA30" s="109"/>
      <c r="OFB30" s="109"/>
      <c r="OFC30" s="109"/>
      <c r="OFD30" s="109"/>
      <c r="OFE30" s="109"/>
      <c r="OFF30" s="109"/>
      <c r="OFG30" s="109"/>
      <c r="OFH30" s="109"/>
      <c r="OFI30" s="109"/>
      <c r="OFJ30" s="109"/>
      <c r="OFK30" s="109"/>
      <c r="OFL30" s="109"/>
      <c r="OFM30" s="109"/>
      <c r="OFN30" s="109"/>
      <c r="OFO30" s="109"/>
      <c r="OFP30" s="109"/>
      <c r="OFQ30" s="109"/>
      <c r="OFR30" s="109"/>
      <c r="OFS30" s="109"/>
      <c r="OFT30" s="109"/>
      <c r="OFU30" s="109"/>
      <c r="OFV30" s="109"/>
      <c r="OFW30" s="109"/>
      <c r="OFX30" s="109"/>
      <c r="OFY30" s="109"/>
      <c r="OFZ30" s="109"/>
      <c r="OGA30" s="109"/>
      <c r="OGB30" s="109"/>
      <c r="OGC30" s="109"/>
      <c r="OGD30" s="109"/>
      <c r="OGE30" s="109"/>
      <c r="OGF30" s="109"/>
      <c r="OGG30" s="109"/>
      <c r="OGH30" s="109"/>
      <c r="OGI30" s="109"/>
      <c r="OGJ30" s="109"/>
      <c r="OGK30" s="109"/>
      <c r="OGL30" s="109"/>
      <c r="OGM30" s="109"/>
      <c r="OGN30" s="109"/>
      <c r="OGO30" s="109"/>
      <c r="OGP30" s="109"/>
      <c r="OGQ30" s="109"/>
      <c r="OGR30" s="109"/>
      <c r="OGS30" s="109"/>
      <c r="OGT30" s="109"/>
      <c r="OGU30" s="109"/>
      <c r="OGV30" s="109"/>
      <c r="OGW30" s="109"/>
      <c r="OGX30" s="109"/>
      <c r="OGY30" s="109"/>
      <c r="OGZ30" s="109"/>
      <c r="OHA30" s="109"/>
      <c r="OHB30" s="109"/>
      <c r="OHC30" s="109"/>
      <c r="OHD30" s="109"/>
      <c r="OHE30" s="109"/>
      <c r="OHF30" s="109"/>
      <c r="OHG30" s="109"/>
      <c r="OHH30" s="109"/>
      <c r="OHI30" s="109"/>
      <c r="OHJ30" s="109"/>
      <c r="OHK30" s="109"/>
      <c r="OHL30" s="109"/>
      <c r="OHM30" s="109"/>
      <c r="OHN30" s="109"/>
      <c r="OHO30" s="109"/>
      <c r="OHP30" s="109"/>
      <c r="OHQ30" s="109"/>
      <c r="OHR30" s="109"/>
      <c r="OHS30" s="109"/>
      <c r="OHT30" s="109"/>
      <c r="OHU30" s="109"/>
      <c r="OHV30" s="109"/>
      <c r="OHW30" s="109"/>
      <c r="OHX30" s="109"/>
      <c r="OHY30" s="109"/>
      <c r="OHZ30" s="109"/>
      <c r="OIA30" s="109"/>
      <c r="OIB30" s="109"/>
      <c r="OIC30" s="109"/>
      <c r="OID30" s="109"/>
      <c r="OIE30" s="109"/>
      <c r="OIF30" s="109"/>
      <c r="OIG30" s="109"/>
      <c r="OIH30" s="109"/>
      <c r="OII30" s="109"/>
      <c r="OIJ30" s="109"/>
      <c r="OIK30" s="109"/>
      <c r="OIL30" s="109"/>
      <c r="OIM30" s="109"/>
      <c r="OIN30" s="109"/>
      <c r="OIO30" s="109"/>
      <c r="OIP30" s="109"/>
      <c r="OIQ30" s="109"/>
      <c r="OIR30" s="109"/>
      <c r="OIS30" s="109"/>
      <c r="OIT30" s="109"/>
      <c r="OIU30" s="109"/>
      <c r="OIV30" s="109"/>
      <c r="OIW30" s="109"/>
      <c r="OIX30" s="109"/>
      <c r="OIY30" s="109"/>
      <c r="OIZ30" s="109"/>
      <c r="OJA30" s="109"/>
      <c r="OJB30" s="109"/>
      <c r="OJC30" s="109"/>
      <c r="OJD30" s="109"/>
      <c r="OJE30" s="109"/>
      <c r="OJF30" s="109"/>
      <c r="OJG30" s="109"/>
      <c r="OJH30" s="109"/>
      <c r="OJI30" s="109"/>
      <c r="OJJ30" s="109"/>
      <c r="OJK30" s="109"/>
      <c r="OJL30" s="109"/>
      <c r="OJM30" s="109"/>
      <c r="OJN30" s="109"/>
      <c r="OJO30" s="109"/>
      <c r="OJP30" s="109"/>
      <c r="OJQ30" s="109"/>
      <c r="OJR30" s="109"/>
      <c r="OJS30" s="109"/>
      <c r="OJT30" s="109"/>
      <c r="OJU30" s="109"/>
      <c r="OJV30" s="109"/>
      <c r="OJW30" s="109"/>
      <c r="OJX30" s="109"/>
      <c r="OJY30" s="109"/>
      <c r="OJZ30" s="109"/>
      <c r="OKA30" s="109"/>
      <c r="OKB30" s="109"/>
      <c r="OKC30" s="109"/>
      <c r="OKD30" s="109"/>
      <c r="OKE30" s="109"/>
      <c r="OKF30" s="109"/>
      <c r="OKG30" s="109"/>
      <c r="OKH30" s="109"/>
      <c r="OKI30" s="109"/>
      <c r="OKJ30" s="109"/>
      <c r="OKK30" s="109"/>
      <c r="OKL30" s="109"/>
      <c r="OKM30" s="109"/>
      <c r="OKN30" s="109"/>
      <c r="OKO30" s="109"/>
      <c r="OKP30" s="109"/>
      <c r="OKQ30" s="109"/>
      <c r="OKR30" s="109"/>
      <c r="OKS30" s="109"/>
      <c r="OKT30" s="109"/>
      <c r="OKU30" s="109"/>
      <c r="OKV30" s="109"/>
      <c r="OKW30" s="109"/>
      <c r="OKX30" s="109"/>
      <c r="OKY30" s="109"/>
      <c r="OKZ30" s="109"/>
      <c r="OLA30" s="109"/>
      <c r="OLB30" s="109"/>
      <c r="OLC30" s="109"/>
      <c r="OLD30" s="109"/>
      <c r="OLE30" s="109"/>
      <c r="OLF30" s="109"/>
      <c r="OLG30" s="109"/>
      <c r="OLH30" s="109"/>
      <c r="OLI30" s="109"/>
      <c r="OLJ30" s="109"/>
      <c r="OLK30" s="109"/>
      <c r="OLL30" s="109"/>
      <c r="OLM30" s="109"/>
      <c r="OLN30" s="109"/>
      <c r="OLO30" s="109"/>
      <c r="OLP30" s="109"/>
      <c r="OLQ30" s="109"/>
      <c r="OLR30" s="109"/>
      <c r="OLS30" s="109"/>
      <c r="OLT30" s="109"/>
      <c r="OLU30" s="109"/>
      <c r="OLV30" s="109"/>
      <c r="OLW30" s="109"/>
      <c r="OLX30" s="109"/>
      <c r="OLY30" s="109"/>
      <c r="OLZ30" s="109"/>
      <c r="OMA30" s="109"/>
      <c r="OMB30" s="109"/>
      <c r="OMC30" s="109"/>
      <c r="OMD30" s="109"/>
      <c r="OME30" s="109"/>
      <c r="OMF30" s="109"/>
      <c r="OMG30" s="109"/>
      <c r="OMH30" s="109"/>
      <c r="OMI30" s="109"/>
      <c r="OMJ30" s="109"/>
      <c r="OMK30" s="109"/>
      <c r="OML30" s="109"/>
      <c r="OMM30" s="109"/>
      <c r="OMN30" s="109"/>
      <c r="OMO30" s="109"/>
      <c r="OMP30" s="109"/>
      <c r="OMQ30" s="109"/>
      <c r="OMR30" s="109"/>
      <c r="OMS30" s="109"/>
      <c r="OMT30" s="109"/>
      <c r="OMU30" s="109"/>
      <c r="OMV30" s="109"/>
      <c r="OMW30" s="109"/>
      <c r="OMX30" s="109"/>
      <c r="OMY30" s="109"/>
      <c r="OMZ30" s="109"/>
      <c r="ONA30" s="109"/>
      <c r="ONB30" s="109"/>
      <c r="ONC30" s="109"/>
      <c r="OND30" s="109"/>
      <c r="ONE30" s="109"/>
      <c r="ONF30" s="109"/>
      <c r="ONG30" s="109"/>
      <c r="ONH30" s="109"/>
      <c r="ONI30" s="109"/>
      <c r="ONJ30" s="109"/>
      <c r="ONK30" s="109"/>
      <c r="ONL30" s="109"/>
      <c r="ONM30" s="109"/>
      <c r="ONN30" s="109"/>
      <c r="ONO30" s="109"/>
      <c r="ONP30" s="109"/>
      <c r="ONQ30" s="109"/>
      <c r="ONR30" s="109"/>
      <c r="ONS30" s="109"/>
      <c r="ONT30" s="109"/>
      <c r="ONU30" s="109"/>
      <c r="ONV30" s="109"/>
      <c r="ONW30" s="109"/>
      <c r="ONX30" s="109"/>
      <c r="ONY30" s="109"/>
      <c r="ONZ30" s="109"/>
      <c r="OOA30" s="109"/>
      <c r="OOB30" s="109"/>
      <c r="OOC30" s="109"/>
      <c r="OOD30" s="109"/>
      <c r="OOE30" s="109"/>
      <c r="OOF30" s="109"/>
      <c r="OOG30" s="109"/>
      <c r="OOH30" s="109"/>
      <c r="OOI30" s="109"/>
      <c r="OOJ30" s="109"/>
      <c r="OOK30" s="109"/>
      <c r="OOL30" s="109"/>
      <c r="OOM30" s="109"/>
      <c r="OON30" s="109"/>
      <c r="OOO30" s="109"/>
      <c r="OOP30" s="109"/>
      <c r="OOQ30" s="109"/>
      <c r="OOR30" s="109"/>
      <c r="OOS30" s="109"/>
      <c r="OOT30" s="109"/>
      <c r="OOU30" s="109"/>
      <c r="OOV30" s="109"/>
      <c r="OOW30" s="109"/>
      <c r="OOX30" s="109"/>
      <c r="OOY30" s="109"/>
      <c r="OOZ30" s="109"/>
      <c r="OPA30" s="109"/>
      <c r="OPB30" s="109"/>
      <c r="OPC30" s="109"/>
      <c r="OPD30" s="109"/>
      <c r="OPE30" s="109"/>
      <c r="OPF30" s="109"/>
      <c r="OPG30" s="109"/>
      <c r="OPH30" s="109"/>
      <c r="OPI30" s="109"/>
      <c r="OPJ30" s="109"/>
      <c r="OPK30" s="109"/>
      <c r="OPL30" s="109"/>
      <c r="OPM30" s="109"/>
      <c r="OPN30" s="109"/>
      <c r="OPO30" s="109"/>
      <c r="OPP30" s="109"/>
      <c r="OPQ30" s="109"/>
      <c r="OPR30" s="109"/>
      <c r="OPS30" s="109"/>
      <c r="OPT30" s="109"/>
      <c r="OPU30" s="109"/>
      <c r="OPV30" s="109"/>
      <c r="OPW30" s="109"/>
      <c r="OPX30" s="109"/>
      <c r="OPY30" s="109"/>
      <c r="OPZ30" s="109"/>
      <c r="OQA30" s="109"/>
      <c r="OQB30" s="109"/>
      <c r="OQC30" s="109"/>
      <c r="OQD30" s="109"/>
      <c r="OQE30" s="109"/>
      <c r="OQF30" s="109"/>
      <c r="OQG30" s="109"/>
      <c r="OQH30" s="109"/>
      <c r="OQI30" s="109"/>
      <c r="OQJ30" s="109"/>
      <c r="OQK30" s="109"/>
      <c r="OQL30" s="109"/>
      <c r="OQM30" s="109"/>
      <c r="OQN30" s="109"/>
      <c r="OQO30" s="109"/>
      <c r="OQP30" s="109"/>
      <c r="OQQ30" s="109"/>
      <c r="OQR30" s="109"/>
      <c r="OQS30" s="109"/>
      <c r="OQT30" s="109"/>
      <c r="OQU30" s="109"/>
      <c r="OQV30" s="109"/>
      <c r="OQW30" s="109"/>
      <c r="OQX30" s="109"/>
      <c r="OQY30" s="109"/>
      <c r="OQZ30" s="109"/>
      <c r="ORA30" s="109"/>
      <c r="ORB30" s="109"/>
      <c r="ORC30" s="109"/>
      <c r="ORD30" s="109"/>
      <c r="ORE30" s="109"/>
      <c r="ORF30" s="109"/>
      <c r="ORG30" s="109"/>
      <c r="ORH30" s="109"/>
      <c r="ORI30" s="109"/>
      <c r="ORJ30" s="109"/>
      <c r="ORK30" s="109"/>
      <c r="ORL30" s="109"/>
      <c r="ORM30" s="109"/>
      <c r="ORN30" s="109"/>
      <c r="ORO30" s="109"/>
      <c r="ORP30" s="109"/>
      <c r="ORQ30" s="109"/>
      <c r="ORR30" s="109"/>
      <c r="ORS30" s="109"/>
      <c r="ORT30" s="109"/>
      <c r="ORU30" s="109"/>
      <c r="ORV30" s="109"/>
      <c r="ORW30" s="109"/>
      <c r="ORX30" s="109"/>
      <c r="ORY30" s="109"/>
      <c r="ORZ30" s="109"/>
      <c r="OSA30" s="109"/>
      <c r="OSB30" s="109"/>
      <c r="OSC30" s="109"/>
      <c r="OSD30" s="109"/>
      <c r="OSE30" s="109"/>
      <c r="OSF30" s="109"/>
      <c r="OSG30" s="109"/>
      <c r="OSH30" s="109"/>
      <c r="OSI30" s="109"/>
      <c r="OSJ30" s="109"/>
      <c r="OSK30" s="109"/>
      <c r="OSL30" s="109"/>
      <c r="OSM30" s="109"/>
      <c r="OSN30" s="109"/>
      <c r="OSO30" s="109"/>
      <c r="OSP30" s="109"/>
      <c r="OSQ30" s="109"/>
      <c r="OSR30" s="109"/>
      <c r="OSS30" s="109"/>
      <c r="OST30" s="109"/>
      <c r="OSU30" s="109"/>
      <c r="OSV30" s="109"/>
      <c r="OSW30" s="109"/>
      <c r="OSX30" s="109"/>
      <c r="OSY30" s="109"/>
      <c r="OSZ30" s="109"/>
      <c r="OTA30" s="109"/>
      <c r="OTB30" s="109"/>
      <c r="OTC30" s="109"/>
      <c r="OTD30" s="109"/>
      <c r="OTE30" s="109"/>
      <c r="OTF30" s="109"/>
      <c r="OTG30" s="109"/>
      <c r="OTH30" s="109"/>
      <c r="OTI30" s="109"/>
      <c r="OTJ30" s="109"/>
      <c r="OTK30" s="109"/>
      <c r="OTL30" s="109"/>
      <c r="OTM30" s="109"/>
      <c r="OTN30" s="109"/>
      <c r="OTO30" s="109"/>
      <c r="OTP30" s="109"/>
      <c r="OTQ30" s="109"/>
      <c r="OTR30" s="109"/>
      <c r="OTS30" s="109"/>
      <c r="OTT30" s="109"/>
      <c r="OTU30" s="109"/>
      <c r="OTV30" s="109"/>
      <c r="OTW30" s="109"/>
      <c r="OTX30" s="109"/>
      <c r="OTY30" s="109"/>
      <c r="OTZ30" s="109"/>
      <c r="OUA30" s="109"/>
      <c r="OUB30" s="109"/>
      <c r="OUC30" s="109"/>
      <c r="OUD30" s="109"/>
      <c r="OUE30" s="109"/>
      <c r="OUF30" s="109"/>
      <c r="OUG30" s="109"/>
      <c r="OUH30" s="109"/>
      <c r="OUI30" s="109"/>
      <c r="OUJ30" s="109"/>
      <c r="OUK30" s="109"/>
      <c r="OUL30" s="109"/>
      <c r="OUM30" s="109"/>
      <c r="OUN30" s="109"/>
      <c r="OUO30" s="109"/>
      <c r="OUP30" s="109"/>
      <c r="OUQ30" s="109"/>
      <c r="OUR30" s="109"/>
      <c r="OUS30" s="109"/>
      <c r="OUT30" s="109"/>
      <c r="OUU30" s="109"/>
      <c r="OUV30" s="109"/>
      <c r="OUW30" s="109"/>
      <c r="OUX30" s="109"/>
      <c r="OUY30" s="109"/>
      <c r="OUZ30" s="109"/>
      <c r="OVA30" s="109"/>
      <c r="OVB30" s="109"/>
      <c r="OVC30" s="109"/>
      <c r="OVD30" s="109"/>
      <c r="OVE30" s="109"/>
      <c r="OVF30" s="109"/>
      <c r="OVG30" s="109"/>
      <c r="OVH30" s="109"/>
      <c r="OVI30" s="109"/>
      <c r="OVJ30" s="109"/>
      <c r="OVK30" s="109"/>
      <c r="OVL30" s="109"/>
      <c r="OVM30" s="109"/>
      <c r="OVN30" s="109"/>
      <c r="OVO30" s="109"/>
      <c r="OVP30" s="109"/>
      <c r="OVQ30" s="109"/>
      <c r="OVR30" s="109"/>
      <c r="OVS30" s="109"/>
      <c r="OVT30" s="109"/>
      <c r="OVU30" s="109"/>
      <c r="OVV30" s="109"/>
      <c r="OVW30" s="109"/>
      <c r="OVX30" s="109"/>
      <c r="OVY30" s="109"/>
      <c r="OVZ30" s="109"/>
      <c r="OWA30" s="109"/>
      <c r="OWB30" s="109"/>
      <c r="OWC30" s="109"/>
      <c r="OWD30" s="109"/>
      <c r="OWE30" s="109"/>
      <c r="OWF30" s="109"/>
      <c r="OWG30" s="109"/>
      <c r="OWH30" s="109"/>
      <c r="OWI30" s="109"/>
      <c r="OWJ30" s="109"/>
      <c r="OWK30" s="109"/>
      <c r="OWL30" s="109"/>
      <c r="OWM30" s="109"/>
      <c r="OWN30" s="109"/>
      <c r="OWO30" s="109"/>
      <c r="OWP30" s="109"/>
      <c r="OWQ30" s="109"/>
      <c r="OWR30" s="109"/>
      <c r="OWS30" s="109"/>
      <c r="OWT30" s="109"/>
      <c r="OWU30" s="109"/>
      <c r="OWV30" s="109"/>
      <c r="OWW30" s="109"/>
      <c r="OWX30" s="109"/>
      <c r="OWY30" s="109"/>
      <c r="OWZ30" s="109"/>
      <c r="OXA30" s="109"/>
      <c r="OXB30" s="109"/>
      <c r="OXC30" s="109"/>
      <c r="OXD30" s="109"/>
      <c r="OXE30" s="109"/>
      <c r="OXF30" s="109"/>
      <c r="OXG30" s="109"/>
      <c r="OXH30" s="109"/>
      <c r="OXI30" s="109"/>
      <c r="OXJ30" s="109"/>
      <c r="OXK30" s="109"/>
      <c r="OXL30" s="109"/>
      <c r="OXM30" s="109"/>
      <c r="OXN30" s="109"/>
      <c r="OXO30" s="109"/>
      <c r="OXP30" s="109"/>
      <c r="OXQ30" s="109"/>
      <c r="OXR30" s="109"/>
      <c r="OXS30" s="109"/>
      <c r="OXT30" s="109"/>
      <c r="OXU30" s="109"/>
      <c r="OXV30" s="109"/>
      <c r="OXW30" s="109"/>
      <c r="OXX30" s="109"/>
      <c r="OXY30" s="109"/>
      <c r="OXZ30" s="109"/>
      <c r="OYA30" s="109"/>
      <c r="OYB30" s="109"/>
      <c r="OYC30" s="109"/>
      <c r="OYD30" s="109"/>
      <c r="OYE30" s="109"/>
      <c r="OYF30" s="109"/>
      <c r="OYG30" s="109"/>
      <c r="OYH30" s="109"/>
      <c r="OYI30" s="109"/>
      <c r="OYJ30" s="109"/>
      <c r="OYK30" s="109"/>
      <c r="OYL30" s="109"/>
      <c r="OYM30" s="109"/>
      <c r="OYN30" s="109"/>
      <c r="OYO30" s="109"/>
      <c r="OYP30" s="109"/>
      <c r="OYQ30" s="109"/>
      <c r="OYR30" s="109"/>
      <c r="OYS30" s="109"/>
      <c r="OYT30" s="109"/>
      <c r="OYU30" s="109"/>
      <c r="OYV30" s="109"/>
      <c r="OYW30" s="109"/>
      <c r="OYX30" s="109"/>
      <c r="OYY30" s="109"/>
      <c r="OYZ30" s="109"/>
      <c r="OZA30" s="109"/>
      <c r="OZB30" s="109"/>
      <c r="OZC30" s="109"/>
      <c r="OZD30" s="109"/>
      <c r="OZE30" s="109"/>
      <c r="OZF30" s="109"/>
      <c r="OZG30" s="109"/>
      <c r="OZH30" s="109"/>
      <c r="OZI30" s="109"/>
      <c r="OZJ30" s="109"/>
      <c r="OZK30" s="109"/>
      <c r="OZL30" s="109"/>
      <c r="OZM30" s="109"/>
      <c r="OZN30" s="109"/>
      <c r="OZO30" s="109"/>
      <c r="OZP30" s="109"/>
      <c r="OZQ30" s="109"/>
      <c r="OZR30" s="109"/>
      <c r="OZS30" s="109"/>
      <c r="OZT30" s="109"/>
      <c r="OZU30" s="109"/>
      <c r="OZV30" s="109"/>
      <c r="OZW30" s="109"/>
      <c r="OZX30" s="109"/>
      <c r="OZY30" s="109"/>
      <c r="OZZ30" s="109"/>
      <c r="PAA30" s="109"/>
      <c r="PAB30" s="109"/>
      <c r="PAC30" s="109"/>
      <c r="PAD30" s="109"/>
      <c r="PAE30" s="109"/>
      <c r="PAF30" s="109"/>
      <c r="PAG30" s="109"/>
      <c r="PAH30" s="109"/>
      <c r="PAI30" s="109"/>
      <c r="PAJ30" s="109"/>
      <c r="PAK30" s="109"/>
      <c r="PAL30" s="109"/>
      <c r="PAM30" s="109"/>
      <c r="PAN30" s="109"/>
      <c r="PAO30" s="109"/>
      <c r="PAP30" s="109"/>
      <c r="PAQ30" s="109"/>
      <c r="PAR30" s="109"/>
      <c r="PAS30" s="109"/>
      <c r="PAT30" s="109"/>
      <c r="PAU30" s="109"/>
      <c r="PAV30" s="109"/>
      <c r="PAW30" s="109"/>
      <c r="PAX30" s="109"/>
      <c r="PAY30" s="109"/>
      <c r="PAZ30" s="109"/>
      <c r="PBA30" s="109"/>
      <c r="PBB30" s="109"/>
      <c r="PBC30" s="109"/>
      <c r="PBD30" s="109"/>
      <c r="PBE30" s="109"/>
      <c r="PBF30" s="109"/>
      <c r="PBG30" s="109"/>
      <c r="PBH30" s="109"/>
      <c r="PBI30" s="109"/>
      <c r="PBJ30" s="109"/>
      <c r="PBK30" s="109"/>
      <c r="PBL30" s="109"/>
      <c r="PBM30" s="109"/>
      <c r="PBN30" s="109"/>
      <c r="PBO30" s="109"/>
      <c r="PBP30" s="109"/>
      <c r="PBQ30" s="109"/>
      <c r="PBR30" s="109"/>
      <c r="PBS30" s="109"/>
      <c r="PBT30" s="109"/>
      <c r="PBU30" s="109"/>
      <c r="PBV30" s="109"/>
      <c r="PBW30" s="109"/>
      <c r="PBX30" s="109"/>
      <c r="PBY30" s="109"/>
      <c r="PBZ30" s="109"/>
      <c r="PCA30" s="109"/>
      <c r="PCB30" s="109"/>
      <c r="PCC30" s="109"/>
      <c r="PCD30" s="109"/>
      <c r="PCE30" s="109"/>
      <c r="PCF30" s="109"/>
      <c r="PCG30" s="109"/>
      <c r="PCH30" s="109"/>
      <c r="PCI30" s="109"/>
      <c r="PCJ30" s="109"/>
      <c r="PCK30" s="109"/>
      <c r="PCL30" s="109"/>
      <c r="PCM30" s="109"/>
      <c r="PCN30" s="109"/>
      <c r="PCO30" s="109"/>
      <c r="PCP30" s="109"/>
      <c r="PCQ30" s="109"/>
      <c r="PCR30" s="109"/>
      <c r="PCS30" s="109"/>
      <c r="PCT30" s="109"/>
      <c r="PCU30" s="109"/>
      <c r="PCV30" s="109"/>
      <c r="PCW30" s="109"/>
      <c r="PCX30" s="109"/>
      <c r="PCY30" s="109"/>
      <c r="PCZ30" s="109"/>
      <c r="PDA30" s="109"/>
      <c r="PDB30" s="109"/>
      <c r="PDC30" s="109"/>
      <c r="PDD30" s="109"/>
      <c r="PDE30" s="109"/>
      <c r="PDF30" s="109"/>
      <c r="PDG30" s="109"/>
      <c r="PDH30" s="109"/>
      <c r="PDI30" s="109"/>
      <c r="PDJ30" s="109"/>
      <c r="PDK30" s="109"/>
      <c r="PDL30" s="109"/>
      <c r="PDM30" s="109"/>
      <c r="PDN30" s="109"/>
      <c r="PDO30" s="109"/>
      <c r="PDP30" s="109"/>
      <c r="PDQ30" s="109"/>
      <c r="PDR30" s="109"/>
      <c r="PDS30" s="109"/>
      <c r="PDT30" s="109"/>
      <c r="PDU30" s="109"/>
      <c r="PDV30" s="109"/>
      <c r="PDW30" s="109"/>
      <c r="PDX30" s="109"/>
      <c r="PDY30" s="109"/>
      <c r="PDZ30" s="109"/>
      <c r="PEA30" s="109"/>
      <c r="PEB30" s="109"/>
      <c r="PEC30" s="109"/>
      <c r="PED30" s="109"/>
      <c r="PEE30" s="109"/>
      <c r="PEF30" s="109"/>
      <c r="PEG30" s="109"/>
      <c r="PEH30" s="109"/>
      <c r="PEI30" s="109"/>
      <c r="PEJ30" s="109"/>
      <c r="PEK30" s="109"/>
      <c r="PEL30" s="109"/>
      <c r="PEM30" s="109"/>
      <c r="PEN30" s="109"/>
      <c r="PEO30" s="109"/>
      <c r="PEP30" s="109"/>
      <c r="PEQ30" s="109"/>
      <c r="PER30" s="109"/>
      <c r="PES30" s="109"/>
      <c r="PET30" s="109"/>
      <c r="PEU30" s="109"/>
      <c r="PEV30" s="109"/>
      <c r="PEW30" s="109"/>
      <c r="PEX30" s="109"/>
      <c r="PEY30" s="109"/>
      <c r="PEZ30" s="109"/>
      <c r="PFA30" s="109"/>
      <c r="PFB30" s="109"/>
      <c r="PFC30" s="109"/>
      <c r="PFD30" s="109"/>
      <c r="PFE30" s="109"/>
      <c r="PFF30" s="109"/>
      <c r="PFG30" s="109"/>
      <c r="PFH30" s="109"/>
      <c r="PFI30" s="109"/>
      <c r="PFJ30" s="109"/>
      <c r="PFK30" s="109"/>
      <c r="PFL30" s="109"/>
      <c r="PFM30" s="109"/>
      <c r="PFN30" s="109"/>
      <c r="PFO30" s="109"/>
      <c r="PFP30" s="109"/>
      <c r="PFQ30" s="109"/>
      <c r="PFR30" s="109"/>
      <c r="PFS30" s="109"/>
      <c r="PFT30" s="109"/>
      <c r="PFU30" s="109"/>
      <c r="PFV30" s="109"/>
      <c r="PFW30" s="109"/>
      <c r="PFX30" s="109"/>
      <c r="PFY30" s="109"/>
      <c r="PFZ30" s="109"/>
      <c r="PGA30" s="109"/>
      <c r="PGB30" s="109"/>
      <c r="PGC30" s="109"/>
      <c r="PGD30" s="109"/>
      <c r="PGE30" s="109"/>
      <c r="PGF30" s="109"/>
      <c r="PGG30" s="109"/>
      <c r="PGH30" s="109"/>
      <c r="PGI30" s="109"/>
      <c r="PGJ30" s="109"/>
      <c r="PGK30" s="109"/>
      <c r="PGL30" s="109"/>
      <c r="PGM30" s="109"/>
      <c r="PGN30" s="109"/>
      <c r="PGO30" s="109"/>
      <c r="PGP30" s="109"/>
      <c r="PGQ30" s="109"/>
      <c r="PGR30" s="109"/>
      <c r="PGS30" s="109"/>
      <c r="PGT30" s="109"/>
      <c r="PGU30" s="109"/>
      <c r="PGV30" s="109"/>
      <c r="PGW30" s="109"/>
      <c r="PGX30" s="109"/>
      <c r="PGY30" s="109"/>
      <c r="PGZ30" s="109"/>
      <c r="PHA30" s="109"/>
      <c r="PHB30" s="109"/>
      <c r="PHC30" s="109"/>
      <c r="PHD30" s="109"/>
      <c r="PHE30" s="109"/>
      <c r="PHF30" s="109"/>
      <c r="PHG30" s="109"/>
      <c r="PHH30" s="109"/>
      <c r="PHI30" s="109"/>
      <c r="PHJ30" s="109"/>
      <c r="PHK30" s="109"/>
      <c r="PHL30" s="109"/>
      <c r="PHM30" s="109"/>
      <c r="PHN30" s="109"/>
      <c r="PHO30" s="109"/>
      <c r="PHP30" s="109"/>
      <c r="PHQ30" s="109"/>
      <c r="PHR30" s="109"/>
      <c r="PHS30" s="109"/>
      <c r="PHT30" s="109"/>
      <c r="PHU30" s="109"/>
      <c r="PHV30" s="109"/>
      <c r="PHW30" s="109"/>
      <c r="PHX30" s="109"/>
      <c r="PHY30" s="109"/>
      <c r="PHZ30" s="109"/>
      <c r="PIA30" s="109"/>
      <c r="PIB30" s="109"/>
      <c r="PIC30" s="109"/>
      <c r="PID30" s="109"/>
      <c r="PIE30" s="109"/>
      <c r="PIF30" s="109"/>
      <c r="PIG30" s="109"/>
      <c r="PIH30" s="109"/>
      <c r="PII30" s="109"/>
      <c r="PIJ30" s="109"/>
      <c r="PIK30" s="109"/>
      <c r="PIL30" s="109"/>
      <c r="PIM30" s="109"/>
      <c r="PIN30" s="109"/>
      <c r="PIO30" s="109"/>
      <c r="PIP30" s="109"/>
      <c r="PIQ30" s="109"/>
      <c r="PIR30" s="109"/>
      <c r="PIS30" s="109"/>
      <c r="PIT30" s="109"/>
      <c r="PIU30" s="109"/>
      <c r="PIV30" s="109"/>
      <c r="PIW30" s="109"/>
      <c r="PIX30" s="109"/>
      <c r="PIY30" s="109"/>
      <c r="PIZ30" s="109"/>
      <c r="PJA30" s="109"/>
      <c r="PJB30" s="109"/>
      <c r="PJC30" s="109"/>
      <c r="PJD30" s="109"/>
      <c r="PJE30" s="109"/>
      <c r="PJF30" s="109"/>
      <c r="PJG30" s="109"/>
      <c r="PJH30" s="109"/>
      <c r="PJI30" s="109"/>
      <c r="PJJ30" s="109"/>
      <c r="PJK30" s="109"/>
      <c r="PJL30" s="109"/>
      <c r="PJM30" s="109"/>
      <c r="PJN30" s="109"/>
      <c r="PJO30" s="109"/>
      <c r="PJP30" s="109"/>
      <c r="PJQ30" s="109"/>
      <c r="PJR30" s="109"/>
      <c r="PJS30" s="109"/>
      <c r="PJT30" s="109"/>
      <c r="PJU30" s="109"/>
      <c r="PJV30" s="109"/>
      <c r="PJW30" s="109"/>
      <c r="PJX30" s="109"/>
      <c r="PJY30" s="109"/>
      <c r="PJZ30" s="109"/>
      <c r="PKA30" s="109"/>
      <c r="PKB30" s="109"/>
      <c r="PKC30" s="109"/>
      <c r="PKD30" s="109"/>
      <c r="PKE30" s="109"/>
      <c r="PKF30" s="109"/>
      <c r="PKG30" s="109"/>
      <c r="PKH30" s="109"/>
      <c r="PKI30" s="109"/>
      <c r="PKJ30" s="109"/>
      <c r="PKK30" s="109"/>
      <c r="PKL30" s="109"/>
      <c r="PKM30" s="109"/>
      <c r="PKN30" s="109"/>
      <c r="PKO30" s="109"/>
      <c r="PKP30" s="109"/>
      <c r="PKQ30" s="109"/>
      <c r="PKR30" s="109"/>
      <c r="PKS30" s="109"/>
      <c r="PKT30" s="109"/>
      <c r="PKU30" s="109"/>
      <c r="PKV30" s="109"/>
      <c r="PKW30" s="109"/>
      <c r="PKX30" s="109"/>
      <c r="PKY30" s="109"/>
      <c r="PKZ30" s="109"/>
      <c r="PLA30" s="109"/>
      <c r="PLB30" s="109"/>
      <c r="PLC30" s="109"/>
      <c r="PLD30" s="109"/>
      <c r="PLE30" s="109"/>
      <c r="PLF30" s="109"/>
      <c r="PLG30" s="109"/>
      <c r="PLH30" s="109"/>
      <c r="PLI30" s="109"/>
      <c r="PLJ30" s="109"/>
      <c r="PLK30" s="109"/>
      <c r="PLL30" s="109"/>
      <c r="PLM30" s="109"/>
      <c r="PLN30" s="109"/>
      <c r="PLO30" s="109"/>
      <c r="PLP30" s="109"/>
      <c r="PLQ30" s="109"/>
      <c r="PLR30" s="109"/>
      <c r="PLS30" s="109"/>
      <c r="PLT30" s="109"/>
      <c r="PLU30" s="109"/>
      <c r="PLV30" s="109"/>
      <c r="PLW30" s="109"/>
      <c r="PLX30" s="109"/>
      <c r="PLY30" s="109"/>
      <c r="PLZ30" s="109"/>
      <c r="PMA30" s="109"/>
      <c r="PMB30" s="109"/>
      <c r="PMC30" s="109"/>
      <c r="PMD30" s="109"/>
      <c r="PME30" s="109"/>
      <c r="PMF30" s="109"/>
      <c r="PMG30" s="109"/>
      <c r="PMH30" s="109"/>
      <c r="PMI30" s="109"/>
      <c r="PMJ30" s="109"/>
      <c r="PMK30" s="109"/>
      <c r="PML30" s="109"/>
      <c r="PMM30" s="109"/>
      <c r="PMN30" s="109"/>
      <c r="PMO30" s="109"/>
      <c r="PMP30" s="109"/>
      <c r="PMQ30" s="109"/>
      <c r="PMR30" s="109"/>
      <c r="PMS30" s="109"/>
      <c r="PMT30" s="109"/>
      <c r="PMU30" s="109"/>
      <c r="PMV30" s="109"/>
      <c r="PMW30" s="109"/>
      <c r="PMX30" s="109"/>
      <c r="PMY30" s="109"/>
      <c r="PMZ30" s="109"/>
      <c r="PNA30" s="109"/>
      <c r="PNB30" s="109"/>
      <c r="PNC30" s="109"/>
      <c r="PND30" s="109"/>
      <c r="PNE30" s="109"/>
      <c r="PNF30" s="109"/>
      <c r="PNG30" s="109"/>
      <c r="PNH30" s="109"/>
      <c r="PNI30" s="109"/>
      <c r="PNJ30" s="109"/>
      <c r="PNK30" s="109"/>
      <c r="PNL30" s="109"/>
      <c r="PNM30" s="109"/>
      <c r="PNN30" s="109"/>
      <c r="PNO30" s="109"/>
      <c r="PNP30" s="109"/>
      <c r="PNQ30" s="109"/>
      <c r="PNR30" s="109"/>
      <c r="PNS30" s="109"/>
      <c r="PNT30" s="109"/>
      <c r="PNU30" s="109"/>
      <c r="PNV30" s="109"/>
      <c r="PNW30" s="109"/>
      <c r="PNX30" s="109"/>
      <c r="PNY30" s="109"/>
      <c r="PNZ30" s="109"/>
      <c r="POA30" s="109"/>
      <c r="POB30" s="109"/>
      <c r="POC30" s="109"/>
      <c r="POD30" s="109"/>
      <c r="POE30" s="109"/>
      <c r="POF30" s="109"/>
      <c r="POG30" s="109"/>
      <c r="POH30" s="109"/>
      <c r="POI30" s="109"/>
      <c r="POJ30" s="109"/>
      <c r="POK30" s="109"/>
      <c r="POL30" s="109"/>
      <c r="POM30" s="109"/>
      <c r="PON30" s="109"/>
      <c r="POO30" s="109"/>
      <c r="POP30" s="109"/>
      <c r="POQ30" s="109"/>
      <c r="POR30" s="109"/>
      <c r="POS30" s="109"/>
      <c r="POT30" s="109"/>
      <c r="POU30" s="109"/>
      <c r="POV30" s="109"/>
      <c r="POW30" s="109"/>
      <c r="POX30" s="109"/>
      <c r="POY30" s="109"/>
      <c r="POZ30" s="109"/>
      <c r="PPA30" s="109"/>
      <c r="PPB30" s="109"/>
      <c r="PPC30" s="109"/>
      <c r="PPD30" s="109"/>
      <c r="PPE30" s="109"/>
      <c r="PPF30" s="109"/>
      <c r="PPG30" s="109"/>
      <c r="PPH30" s="109"/>
      <c r="PPI30" s="109"/>
      <c r="PPJ30" s="109"/>
      <c r="PPK30" s="109"/>
      <c r="PPL30" s="109"/>
      <c r="PPM30" s="109"/>
      <c r="PPN30" s="109"/>
      <c r="PPO30" s="109"/>
      <c r="PPP30" s="109"/>
      <c r="PPQ30" s="109"/>
      <c r="PPR30" s="109"/>
      <c r="PPS30" s="109"/>
      <c r="PPT30" s="109"/>
      <c r="PPU30" s="109"/>
      <c r="PPV30" s="109"/>
      <c r="PPW30" s="109"/>
      <c r="PPX30" s="109"/>
      <c r="PPY30" s="109"/>
      <c r="PPZ30" s="109"/>
      <c r="PQA30" s="109"/>
      <c r="PQB30" s="109"/>
      <c r="PQC30" s="109"/>
      <c r="PQD30" s="109"/>
      <c r="PQE30" s="109"/>
      <c r="PQF30" s="109"/>
      <c r="PQG30" s="109"/>
      <c r="PQH30" s="109"/>
      <c r="PQI30" s="109"/>
      <c r="PQJ30" s="109"/>
      <c r="PQK30" s="109"/>
      <c r="PQL30" s="109"/>
      <c r="PQM30" s="109"/>
      <c r="PQN30" s="109"/>
      <c r="PQO30" s="109"/>
      <c r="PQP30" s="109"/>
      <c r="PQQ30" s="109"/>
      <c r="PQR30" s="109"/>
      <c r="PQS30" s="109"/>
      <c r="PQT30" s="109"/>
      <c r="PQU30" s="109"/>
      <c r="PQV30" s="109"/>
      <c r="PQW30" s="109"/>
      <c r="PQX30" s="109"/>
      <c r="PQY30" s="109"/>
      <c r="PQZ30" s="109"/>
      <c r="PRA30" s="109"/>
      <c r="PRB30" s="109"/>
      <c r="PRC30" s="109"/>
      <c r="PRD30" s="109"/>
      <c r="PRE30" s="109"/>
      <c r="PRF30" s="109"/>
      <c r="PRG30" s="109"/>
      <c r="PRH30" s="109"/>
      <c r="PRI30" s="109"/>
      <c r="PRJ30" s="109"/>
      <c r="PRK30" s="109"/>
      <c r="PRL30" s="109"/>
      <c r="PRM30" s="109"/>
      <c r="PRN30" s="109"/>
      <c r="PRO30" s="109"/>
      <c r="PRP30" s="109"/>
      <c r="PRQ30" s="109"/>
      <c r="PRR30" s="109"/>
      <c r="PRS30" s="109"/>
      <c r="PRT30" s="109"/>
      <c r="PRU30" s="109"/>
      <c r="PRV30" s="109"/>
      <c r="PRW30" s="109"/>
      <c r="PRX30" s="109"/>
      <c r="PRY30" s="109"/>
      <c r="PRZ30" s="109"/>
      <c r="PSA30" s="109"/>
      <c r="PSB30" s="109"/>
      <c r="PSC30" s="109"/>
      <c r="PSD30" s="109"/>
      <c r="PSE30" s="109"/>
      <c r="PSF30" s="109"/>
      <c r="PSG30" s="109"/>
      <c r="PSH30" s="109"/>
      <c r="PSI30" s="109"/>
      <c r="PSJ30" s="109"/>
      <c r="PSK30" s="109"/>
      <c r="PSL30" s="109"/>
      <c r="PSM30" s="109"/>
      <c r="PSN30" s="109"/>
      <c r="PSO30" s="109"/>
      <c r="PSP30" s="109"/>
      <c r="PSQ30" s="109"/>
      <c r="PSR30" s="109"/>
      <c r="PSS30" s="109"/>
      <c r="PST30" s="109"/>
      <c r="PSU30" s="109"/>
      <c r="PSV30" s="109"/>
      <c r="PSW30" s="109"/>
      <c r="PSX30" s="109"/>
      <c r="PSY30" s="109"/>
      <c r="PSZ30" s="109"/>
      <c r="PTA30" s="109"/>
      <c r="PTB30" s="109"/>
      <c r="PTC30" s="109"/>
      <c r="PTD30" s="109"/>
      <c r="PTE30" s="109"/>
      <c r="PTF30" s="109"/>
      <c r="PTG30" s="109"/>
      <c r="PTH30" s="109"/>
      <c r="PTI30" s="109"/>
      <c r="PTJ30" s="109"/>
      <c r="PTK30" s="109"/>
      <c r="PTL30" s="109"/>
      <c r="PTM30" s="109"/>
      <c r="PTN30" s="109"/>
      <c r="PTO30" s="109"/>
      <c r="PTP30" s="109"/>
      <c r="PTQ30" s="109"/>
      <c r="PTR30" s="109"/>
      <c r="PTS30" s="109"/>
      <c r="PTT30" s="109"/>
      <c r="PTU30" s="109"/>
      <c r="PTV30" s="109"/>
      <c r="PTW30" s="109"/>
      <c r="PTX30" s="109"/>
      <c r="PTY30" s="109"/>
      <c r="PTZ30" s="109"/>
      <c r="PUA30" s="109"/>
      <c r="PUB30" s="109"/>
      <c r="PUC30" s="109"/>
      <c r="PUD30" s="109"/>
      <c r="PUE30" s="109"/>
      <c r="PUF30" s="109"/>
      <c r="PUG30" s="109"/>
      <c r="PUH30" s="109"/>
      <c r="PUI30" s="109"/>
      <c r="PUJ30" s="109"/>
      <c r="PUK30" s="109"/>
      <c r="PUL30" s="109"/>
      <c r="PUM30" s="109"/>
      <c r="PUN30" s="109"/>
      <c r="PUO30" s="109"/>
      <c r="PUP30" s="109"/>
      <c r="PUQ30" s="109"/>
      <c r="PUR30" s="109"/>
      <c r="PUS30" s="109"/>
      <c r="PUT30" s="109"/>
      <c r="PUU30" s="109"/>
      <c r="PUV30" s="109"/>
      <c r="PUW30" s="109"/>
      <c r="PUX30" s="109"/>
      <c r="PUY30" s="109"/>
      <c r="PUZ30" s="109"/>
      <c r="PVA30" s="109"/>
      <c r="PVB30" s="109"/>
      <c r="PVC30" s="109"/>
      <c r="PVD30" s="109"/>
      <c r="PVE30" s="109"/>
      <c r="PVF30" s="109"/>
      <c r="PVG30" s="109"/>
      <c r="PVH30" s="109"/>
      <c r="PVI30" s="109"/>
      <c r="PVJ30" s="109"/>
      <c r="PVK30" s="109"/>
      <c r="PVL30" s="109"/>
      <c r="PVM30" s="109"/>
      <c r="PVN30" s="109"/>
      <c r="PVO30" s="109"/>
      <c r="PVP30" s="109"/>
      <c r="PVQ30" s="109"/>
      <c r="PVR30" s="109"/>
      <c r="PVS30" s="109"/>
      <c r="PVT30" s="109"/>
      <c r="PVU30" s="109"/>
      <c r="PVV30" s="109"/>
      <c r="PVW30" s="109"/>
      <c r="PVX30" s="109"/>
      <c r="PVY30" s="109"/>
      <c r="PVZ30" s="109"/>
      <c r="PWA30" s="109"/>
      <c r="PWB30" s="109"/>
      <c r="PWC30" s="109"/>
      <c r="PWD30" s="109"/>
      <c r="PWE30" s="109"/>
      <c r="PWF30" s="109"/>
      <c r="PWG30" s="109"/>
      <c r="PWH30" s="109"/>
      <c r="PWI30" s="109"/>
      <c r="PWJ30" s="109"/>
      <c r="PWK30" s="109"/>
      <c r="PWL30" s="109"/>
      <c r="PWM30" s="109"/>
      <c r="PWN30" s="109"/>
      <c r="PWO30" s="109"/>
      <c r="PWP30" s="109"/>
      <c r="PWQ30" s="109"/>
      <c r="PWR30" s="109"/>
      <c r="PWS30" s="109"/>
      <c r="PWT30" s="109"/>
      <c r="PWU30" s="109"/>
      <c r="PWV30" s="109"/>
      <c r="PWW30" s="109"/>
      <c r="PWX30" s="109"/>
      <c r="PWY30" s="109"/>
      <c r="PWZ30" s="109"/>
      <c r="PXA30" s="109"/>
      <c r="PXB30" s="109"/>
      <c r="PXC30" s="109"/>
      <c r="PXD30" s="109"/>
      <c r="PXE30" s="109"/>
      <c r="PXF30" s="109"/>
      <c r="PXG30" s="109"/>
      <c r="PXH30" s="109"/>
      <c r="PXI30" s="109"/>
      <c r="PXJ30" s="109"/>
      <c r="PXK30" s="109"/>
      <c r="PXL30" s="109"/>
      <c r="PXM30" s="109"/>
      <c r="PXN30" s="109"/>
      <c r="PXO30" s="109"/>
      <c r="PXP30" s="109"/>
      <c r="PXQ30" s="109"/>
      <c r="PXR30" s="109"/>
      <c r="PXS30" s="109"/>
      <c r="PXT30" s="109"/>
      <c r="PXU30" s="109"/>
      <c r="PXV30" s="109"/>
      <c r="PXW30" s="109"/>
      <c r="PXX30" s="109"/>
      <c r="PXY30" s="109"/>
      <c r="PXZ30" s="109"/>
      <c r="PYA30" s="109"/>
      <c r="PYB30" s="109"/>
      <c r="PYC30" s="109"/>
      <c r="PYD30" s="109"/>
      <c r="PYE30" s="109"/>
      <c r="PYF30" s="109"/>
      <c r="PYG30" s="109"/>
      <c r="PYH30" s="109"/>
      <c r="PYI30" s="109"/>
      <c r="PYJ30" s="109"/>
      <c r="PYK30" s="109"/>
      <c r="PYL30" s="109"/>
      <c r="PYM30" s="109"/>
      <c r="PYN30" s="109"/>
      <c r="PYO30" s="109"/>
      <c r="PYP30" s="109"/>
      <c r="PYQ30" s="109"/>
      <c r="PYR30" s="109"/>
      <c r="PYS30" s="109"/>
      <c r="PYT30" s="109"/>
      <c r="PYU30" s="109"/>
      <c r="PYV30" s="109"/>
      <c r="PYW30" s="109"/>
      <c r="PYX30" s="109"/>
      <c r="PYY30" s="109"/>
      <c r="PYZ30" s="109"/>
      <c r="PZA30" s="109"/>
      <c r="PZB30" s="109"/>
      <c r="PZC30" s="109"/>
      <c r="PZD30" s="109"/>
      <c r="PZE30" s="109"/>
      <c r="PZF30" s="109"/>
      <c r="PZG30" s="109"/>
      <c r="PZH30" s="109"/>
      <c r="PZI30" s="109"/>
      <c r="PZJ30" s="109"/>
      <c r="PZK30" s="109"/>
      <c r="PZL30" s="109"/>
      <c r="PZM30" s="109"/>
      <c r="PZN30" s="109"/>
      <c r="PZO30" s="109"/>
      <c r="PZP30" s="109"/>
      <c r="PZQ30" s="109"/>
      <c r="PZR30" s="109"/>
      <c r="PZS30" s="109"/>
      <c r="PZT30" s="109"/>
      <c r="PZU30" s="109"/>
      <c r="PZV30" s="109"/>
      <c r="PZW30" s="109"/>
      <c r="PZX30" s="109"/>
      <c r="PZY30" s="109"/>
      <c r="PZZ30" s="109"/>
      <c r="QAA30" s="109"/>
      <c r="QAB30" s="109"/>
      <c r="QAC30" s="109"/>
      <c r="QAD30" s="109"/>
      <c r="QAE30" s="109"/>
      <c r="QAF30" s="109"/>
      <c r="QAG30" s="109"/>
      <c r="QAH30" s="109"/>
      <c r="QAI30" s="109"/>
      <c r="QAJ30" s="109"/>
      <c r="QAK30" s="109"/>
      <c r="QAL30" s="109"/>
      <c r="QAM30" s="109"/>
      <c r="QAN30" s="109"/>
      <c r="QAO30" s="109"/>
      <c r="QAP30" s="109"/>
      <c r="QAQ30" s="109"/>
      <c r="QAR30" s="109"/>
      <c r="QAS30" s="109"/>
      <c r="QAT30" s="109"/>
      <c r="QAU30" s="109"/>
      <c r="QAV30" s="109"/>
      <c r="QAW30" s="109"/>
      <c r="QAX30" s="109"/>
      <c r="QAY30" s="109"/>
      <c r="QAZ30" s="109"/>
      <c r="QBA30" s="109"/>
      <c r="QBB30" s="109"/>
      <c r="QBC30" s="109"/>
      <c r="QBD30" s="109"/>
      <c r="QBE30" s="109"/>
      <c r="QBF30" s="109"/>
      <c r="QBG30" s="109"/>
      <c r="QBH30" s="109"/>
      <c r="QBI30" s="109"/>
      <c r="QBJ30" s="109"/>
      <c r="QBK30" s="109"/>
      <c r="QBL30" s="109"/>
      <c r="QBM30" s="109"/>
      <c r="QBN30" s="109"/>
      <c r="QBO30" s="109"/>
      <c r="QBP30" s="109"/>
      <c r="QBQ30" s="109"/>
      <c r="QBR30" s="109"/>
      <c r="QBS30" s="109"/>
      <c r="QBT30" s="109"/>
      <c r="QBU30" s="109"/>
      <c r="QBV30" s="109"/>
      <c r="QBW30" s="109"/>
      <c r="QBX30" s="109"/>
      <c r="QBY30" s="109"/>
      <c r="QBZ30" s="109"/>
      <c r="QCA30" s="109"/>
      <c r="QCB30" s="109"/>
      <c r="QCC30" s="109"/>
      <c r="QCD30" s="109"/>
      <c r="QCE30" s="109"/>
      <c r="QCF30" s="109"/>
      <c r="QCG30" s="109"/>
      <c r="QCH30" s="109"/>
      <c r="QCI30" s="109"/>
      <c r="QCJ30" s="109"/>
      <c r="QCK30" s="109"/>
      <c r="QCL30" s="109"/>
      <c r="QCM30" s="109"/>
      <c r="QCN30" s="109"/>
      <c r="QCO30" s="109"/>
      <c r="QCP30" s="109"/>
      <c r="QCQ30" s="109"/>
      <c r="QCR30" s="109"/>
      <c r="QCS30" s="109"/>
      <c r="QCT30" s="109"/>
      <c r="QCU30" s="109"/>
      <c r="QCV30" s="109"/>
      <c r="QCW30" s="109"/>
      <c r="QCX30" s="109"/>
      <c r="QCY30" s="109"/>
      <c r="QCZ30" s="109"/>
      <c r="QDA30" s="109"/>
      <c r="QDB30" s="109"/>
      <c r="QDC30" s="109"/>
      <c r="QDD30" s="109"/>
      <c r="QDE30" s="109"/>
      <c r="QDF30" s="109"/>
      <c r="QDG30" s="109"/>
      <c r="QDH30" s="109"/>
      <c r="QDI30" s="109"/>
      <c r="QDJ30" s="109"/>
      <c r="QDK30" s="109"/>
      <c r="QDL30" s="109"/>
      <c r="QDM30" s="109"/>
      <c r="QDN30" s="109"/>
      <c r="QDO30" s="109"/>
      <c r="QDP30" s="109"/>
      <c r="QDQ30" s="109"/>
      <c r="QDR30" s="109"/>
      <c r="QDS30" s="109"/>
      <c r="QDT30" s="109"/>
      <c r="QDU30" s="109"/>
      <c r="QDV30" s="109"/>
      <c r="QDW30" s="109"/>
      <c r="QDX30" s="109"/>
      <c r="QDY30" s="109"/>
      <c r="QDZ30" s="109"/>
      <c r="QEA30" s="109"/>
      <c r="QEB30" s="109"/>
      <c r="QEC30" s="109"/>
      <c r="QED30" s="109"/>
      <c r="QEE30" s="109"/>
      <c r="QEF30" s="109"/>
      <c r="QEG30" s="109"/>
      <c r="QEH30" s="109"/>
      <c r="QEI30" s="109"/>
      <c r="QEJ30" s="109"/>
      <c r="QEK30" s="109"/>
      <c r="QEL30" s="109"/>
      <c r="QEM30" s="109"/>
      <c r="QEN30" s="109"/>
      <c r="QEO30" s="109"/>
      <c r="QEP30" s="109"/>
      <c r="QEQ30" s="109"/>
      <c r="QER30" s="109"/>
      <c r="QES30" s="109"/>
      <c r="QET30" s="109"/>
      <c r="QEU30" s="109"/>
      <c r="QEV30" s="109"/>
      <c r="QEW30" s="109"/>
      <c r="QEX30" s="109"/>
      <c r="QEY30" s="109"/>
      <c r="QEZ30" s="109"/>
      <c r="QFA30" s="109"/>
      <c r="QFB30" s="109"/>
      <c r="QFC30" s="109"/>
      <c r="QFD30" s="109"/>
      <c r="QFE30" s="109"/>
      <c r="QFF30" s="109"/>
      <c r="QFG30" s="109"/>
      <c r="QFH30" s="109"/>
      <c r="QFI30" s="109"/>
      <c r="QFJ30" s="109"/>
      <c r="QFK30" s="109"/>
      <c r="QFL30" s="109"/>
      <c r="QFM30" s="109"/>
      <c r="QFN30" s="109"/>
      <c r="QFO30" s="109"/>
      <c r="QFP30" s="109"/>
      <c r="QFQ30" s="109"/>
      <c r="QFR30" s="109"/>
      <c r="QFS30" s="109"/>
      <c r="QFT30" s="109"/>
      <c r="QFU30" s="109"/>
      <c r="QFV30" s="109"/>
      <c r="QFW30" s="109"/>
      <c r="QFX30" s="109"/>
      <c r="QFY30" s="109"/>
      <c r="QFZ30" s="109"/>
      <c r="QGA30" s="109"/>
      <c r="QGB30" s="109"/>
      <c r="QGC30" s="109"/>
      <c r="QGD30" s="109"/>
      <c r="QGE30" s="109"/>
      <c r="QGF30" s="109"/>
      <c r="QGG30" s="109"/>
      <c r="QGH30" s="109"/>
      <c r="QGI30" s="109"/>
      <c r="QGJ30" s="109"/>
      <c r="QGK30" s="109"/>
      <c r="QGL30" s="109"/>
      <c r="QGM30" s="109"/>
      <c r="QGN30" s="109"/>
      <c r="QGO30" s="109"/>
      <c r="QGP30" s="109"/>
      <c r="QGQ30" s="109"/>
      <c r="QGR30" s="109"/>
      <c r="QGS30" s="109"/>
      <c r="QGT30" s="109"/>
      <c r="QGU30" s="109"/>
      <c r="QGV30" s="109"/>
      <c r="QGW30" s="109"/>
      <c r="QGX30" s="109"/>
      <c r="QGY30" s="109"/>
      <c r="QGZ30" s="109"/>
      <c r="QHA30" s="109"/>
      <c r="QHB30" s="109"/>
      <c r="QHC30" s="109"/>
      <c r="QHD30" s="109"/>
      <c r="QHE30" s="109"/>
      <c r="QHF30" s="109"/>
      <c r="QHG30" s="109"/>
      <c r="QHH30" s="109"/>
      <c r="QHI30" s="109"/>
      <c r="QHJ30" s="109"/>
      <c r="QHK30" s="109"/>
      <c r="QHL30" s="109"/>
      <c r="QHM30" s="109"/>
      <c r="QHN30" s="109"/>
      <c r="QHO30" s="109"/>
      <c r="QHP30" s="109"/>
      <c r="QHQ30" s="109"/>
      <c r="QHR30" s="109"/>
      <c r="QHS30" s="109"/>
      <c r="QHT30" s="109"/>
      <c r="QHU30" s="109"/>
      <c r="QHV30" s="109"/>
      <c r="QHW30" s="109"/>
      <c r="QHX30" s="109"/>
      <c r="QHY30" s="109"/>
      <c r="QHZ30" s="109"/>
      <c r="QIA30" s="109"/>
      <c r="QIB30" s="109"/>
      <c r="QIC30" s="109"/>
      <c r="QID30" s="109"/>
      <c r="QIE30" s="109"/>
      <c r="QIF30" s="109"/>
      <c r="QIG30" s="109"/>
      <c r="QIH30" s="109"/>
      <c r="QII30" s="109"/>
      <c r="QIJ30" s="109"/>
      <c r="QIK30" s="109"/>
      <c r="QIL30" s="109"/>
      <c r="QIM30" s="109"/>
      <c r="QIN30" s="109"/>
      <c r="QIO30" s="109"/>
      <c r="QIP30" s="109"/>
      <c r="QIQ30" s="109"/>
      <c r="QIR30" s="109"/>
      <c r="QIS30" s="109"/>
      <c r="QIT30" s="109"/>
      <c r="QIU30" s="109"/>
      <c r="QIV30" s="109"/>
      <c r="QIW30" s="109"/>
      <c r="QIX30" s="109"/>
      <c r="QIY30" s="109"/>
      <c r="QIZ30" s="109"/>
      <c r="QJA30" s="109"/>
      <c r="QJB30" s="109"/>
      <c r="QJC30" s="109"/>
      <c r="QJD30" s="109"/>
      <c r="QJE30" s="109"/>
      <c r="QJF30" s="109"/>
      <c r="QJG30" s="109"/>
      <c r="QJH30" s="109"/>
      <c r="QJI30" s="109"/>
      <c r="QJJ30" s="109"/>
      <c r="QJK30" s="109"/>
      <c r="QJL30" s="109"/>
      <c r="QJM30" s="109"/>
      <c r="QJN30" s="109"/>
      <c r="QJO30" s="109"/>
      <c r="QJP30" s="109"/>
      <c r="QJQ30" s="109"/>
      <c r="QJR30" s="109"/>
      <c r="QJS30" s="109"/>
      <c r="QJT30" s="109"/>
      <c r="QJU30" s="109"/>
      <c r="QJV30" s="109"/>
      <c r="QJW30" s="109"/>
      <c r="QJX30" s="109"/>
      <c r="QJY30" s="109"/>
      <c r="QJZ30" s="109"/>
      <c r="QKA30" s="109"/>
      <c r="QKB30" s="109"/>
      <c r="QKC30" s="109"/>
      <c r="QKD30" s="109"/>
      <c r="QKE30" s="109"/>
      <c r="QKF30" s="109"/>
      <c r="QKG30" s="109"/>
      <c r="QKH30" s="109"/>
      <c r="QKI30" s="109"/>
      <c r="QKJ30" s="109"/>
      <c r="QKK30" s="109"/>
      <c r="QKL30" s="109"/>
      <c r="QKM30" s="109"/>
      <c r="QKN30" s="109"/>
      <c r="QKO30" s="109"/>
      <c r="QKP30" s="109"/>
      <c r="QKQ30" s="109"/>
      <c r="QKR30" s="109"/>
      <c r="QKS30" s="109"/>
      <c r="QKT30" s="109"/>
      <c r="QKU30" s="109"/>
      <c r="QKV30" s="109"/>
      <c r="QKW30" s="109"/>
      <c r="QKX30" s="109"/>
      <c r="QKY30" s="109"/>
      <c r="QKZ30" s="109"/>
      <c r="QLA30" s="109"/>
      <c r="QLB30" s="109"/>
      <c r="QLC30" s="109"/>
      <c r="QLD30" s="109"/>
      <c r="QLE30" s="109"/>
      <c r="QLF30" s="109"/>
      <c r="QLG30" s="109"/>
      <c r="QLH30" s="109"/>
      <c r="QLI30" s="109"/>
      <c r="QLJ30" s="109"/>
      <c r="QLK30" s="109"/>
      <c r="QLL30" s="109"/>
      <c r="QLM30" s="109"/>
      <c r="QLN30" s="109"/>
      <c r="QLO30" s="109"/>
      <c r="QLP30" s="109"/>
      <c r="QLQ30" s="109"/>
      <c r="QLR30" s="109"/>
      <c r="QLS30" s="109"/>
      <c r="QLT30" s="109"/>
      <c r="QLU30" s="109"/>
      <c r="QLV30" s="109"/>
      <c r="QLW30" s="109"/>
      <c r="QLX30" s="109"/>
      <c r="QLY30" s="109"/>
      <c r="QLZ30" s="109"/>
      <c r="QMA30" s="109"/>
      <c r="QMB30" s="109"/>
      <c r="QMC30" s="109"/>
      <c r="QMD30" s="109"/>
      <c r="QME30" s="109"/>
      <c r="QMF30" s="109"/>
      <c r="QMG30" s="109"/>
      <c r="QMH30" s="109"/>
      <c r="QMI30" s="109"/>
      <c r="QMJ30" s="109"/>
      <c r="QMK30" s="109"/>
      <c r="QML30" s="109"/>
      <c r="QMM30" s="109"/>
      <c r="QMN30" s="109"/>
      <c r="QMO30" s="109"/>
      <c r="QMP30" s="109"/>
      <c r="QMQ30" s="109"/>
      <c r="QMR30" s="109"/>
      <c r="QMS30" s="109"/>
      <c r="QMT30" s="109"/>
      <c r="QMU30" s="109"/>
      <c r="QMV30" s="109"/>
      <c r="QMW30" s="109"/>
      <c r="QMX30" s="109"/>
      <c r="QMY30" s="109"/>
      <c r="QMZ30" s="109"/>
      <c r="QNA30" s="109"/>
      <c r="QNB30" s="109"/>
      <c r="QNC30" s="109"/>
      <c r="QND30" s="109"/>
      <c r="QNE30" s="109"/>
      <c r="QNF30" s="109"/>
      <c r="QNG30" s="109"/>
      <c r="QNH30" s="109"/>
      <c r="QNI30" s="109"/>
      <c r="QNJ30" s="109"/>
      <c r="QNK30" s="109"/>
      <c r="QNL30" s="109"/>
      <c r="QNM30" s="109"/>
      <c r="QNN30" s="109"/>
      <c r="QNO30" s="109"/>
      <c r="QNP30" s="109"/>
      <c r="QNQ30" s="109"/>
      <c r="QNR30" s="109"/>
      <c r="QNS30" s="109"/>
      <c r="QNT30" s="109"/>
      <c r="QNU30" s="109"/>
      <c r="QNV30" s="109"/>
      <c r="QNW30" s="109"/>
      <c r="QNX30" s="109"/>
      <c r="QNY30" s="109"/>
      <c r="QNZ30" s="109"/>
      <c r="QOA30" s="109"/>
      <c r="QOB30" s="109"/>
      <c r="QOC30" s="109"/>
      <c r="QOD30" s="109"/>
      <c r="QOE30" s="109"/>
      <c r="QOF30" s="109"/>
      <c r="QOG30" s="109"/>
      <c r="QOH30" s="109"/>
      <c r="QOI30" s="109"/>
      <c r="QOJ30" s="109"/>
      <c r="QOK30" s="109"/>
      <c r="QOL30" s="109"/>
      <c r="QOM30" s="109"/>
      <c r="QON30" s="109"/>
      <c r="QOO30" s="109"/>
      <c r="QOP30" s="109"/>
      <c r="QOQ30" s="109"/>
      <c r="QOR30" s="109"/>
      <c r="QOS30" s="109"/>
      <c r="QOT30" s="109"/>
      <c r="QOU30" s="109"/>
      <c r="QOV30" s="109"/>
      <c r="QOW30" s="109"/>
      <c r="QOX30" s="109"/>
      <c r="QOY30" s="109"/>
      <c r="QOZ30" s="109"/>
      <c r="QPA30" s="109"/>
      <c r="QPB30" s="109"/>
      <c r="QPC30" s="109"/>
      <c r="QPD30" s="109"/>
      <c r="QPE30" s="109"/>
      <c r="QPF30" s="109"/>
      <c r="QPG30" s="109"/>
      <c r="QPH30" s="109"/>
      <c r="QPI30" s="109"/>
      <c r="QPJ30" s="109"/>
      <c r="QPK30" s="109"/>
      <c r="QPL30" s="109"/>
      <c r="QPM30" s="109"/>
      <c r="QPN30" s="109"/>
      <c r="QPO30" s="109"/>
      <c r="QPP30" s="109"/>
      <c r="QPQ30" s="109"/>
      <c r="QPR30" s="109"/>
      <c r="QPS30" s="109"/>
      <c r="QPT30" s="109"/>
      <c r="QPU30" s="109"/>
      <c r="QPV30" s="109"/>
      <c r="QPW30" s="109"/>
      <c r="QPX30" s="109"/>
      <c r="QPY30" s="109"/>
      <c r="QPZ30" s="109"/>
      <c r="QQA30" s="109"/>
      <c r="QQB30" s="109"/>
      <c r="QQC30" s="109"/>
      <c r="QQD30" s="109"/>
      <c r="QQE30" s="109"/>
      <c r="QQF30" s="109"/>
      <c r="QQG30" s="109"/>
      <c r="QQH30" s="109"/>
      <c r="QQI30" s="109"/>
      <c r="QQJ30" s="109"/>
      <c r="QQK30" s="109"/>
      <c r="QQL30" s="109"/>
      <c r="QQM30" s="109"/>
      <c r="QQN30" s="109"/>
      <c r="QQO30" s="109"/>
      <c r="QQP30" s="109"/>
      <c r="QQQ30" s="109"/>
      <c r="QQR30" s="109"/>
      <c r="QQS30" s="109"/>
      <c r="QQT30" s="109"/>
      <c r="QQU30" s="109"/>
      <c r="QQV30" s="109"/>
      <c r="QQW30" s="109"/>
      <c r="QQX30" s="109"/>
      <c r="QQY30" s="109"/>
      <c r="QQZ30" s="109"/>
      <c r="QRA30" s="109"/>
      <c r="QRB30" s="109"/>
      <c r="QRC30" s="109"/>
      <c r="QRD30" s="109"/>
      <c r="QRE30" s="109"/>
      <c r="QRF30" s="109"/>
      <c r="QRG30" s="109"/>
      <c r="QRH30" s="109"/>
      <c r="QRI30" s="109"/>
      <c r="QRJ30" s="109"/>
      <c r="QRK30" s="109"/>
      <c r="QRL30" s="109"/>
      <c r="QRM30" s="109"/>
      <c r="QRN30" s="109"/>
      <c r="QRO30" s="109"/>
      <c r="QRP30" s="109"/>
      <c r="QRQ30" s="109"/>
      <c r="QRR30" s="109"/>
      <c r="QRS30" s="109"/>
      <c r="QRT30" s="109"/>
      <c r="QRU30" s="109"/>
      <c r="QRV30" s="109"/>
      <c r="QRW30" s="109"/>
      <c r="QRX30" s="109"/>
      <c r="QRY30" s="109"/>
      <c r="QRZ30" s="109"/>
      <c r="QSA30" s="109"/>
      <c r="QSB30" s="109"/>
      <c r="QSC30" s="109"/>
      <c r="QSD30" s="109"/>
      <c r="QSE30" s="109"/>
      <c r="QSF30" s="109"/>
      <c r="QSG30" s="109"/>
      <c r="QSH30" s="109"/>
      <c r="QSI30" s="109"/>
      <c r="QSJ30" s="109"/>
      <c r="QSK30" s="109"/>
      <c r="QSL30" s="109"/>
      <c r="QSM30" s="109"/>
      <c r="QSN30" s="109"/>
      <c r="QSO30" s="109"/>
      <c r="QSP30" s="109"/>
      <c r="QSQ30" s="109"/>
      <c r="QSR30" s="109"/>
      <c r="QSS30" s="109"/>
      <c r="QST30" s="109"/>
      <c r="QSU30" s="109"/>
      <c r="QSV30" s="109"/>
      <c r="QSW30" s="109"/>
      <c r="QSX30" s="109"/>
      <c r="QSY30" s="109"/>
      <c r="QSZ30" s="109"/>
      <c r="QTA30" s="109"/>
      <c r="QTB30" s="109"/>
      <c r="QTC30" s="109"/>
      <c r="QTD30" s="109"/>
      <c r="QTE30" s="109"/>
      <c r="QTF30" s="109"/>
      <c r="QTG30" s="109"/>
      <c r="QTH30" s="109"/>
      <c r="QTI30" s="109"/>
      <c r="QTJ30" s="109"/>
      <c r="QTK30" s="109"/>
      <c r="QTL30" s="109"/>
      <c r="QTM30" s="109"/>
      <c r="QTN30" s="109"/>
      <c r="QTO30" s="109"/>
      <c r="QTP30" s="109"/>
      <c r="QTQ30" s="109"/>
      <c r="QTR30" s="109"/>
      <c r="QTS30" s="109"/>
      <c r="QTT30" s="109"/>
      <c r="QTU30" s="109"/>
      <c r="QTV30" s="109"/>
      <c r="QTW30" s="109"/>
      <c r="QTX30" s="109"/>
      <c r="QTY30" s="109"/>
      <c r="QTZ30" s="109"/>
      <c r="QUA30" s="109"/>
      <c r="QUB30" s="109"/>
      <c r="QUC30" s="109"/>
      <c r="QUD30" s="109"/>
      <c r="QUE30" s="109"/>
      <c r="QUF30" s="109"/>
      <c r="QUG30" s="109"/>
      <c r="QUH30" s="109"/>
      <c r="QUI30" s="109"/>
      <c r="QUJ30" s="109"/>
      <c r="QUK30" s="109"/>
      <c r="QUL30" s="109"/>
      <c r="QUM30" s="109"/>
      <c r="QUN30" s="109"/>
      <c r="QUO30" s="109"/>
      <c r="QUP30" s="109"/>
      <c r="QUQ30" s="109"/>
      <c r="QUR30" s="109"/>
      <c r="QUS30" s="109"/>
      <c r="QUT30" s="109"/>
      <c r="QUU30" s="109"/>
      <c r="QUV30" s="109"/>
      <c r="QUW30" s="109"/>
      <c r="QUX30" s="109"/>
      <c r="QUY30" s="109"/>
      <c r="QUZ30" s="109"/>
      <c r="QVA30" s="109"/>
      <c r="QVB30" s="109"/>
      <c r="QVC30" s="109"/>
      <c r="QVD30" s="109"/>
      <c r="QVE30" s="109"/>
      <c r="QVF30" s="109"/>
      <c r="QVG30" s="109"/>
      <c r="QVH30" s="109"/>
      <c r="QVI30" s="109"/>
      <c r="QVJ30" s="109"/>
      <c r="QVK30" s="109"/>
      <c r="QVL30" s="109"/>
      <c r="QVM30" s="109"/>
      <c r="QVN30" s="109"/>
      <c r="QVO30" s="109"/>
      <c r="QVP30" s="109"/>
      <c r="QVQ30" s="109"/>
      <c r="QVR30" s="109"/>
      <c r="QVS30" s="109"/>
      <c r="QVT30" s="109"/>
      <c r="QVU30" s="109"/>
      <c r="QVV30" s="109"/>
      <c r="QVW30" s="109"/>
      <c r="QVX30" s="109"/>
      <c r="QVY30" s="109"/>
      <c r="QVZ30" s="109"/>
      <c r="QWA30" s="109"/>
      <c r="QWB30" s="109"/>
      <c r="QWC30" s="109"/>
      <c r="QWD30" s="109"/>
      <c r="QWE30" s="109"/>
      <c r="QWF30" s="109"/>
      <c r="QWG30" s="109"/>
      <c r="QWH30" s="109"/>
      <c r="QWI30" s="109"/>
      <c r="QWJ30" s="109"/>
      <c r="QWK30" s="109"/>
      <c r="QWL30" s="109"/>
      <c r="QWM30" s="109"/>
      <c r="QWN30" s="109"/>
      <c r="QWO30" s="109"/>
      <c r="QWP30" s="109"/>
      <c r="QWQ30" s="109"/>
      <c r="QWR30" s="109"/>
      <c r="QWS30" s="109"/>
      <c r="QWT30" s="109"/>
      <c r="QWU30" s="109"/>
      <c r="QWV30" s="109"/>
      <c r="QWW30" s="109"/>
      <c r="QWX30" s="109"/>
      <c r="QWY30" s="109"/>
      <c r="QWZ30" s="109"/>
      <c r="QXA30" s="109"/>
      <c r="QXB30" s="109"/>
      <c r="QXC30" s="109"/>
      <c r="QXD30" s="109"/>
      <c r="QXE30" s="109"/>
      <c r="QXF30" s="109"/>
      <c r="QXG30" s="109"/>
      <c r="QXH30" s="109"/>
      <c r="QXI30" s="109"/>
      <c r="QXJ30" s="109"/>
      <c r="QXK30" s="109"/>
      <c r="QXL30" s="109"/>
      <c r="QXM30" s="109"/>
      <c r="QXN30" s="109"/>
      <c r="QXO30" s="109"/>
      <c r="QXP30" s="109"/>
      <c r="QXQ30" s="109"/>
      <c r="QXR30" s="109"/>
      <c r="QXS30" s="109"/>
      <c r="QXT30" s="109"/>
      <c r="QXU30" s="109"/>
      <c r="QXV30" s="109"/>
      <c r="QXW30" s="109"/>
      <c r="QXX30" s="109"/>
      <c r="QXY30" s="109"/>
      <c r="QXZ30" s="109"/>
      <c r="QYA30" s="109"/>
      <c r="QYB30" s="109"/>
      <c r="QYC30" s="109"/>
      <c r="QYD30" s="109"/>
      <c r="QYE30" s="109"/>
      <c r="QYF30" s="109"/>
      <c r="QYG30" s="109"/>
      <c r="QYH30" s="109"/>
      <c r="QYI30" s="109"/>
      <c r="QYJ30" s="109"/>
      <c r="QYK30" s="109"/>
      <c r="QYL30" s="109"/>
      <c r="QYM30" s="109"/>
      <c r="QYN30" s="109"/>
      <c r="QYO30" s="109"/>
      <c r="QYP30" s="109"/>
      <c r="QYQ30" s="109"/>
      <c r="QYR30" s="109"/>
      <c r="QYS30" s="109"/>
      <c r="QYT30" s="109"/>
      <c r="QYU30" s="109"/>
      <c r="QYV30" s="109"/>
      <c r="QYW30" s="109"/>
      <c r="QYX30" s="109"/>
      <c r="QYY30" s="109"/>
      <c r="QYZ30" s="109"/>
      <c r="QZA30" s="109"/>
      <c r="QZB30" s="109"/>
      <c r="QZC30" s="109"/>
      <c r="QZD30" s="109"/>
      <c r="QZE30" s="109"/>
      <c r="QZF30" s="109"/>
      <c r="QZG30" s="109"/>
      <c r="QZH30" s="109"/>
      <c r="QZI30" s="109"/>
      <c r="QZJ30" s="109"/>
      <c r="QZK30" s="109"/>
      <c r="QZL30" s="109"/>
      <c r="QZM30" s="109"/>
      <c r="QZN30" s="109"/>
      <c r="QZO30" s="109"/>
      <c r="QZP30" s="109"/>
      <c r="QZQ30" s="109"/>
      <c r="QZR30" s="109"/>
      <c r="QZS30" s="109"/>
      <c r="QZT30" s="109"/>
      <c r="QZU30" s="109"/>
      <c r="QZV30" s="109"/>
      <c r="QZW30" s="109"/>
      <c r="QZX30" s="109"/>
      <c r="QZY30" s="109"/>
      <c r="QZZ30" s="109"/>
      <c r="RAA30" s="109"/>
      <c r="RAB30" s="109"/>
      <c r="RAC30" s="109"/>
      <c r="RAD30" s="109"/>
      <c r="RAE30" s="109"/>
      <c r="RAF30" s="109"/>
      <c r="RAG30" s="109"/>
      <c r="RAH30" s="109"/>
      <c r="RAI30" s="109"/>
      <c r="RAJ30" s="109"/>
      <c r="RAK30" s="109"/>
      <c r="RAL30" s="109"/>
      <c r="RAM30" s="109"/>
      <c r="RAN30" s="109"/>
      <c r="RAO30" s="109"/>
      <c r="RAP30" s="109"/>
      <c r="RAQ30" s="109"/>
      <c r="RAR30" s="109"/>
      <c r="RAS30" s="109"/>
      <c r="RAT30" s="109"/>
      <c r="RAU30" s="109"/>
      <c r="RAV30" s="109"/>
      <c r="RAW30" s="109"/>
      <c r="RAX30" s="109"/>
      <c r="RAY30" s="109"/>
      <c r="RAZ30" s="109"/>
      <c r="RBA30" s="109"/>
      <c r="RBB30" s="109"/>
      <c r="RBC30" s="109"/>
      <c r="RBD30" s="109"/>
      <c r="RBE30" s="109"/>
      <c r="RBF30" s="109"/>
      <c r="RBG30" s="109"/>
      <c r="RBH30" s="109"/>
      <c r="RBI30" s="109"/>
      <c r="RBJ30" s="109"/>
      <c r="RBK30" s="109"/>
      <c r="RBL30" s="109"/>
      <c r="RBM30" s="109"/>
      <c r="RBN30" s="109"/>
      <c r="RBO30" s="109"/>
      <c r="RBP30" s="109"/>
      <c r="RBQ30" s="109"/>
      <c r="RBR30" s="109"/>
      <c r="RBS30" s="109"/>
      <c r="RBT30" s="109"/>
      <c r="RBU30" s="109"/>
      <c r="RBV30" s="109"/>
      <c r="RBW30" s="109"/>
      <c r="RBX30" s="109"/>
      <c r="RBY30" s="109"/>
      <c r="RBZ30" s="109"/>
      <c r="RCA30" s="109"/>
      <c r="RCB30" s="109"/>
      <c r="RCC30" s="109"/>
      <c r="RCD30" s="109"/>
      <c r="RCE30" s="109"/>
      <c r="RCF30" s="109"/>
      <c r="RCG30" s="109"/>
      <c r="RCH30" s="109"/>
      <c r="RCI30" s="109"/>
      <c r="RCJ30" s="109"/>
      <c r="RCK30" s="109"/>
      <c r="RCL30" s="109"/>
      <c r="RCM30" s="109"/>
      <c r="RCN30" s="109"/>
      <c r="RCO30" s="109"/>
      <c r="RCP30" s="109"/>
      <c r="RCQ30" s="109"/>
      <c r="RCR30" s="109"/>
      <c r="RCS30" s="109"/>
      <c r="RCT30" s="109"/>
      <c r="RCU30" s="109"/>
      <c r="RCV30" s="109"/>
      <c r="RCW30" s="109"/>
      <c r="RCX30" s="109"/>
      <c r="RCY30" s="109"/>
      <c r="RCZ30" s="109"/>
      <c r="RDA30" s="109"/>
      <c r="RDB30" s="109"/>
      <c r="RDC30" s="109"/>
      <c r="RDD30" s="109"/>
      <c r="RDE30" s="109"/>
      <c r="RDF30" s="109"/>
      <c r="RDG30" s="109"/>
      <c r="RDH30" s="109"/>
      <c r="RDI30" s="109"/>
      <c r="RDJ30" s="109"/>
      <c r="RDK30" s="109"/>
      <c r="RDL30" s="109"/>
      <c r="RDM30" s="109"/>
      <c r="RDN30" s="109"/>
      <c r="RDO30" s="109"/>
      <c r="RDP30" s="109"/>
      <c r="RDQ30" s="109"/>
      <c r="RDR30" s="109"/>
      <c r="RDS30" s="109"/>
      <c r="RDT30" s="109"/>
      <c r="RDU30" s="109"/>
      <c r="RDV30" s="109"/>
      <c r="RDW30" s="109"/>
      <c r="RDX30" s="109"/>
      <c r="RDY30" s="109"/>
      <c r="RDZ30" s="109"/>
      <c r="REA30" s="109"/>
      <c r="REB30" s="109"/>
      <c r="REC30" s="109"/>
      <c r="RED30" s="109"/>
      <c r="REE30" s="109"/>
      <c r="REF30" s="109"/>
      <c r="REG30" s="109"/>
      <c r="REH30" s="109"/>
      <c r="REI30" s="109"/>
      <c r="REJ30" s="109"/>
      <c r="REK30" s="109"/>
      <c r="REL30" s="109"/>
      <c r="REM30" s="109"/>
      <c r="REN30" s="109"/>
      <c r="REO30" s="109"/>
      <c r="REP30" s="109"/>
      <c r="REQ30" s="109"/>
      <c r="RER30" s="109"/>
      <c r="RES30" s="109"/>
      <c r="RET30" s="109"/>
      <c r="REU30" s="109"/>
      <c r="REV30" s="109"/>
      <c r="REW30" s="109"/>
      <c r="REX30" s="109"/>
      <c r="REY30" s="109"/>
      <c r="REZ30" s="109"/>
      <c r="RFA30" s="109"/>
      <c r="RFB30" s="109"/>
      <c r="RFC30" s="109"/>
      <c r="RFD30" s="109"/>
      <c r="RFE30" s="109"/>
      <c r="RFF30" s="109"/>
      <c r="RFG30" s="109"/>
      <c r="RFH30" s="109"/>
      <c r="RFI30" s="109"/>
      <c r="RFJ30" s="109"/>
      <c r="RFK30" s="109"/>
      <c r="RFL30" s="109"/>
      <c r="RFM30" s="109"/>
      <c r="RFN30" s="109"/>
      <c r="RFO30" s="109"/>
      <c r="RFP30" s="109"/>
      <c r="RFQ30" s="109"/>
      <c r="RFR30" s="109"/>
      <c r="RFS30" s="109"/>
      <c r="RFT30" s="109"/>
      <c r="RFU30" s="109"/>
      <c r="RFV30" s="109"/>
      <c r="RFW30" s="109"/>
      <c r="RFX30" s="109"/>
      <c r="RFY30" s="109"/>
      <c r="RFZ30" s="109"/>
      <c r="RGA30" s="109"/>
      <c r="RGB30" s="109"/>
      <c r="RGC30" s="109"/>
      <c r="RGD30" s="109"/>
      <c r="RGE30" s="109"/>
      <c r="RGF30" s="109"/>
      <c r="RGG30" s="109"/>
      <c r="RGH30" s="109"/>
      <c r="RGI30" s="109"/>
      <c r="RGJ30" s="109"/>
      <c r="RGK30" s="109"/>
      <c r="RGL30" s="109"/>
      <c r="RGM30" s="109"/>
      <c r="RGN30" s="109"/>
      <c r="RGO30" s="109"/>
      <c r="RGP30" s="109"/>
      <c r="RGQ30" s="109"/>
      <c r="RGR30" s="109"/>
      <c r="RGS30" s="109"/>
      <c r="RGT30" s="109"/>
      <c r="RGU30" s="109"/>
      <c r="RGV30" s="109"/>
      <c r="RGW30" s="109"/>
      <c r="RGX30" s="109"/>
      <c r="RGY30" s="109"/>
      <c r="RGZ30" s="109"/>
      <c r="RHA30" s="109"/>
      <c r="RHB30" s="109"/>
      <c r="RHC30" s="109"/>
      <c r="RHD30" s="109"/>
      <c r="RHE30" s="109"/>
      <c r="RHF30" s="109"/>
      <c r="RHG30" s="109"/>
      <c r="RHH30" s="109"/>
      <c r="RHI30" s="109"/>
      <c r="RHJ30" s="109"/>
      <c r="RHK30" s="109"/>
      <c r="RHL30" s="109"/>
      <c r="RHM30" s="109"/>
      <c r="RHN30" s="109"/>
      <c r="RHO30" s="109"/>
      <c r="RHP30" s="109"/>
      <c r="RHQ30" s="109"/>
      <c r="RHR30" s="109"/>
      <c r="RHS30" s="109"/>
      <c r="RHT30" s="109"/>
      <c r="RHU30" s="109"/>
      <c r="RHV30" s="109"/>
      <c r="RHW30" s="109"/>
      <c r="RHX30" s="109"/>
      <c r="RHY30" s="109"/>
      <c r="RHZ30" s="109"/>
      <c r="RIA30" s="109"/>
      <c r="RIB30" s="109"/>
      <c r="RIC30" s="109"/>
      <c r="RID30" s="109"/>
      <c r="RIE30" s="109"/>
      <c r="RIF30" s="109"/>
      <c r="RIG30" s="109"/>
      <c r="RIH30" s="109"/>
      <c r="RII30" s="109"/>
      <c r="RIJ30" s="109"/>
      <c r="RIK30" s="109"/>
      <c r="RIL30" s="109"/>
      <c r="RIM30" s="109"/>
      <c r="RIN30" s="109"/>
      <c r="RIO30" s="109"/>
      <c r="RIP30" s="109"/>
      <c r="RIQ30" s="109"/>
      <c r="RIR30" s="109"/>
      <c r="RIS30" s="109"/>
      <c r="RIT30" s="109"/>
      <c r="RIU30" s="109"/>
      <c r="RIV30" s="109"/>
      <c r="RIW30" s="109"/>
      <c r="RIX30" s="109"/>
      <c r="RIY30" s="109"/>
      <c r="RIZ30" s="109"/>
      <c r="RJA30" s="109"/>
      <c r="RJB30" s="109"/>
      <c r="RJC30" s="109"/>
      <c r="RJD30" s="109"/>
      <c r="RJE30" s="109"/>
      <c r="RJF30" s="109"/>
      <c r="RJG30" s="109"/>
      <c r="RJH30" s="109"/>
      <c r="RJI30" s="109"/>
      <c r="RJJ30" s="109"/>
      <c r="RJK30" s="109"/>
      <c r="RJL30" s="109"/>
      <c r="RJM30" s="109"/>
      <c r="RJN30" s="109"/>
      <c r="RJO30" s="109"/>
      <c r="RJP30" s="109"/>
      <c r="RJQ30" s="109"/>
      <c r="RJR30" s="109"/>
      <c r="RJS30" s="109"/>
      <c r="RJT30" s="109"/>
      <c r="RJU30" s="109"/>
      <c r="RJV30" s="109"/>
      <c r="RJW30" s="109"/>
      <c r="RJX30" s="109"/>
      <c r="RJY30" s="109"/>
      <c r="RJZ30" s="109"/>
      <c r="RKA30" s="109"/>
      <c r="RKB30" s="109"/>
      <c r="RKC30" s="109"/>
      <c r="RKD30" s="109"/>
      <c r="RKE30" s="109"/>
      <c r="RKF30" s="109"/>
      <c r="RKG30" s="109"/>
      <c r="RKH30" s="109"/>
      <c r="RKI30" s="109"/>
      <c r="RKJ30" s="109"/>
      <c r="RKK30" s="109"/>
      <c r="RKL30" s="109"/>
      <c r="RKM30" s="109"/>
      <c r="RKN30" s="109"/>
      <c r="RKO30" s="109"/>
      <c r="RKP30" s="109"/>
      <c r="RKQ30" s="109"/>
      <c r="RKR30" s="109"/>
      <c r="RKS30" s="109"/>
      <c r="RKT30" s="109"/>
      <c r="RKU30" s="109"/>
      <c r="RKV30" s="109"/>
      <c r="RKW30" s="109"/>
      <c r="RKX30" s="109"/>
      <c r="RKY30" s="109"/>
      <c r="RKZ30" s="109"/>
      <c r="RLA30" s="109"/>
      <c r="RLB30" s="109"/>
      <c r="RLC30" s="109"/>
      <c r="RLD30" s="109"/>
      <c r="RLE30" s="109"/>
      <c r="RLF30" s="109"/>
      <c r="RLG30" s="109"/>
      <c r="RLH30" s="109"/>
      <c r="RLI30" s="109"/>
      <c r="RLJ30" s="109"/>
      <c r="RLK30" s="109"/>
      <c r="RLL30" s="109"/>
      <c r="RLM30" s="109"/>
      <c r="RLN30" s="109"/>
      <c r="RLO30" s="109"/>
      <c r="RLP30" s="109"/>
      <c r="RLQ30" s="109"/>
      <c r="RLR30" s="109"/>
      <c r="RLS30" s="109"/>
      <c r="RLT30" s="109"/>
      <c r="RLU30" s="109"/>
      <c r="RLV30" s="109"/>
      <c r="RLW30" s="109"/>
      <c r="RLX30" s="109"/>
      <c r="RLY30" s="109"/>
      <c r="RLZ30" s="109"/>
      <c r="RMA30" s="109"/>
      <c r="RMB30" s="109"/>
      <c r="RMC30" s="109"/>
      <c r="RMD30" s="109"/>
      <c r="RME30" s="109"/>
      <c r="RMF30" s="109"/>
      <c r="RMG30" s="109"/>
      <c r="RMH30" s="109"/>
      <c r="RMI30" s="109"/>
      <c r="RMJ30" s="109"/>
      <c r="RMK30" s="109"/>
      <c r="RML30" s="109"/>
      <c r="RMM30" s="109"/>
      <c r="RMN30" s="109"/>
      <c r="RMO30" s="109"/>
      <c r="RMP30" s="109"/>
      <c r="RMQ30" s="109"/>
      <c r="RMR30" s="109"/>
      <c r="RMS30" s="109"/>
      <c r="RMT30" s="109"/>
      <c r="RMU30" s="109"/>
      <c r="RMV30" s="109"/>
      <c r="RMW30" s="109"/>
      <c r="RMX30" s="109"/>
      <c r="RMY30" s="109"/>
      <c r="RMZ30" s="109"/>
      <c r="RNA30" s="109"/>
      <c r="RNB30" s="109"/>
      <c r="RNC30" s="109"/>
      <c r="RND30" s="109"/>
      <c r="RNE30" s="109"/>
      <c r="RNF30" s="109"/>
      <c r="RNG30" s="109"/>
      <c r="RNH30" s="109"/>
      <c r="RNI30" s="109"/>
      <c r="RNJ30" s="109"/>
      <c r="RNK30" s="109"/>
      <c r="RNL30" s="109"/>
      <c r="RNM30" s="109"/>
      <c r="RNN30" s="109"/>
      <c r="RNO30" s="109"/>
      <c r="RNP30" s="109"/>
      <c r="RNQ30" s="109"/>
      <c r="RNR30" s="109"/>
      <c r="RNS30" s="109"/>
      <c r="RNT30" s="109"/>
      <c r="RNU30" s="109"/>
      <c r="RNV30" s="109"/>
      <c r="RNW30" s="109"/>
      <c r="RNX30" s="109"/>
      <c r="RNY30" s="109"/>
      <c r="RNZ30" s="109"/>
      <c r="ROA30" s="109"/>
      <c r="ROB30" s="109"/>
      <c r="ROC30" s="109"/>
      <c r="ROD30" s="109"/>
      <c r="ROE30" s="109"/>
      <c r="ROF30" s="109"/>
      <c r="ROG30" s="109"/>
      <c r="ROH30" s="109"/>
      <c r="ROI30" s="109"/>
      <c r="ROJ30" s="109"/>
      <c r="ROK30" s="109"/>
      <c r="ROL30" s="109"/>
      <c r="ROM30" s="109"/>
      <c r="RON30" s="109"/>
      <c r="ROO30" s="109"/>
      <c r="ROP30" s="109"/>
      <c r="ROQ30" s="109"/>
      <c r="ROR30" s="109"/>
      <c r="ROS30" s="109"/>
      <c r="ROT30" s="109"/>
      <c r="ROU30" s="109"/>
      <c r="ROV30" s="109"/>
      <c r="ROW30" s="109"/>
      <c r="ROX30" s="109"/>
      <c r="ROY30" s="109"/>
      <c r="ROZ30" s="109"/>
      <c r="RPA30" s="109"/>
      <c r="RPB30" s="109"/>
      <c r="RPC30" s="109"/>
      <c r="RPD30" s="109"/>
      <c r="RPE30" s="109"/>
      <c r="RPF30" s="109"/>
      <c r="RPG30" s="109"/>
      <c r="RPH30" s="109"/>
      <c r="RPI30" s="109"/>
      <c r="RPJ30" s="109"/>
      <c r="RPK30" s="109"/>
      <c r="RPL30" s="109"/>
      <c r="RPM30" s="109"/>
      <c r="RPN30" s="109"/>
      <c r="RPO30" s="109"/>
      <c r="RPP30" s="109"/>
      <c r="RPQ30" s="109"/>
      <c r="RPR30" s="109"/>
      <c r="RPS30" s="109"/>
      <c r="RPT30" s="109"/>
      <c r="RPU30" s="109"/>
      <c r="RPV30" s="109"/>
      <c r="RPW30" s="109"/>
      <c r="RPX30" s="109"/>
      <c r="RPY30" s="109"/>
      <c r="RPZ30" s="109"/>
      <c r="RQA30" s="109"/>
      <c r="RQB30" s="109"/>
      <c r="RQC30" s="109"/>
      <c r="RQD30" s="109"/>
      <c r="RQE30" s="109"/>
      <c r="RQF30" s="109"/>
      <c r="RQG30" s="109"/>
      <c r="RQH30" s="109"/>
      <c r="RQI30" s="109"/>
      <c r="RQJ30" s="109"/>
      <c r="RQK30" s="109"/>
      <c r="RQL30" s="109"/>
      <c r="RQM30" s="109"/>
      <c r="RQN30" s="109"/>
      <c r="RQO30" s="109"/>
      <c r="RQP30" s="109"/>
      <c r="RQQ30" s="109"/>
      <c r="RQR30" s="109"/>
      <c r="RQS30" s="109"/>
      <c r="RQT30" s="109"/>
      <c r="RQU30" s="109"/>
      <c r="RQV30" s="109"/>
      <c r="RQW30" s="109"/>
      <c r="RQX30" s="109"/>
      <c r="RQY30" s="109"/>
      <c r="RQZ30" s="109"/>
      <c r="RRA30" s="109"/>
      <c r="RRB30" s="109"/>
      <c r="RRC30" s="109"/>
      <c r="RRD30" s="109"/>
      <c r="RRE30" s="109"/>
      <c r="RRF30" s="109"/>
      <c r="RRG30" s="109"/>
      <c r="RRH30" s="109"/>
      <c r="RRI30" s="109"/>
      <c r="RRJ30" s="109"/>
      <c r="RRK30" s="109"/>
      <c r="RRL30" s="109"/>
      <c r="RRM30" s="109"/>
      <c r="RRN30" s="109"/>
      <c r="RRO30" s="109"/>
      <c r="RRP30" s="109"/>
      <c r="RRQ30" s="109"/>
      <c r="RRR30" s="109"/>
      <c r="RRS30" s="109"/>
      <c r="RRT30" s="109"/>
      <c r="RRU30" s="109"/>
      <c r="RRV30" s="109"/>
      <c r="RRW30" s="109"/>
      <c r="RRX30" s="109"/>
      <c r="RRY30" s="109"/>
      <c r="RRZ30" s="109"/>
      <c r="RSA30" s="109"/>
      <c r="RSB30" s="109"/>
      <c r="RSC30" s="109"/>
      <c r="RSD30" s="109"/>
      <c r="RSE30" s="109"/>
      <c r="RSF30" s="109"/>
      <c r="RSG30" s="109"/>
      <c r="RSH30" s="109"/>
      <c r="RSI30" s="109"/>
      <c r="RSJ30" s="109"/>
      <c r="RSK30" s="109"/>
      <c r="RSL30" s="109"/>
      <c r="RSM30" s="109"/>
      <c r="RSN30" s="109"/>
      <c r="RSO30" s="109"/>
      <c r="RSP30" s="109"/>
      <c r="RSQ30" s="109"/>
      <c r="RSR30" s="109"/>
      <c r="RSS30" s="109"/>
      <c r="RST30" s="109"/>
      <c r="RSU30" s="109"/>
      <c r="RSV30" s="109"/>
      <c r="RSW30" s="109"/>
      <c r="RSX30" s="109"/>
      <c r="RSY30" s="109"/>
      <c r="RSZ30" s="109"/>
      <c r="RTA30" s="109"/>
      <c r="RTB30" s="109"/>
      <c r="RTC30" s="109"/>
      <c r="RTD30" s="109"/>
      <c r="RTE30" s="109"/>
      <c r="RTF30" s="109"/>
      <c r="RTG30" s="109"/>
      <c r="RTH30" s="109"/>
      <c r="RTI30" s="109"/>
      <c r="RTJ30" s="109"/>
      <c r="RTK30" s="109"/>
      <c r="RTL30" s="109"/>
      <c r="RTM30" s="109"/>
      <c r="RTN30" s="109"/>
      <c r="RTO30" s="109"/>
      <c r="RTP30" s="109"/>
      <c r="RTQ30" s="109"/>
      <c r="RTR30" s="109"/>
      <c r="RTS30" s="109"/>
      <c r="RTT30" s="109"/>
      <c r="RTU30" s="109"/>
      <c r="RTV30" s="109"/>
      <c r="RTW30" s="109"/>
      <c r="RTX30" s="109"/>
      <c r="RTY30" s="109"/>
      <c r="RTZ30" s="109"/>
      <c r="RUA30" s="109"/>
      <c r="RUB30" s="109"/>
      <c r="RUC30" s="109"/>
      <c r="RUD30" s="109"/>
      <c r="RUE30" s="109"/>
      <c r="RUF30" s="109"/>
      <c r="RUG30" s="109"/>
      <c r="RUH30" s="109"/>
      <c r="RUI30" s="109"/>
      <c r="RUJ30" s="109"/>
      <c r="RUK30" s="109"/>
      <c r="RUL30" s="109"/>
      <c r="RUM30" s="109"/>
      <c r="RUN30" s="109"/>
      <c r="RUO30" s="109"/>
      <c r="RUP30" s="109"/>
      <c r="RUQ30" s="109"/>
      <c r="RUR30" s="109"/>
      <c r="RUS30" s="109"/>
      <c r="RUT30" s="109"/>
      <c r="RUU30" s="109"/>
      <c r="RUV30" s="109"/>
      <c r="RUW30" s="109"/>
      <c r="RUX30" s="109"/>
      <c r="RUY30" s="109"/>
      <c r="RUZ30" s="109"/>
      <c r="RVA30" s="109"/>
      <c r="RVB30" s="109"/>
      <c r="RVC30" s="109"/>
      <c r="RVD30" s="109"/>
      <c r="RVE30" s="109"/>
      <c r="RVF30" s="109"/>
      <c r="RVG30" s="109"/>
      <c r="RVH30" s="109"/>
      <c r="RVI30" s="109"/>
      <c r="RVJ30" s="109"/>
      <c r="RVK30" s="109"/>
      <c r="RVL30" s="109"/>
      <c r="RVM30" s="109"/>
      <c r="RVN30" s="109"/>
      <c r="RVO30" s="109"/>
      <c r="RVP30" s="109"/>
      <c r="RVQ30" s="109"/>
      <c r="RVR30" s="109"/>
      <c r="RVS30" s="109"/>
      <c r="RVT30" s="109"/>
      <c r="RVU30" s="109"/>
      <c r="RVV30" s="109"/>
      <c r="RVW30" s="109"/>
      <c r="RVX30" s="109"/>
      <c r="RVY30" s="109"/>
      <c r="RVZ30" s="109"/>
      <c r="RWA30" s="109"/>
      <c r="RWB30" s="109"/>
      <c r="RWC30" s="109"/>
      <c r="RWD30" s="109"/>
      <c r="RWE30" s="109"/>
      <c r="RWF30" s="109"/>
      <c r="RWG30" s="109"/>
      <c r="RWH30" s="109"/>
      <c r="RWI30" s="109"/>
      <c r="RWJ30" s="109"/>
      <c r="RWK30" s="109"/>
      <c r="RWL30" s="109"/>
      <c r="RWM30" s="109"/>
      <c r="RWN30" s="109"/>
      <c r="RWO30" s="109"/>
      <c r="RWP30" s="109"/>
      <c r="RWQ30" s="109"/>
      <c r="RWR30" s="109"/>
      <c r="RWS30" s="109"/>
      <c r="RWT30" s="109"/>
      <c r="RWU30" s="109"/>
      <c r="RWV30" s="109"/>
      <c r="RWW30" s="109"/>
      <c r="RWX30" s="109"/>
      <c r="RWY30" s="109"/>
      <c r="RWZ30" s="109"/>
      <c r="RXA30" s="109"/>
      <c r="RXB30" s="109"/>
      <c r="RXC30" s="109"/>
      <c r="RXD30" s="109"/>
      <c r="RXE30" s="109"/>
      <c r="RXF30" s="109"/>
      <c r="RXG30" s="109"/>
      <c r="RXH30" s="109"/>
      <c r="RXI30" s="109"/>
      <c r="RXJ30" s="109"/>
      <c r="RXK30" s="109"/>
      <c r="RXL30" s="109"/>
      <c r="RXM30" s="109"/>
      <c r="RXN30" s="109"/>
      <c r="RXO30" s="109"/>
      <c r="RXP30" s="109"/>
      <c r="RXQ30" s="109"/>
      <c r="RXR30" s="109"/>
      <c r="RXS30" s="109"/>
      <c r="RXT30" s="109"/>
      <c r="RXU30" s="109"/>
      <c r="RXV30" s="109"/>
      <c r="RXW30" s="109"/>
      <c r="RXX30" s="109"/>
      <c r="RXY30" s="109"/>
      <c r="RXZ30" s="109"/>
      <c r="RYA30" s="109"/>
      <c r="RYB30" s="109"/>
      <c r="RYC30" s="109"/>
      <c r="RYD30" s="109"/>
      <c r="RYE30" s="109"/>
      <c r="RYF30" s="109"/>
      <c r="RYG30" s="109"/>
      <c r="RYH30" s="109"/>
      <c r="RYI30" s="109"/>
      <c r="RYJ30" s="109"/>
      <c r="RYK30" s="109"/>
      <c r="RYL30" s="109"/>
      <c r="RYM30" s="109"/>
      <c r="RYN30" s="109"/>
      <c r="RYO30" s="109"/>
      <c r="RYP30" s="109"/>
      <c r="RYQ30" s="109"/>
      <c r="RYR30" s="109"/>
      <c r="RYS30" s="109"/>
      <c r="RYT30" s="109"/>
      <c r="RYU30" s="109"/>
      <c r="RYV30" s="109"/>
      <c r="RYW30" s="109"/>
      <c r="RYX30" s="109"/>
      <c r="RYY30" s="109"/>
      <c r="RYZ30" s="109"/>
      <c r="RZA30" s="109"/>
      <c r="RZB30" s="109"/>
      <c r="RZC30" s="109"/>
      <c r="RZD30" s="109"/>
      <c r="RZE30" s="109"/>
      <c r="RZF30" s="109"/>
      <c r="RZG30" s="109"/>
      <c r="RZH30" s="109"/>
      <c r="RZI30" s="109"/>
      <c r="RZJ30" s="109"/>
      <c r="RZK30" s="109"/>
      <c r="RZL30" s="109"/>
      <c r="RZM30" s="109"/>
      <c r="RZN30" s="109"/>
      <c r="RZO30" s="109"/>
      <c r="RZP30" s="109"/>
      <c r="RZQ30" s="109"/>
      <c r="RZR30" s="109"/>
      <c r="RZS30" s="109"/>
      <c r="RZT30" s="109"/>
      <c r="RZU30" s="109"/>
      <c r="RZV30" s="109"/>
      <c r="RZW30" s="109"/>
      <c r="RZX30" s="109"/>
      <c r="RZY30" s="109"/>
      <c r="RZZ30" s="109"/>
      <c r="SAA30" s="109"/>
      <c r="SAB30" s="109"/>
      <c r="SAC30" s="109"/>
      <c r="SAD30" s="109"/>
      <c r="SAE30" s="109"/>
      <c r="SAF30" s="109"/>
      <c r="SAG30" s="109"/>
      <c r="SAH30" s="109"/>
      <c r="SAI30" s="109"/>
      <c r="SAJ30" s="109"/>
      <c r="SAK30" s="109"/>
      <c r="SAL30" s="109"/>
      <c r="SAM30" s="109"/>
      <c r="SAN30" s="109"/>
      <c r="SAO30" s="109"/>
      <c r="SAP30" s="109"/>
      <c r="SAQ30" s="109"/>
      <c r="SAR30" s="109"/>
      <c r="SAS30" s="109"/>
      <c r="SAT30" s="109"/>
      <c r="SAU30" s="109"/>
      <c r="SAV30" s="109"/>
      <c r="SAW30" s="109"/>
      <c r="SAX30" s="109"/>
      <c r="SAY30" s="109"/>
      <c r="SAZ30" s="109"/>
      <c r="SBA30" s="109"/>
      <c r="SBB30" s="109"/>
      <c r="SBC30" s="109"/>
      <c r="SBD30" s="109"/>
      <c r="SBE30" s="109"/>
      <c r="SBF30" s="109"/>
      <c r="SBG30" s="109"/>
      <c r="SBH30" s="109"/>
      <c r="SBI30" s="109"/>
      <c r="SBJ30" s="109"/>
      <c r="SBK30" s="109"/>
      <c r="SBL30" s="109"/>
      <c r="SBM30" s="109"/>
      <c r="SBN30" s="109"/>
      <c r="SBO30" s="109"/>
      <c r="SBP30" s="109"/>
      <c r="SBQ30" s="109"/>
      <c r="SBR30" s="109"/>
      <c r="SBS30" s="109"/>
      <c r="SBT30" s="109"/>
      <c r="SBU30" s="109"/>
      <c r="SBV30" s="109"/>
      <c r="SBW30" s="109"/>
      <c r="SBX30" s="109"/>
      <c r="SBY30" s="109"/>
      <c r="SBZ30" s="109"/>
      <c r="SCA30" s="109"/>
      <c r="SCB30" s="109"/>
      <c r="SCC30" s="109"/>
      <c r="SCD30" s="109"/>
      <c r="SCE30" s="109"/>
      <c r="SCF30" s="109"/>
      <c r="SCG30" s="109"/>
      <c r="SCH30" s="109"/>
      <c r="SCI30" s="109"/>
      <c r="SCJ30" s="109"/>
      <c r="SCK30" s="109"/>
      <c r="SCL30" s="109"/>
      <c r="SCM30" s="109"/>
      <c r="SCN30" s="109"/>
      <c r="SCO30" s="109"/>
      <c r="SCP30" s="109"/>
      <c r="SCQ30" s="109"/>
      <c r="SCR30" s="109"/>
      <c r="SCS30" s="109"/>
      <c r="SCT30" s="109"/>
      <c r="SCU30" s="109"/>
      <c r="SCV30" s="109"/>
      <c r="SCW30" s="109"/>
      <c r="SCX30" s="109"/>
      <c r="SCY30" s="109"/>
      <c r="SCZ30" s="109"/>
      <c r="SDA30" s="109"/>
      <c r="SDB30" s="109"/>
      <c r="SDC30" s="109"/>
      <c r="SDD30" s="109"/>
      <c r="SDE30" s="109"/>
      <c r="SDF30" s="109"/>
      <c r="SDG30" s="109"/>
      <c r="SDH30" s="109"/>
      <c r="SDI30" s="109"/>
      <c r="SDJ30" s="109"/>
      <c r="SDK30" s="109"/>
      <c r="SDL30" s="109"/>
      <c r="SDM30" s="109"/>
      <c r="SDN30" s="109"/>
      <c r="SDO30" s="109"/>
      <c r="SDP30" s="109"/>
      <c r="SDQ30" s="109"/>
      <c r="SDR30" s="109"/>
      <c r="SDS30" s="109"/>
      <c r="SDT30" s="109"/>
      <c r="SDU30" s="109"/>
      <c r="SDV30" s="109"/>
      <c r="SDW30" s="109"/>
      <c r="SDX30" s="109"/>
      <c r="SDY30" s="109"/>
      <c r="SDZ30" s="109"/>
      <c r="SEA30" s="109"/>
      <c r="SEB30" s="109"/>
      <c r="SEC30" s="109"/>
      <c r="SED30" s="109"/>
      <c r="SEE30" s="109"/>
      <c r="SEF30" s="109"/>
      <c r="SEG30" s="109"/>
      <c r="SEH30" s="109"/>
      <c r="SEI30" s="109"/>
      <c r="SEJ30" s="109"/>
      <c r="SEK30" s="109"/>
      <c r="SEL30" s="109"/>
      <c r="SEM30" s="109"/>
      <c r="SEN30" s="109"/>
      <c r="SEO30" s="109"/>
      <c r="SEP30" s="109"/>
      <c r="SEQ30" s="109"/>
      <c r="SER30" s="109"/>
      <c r="SES30" s="109"/>
      <c r="SET30" s="109"/>
      <c r="SEU30" s="109"/>
      <c r="SEV30" s="109"/>
      <c r="SEW30" s="109"/>
      <c r="SEX30" s="109"/>
      <c r="SEY30" s="109"/>
      <c r="SEZ30" s="109"/>
      <c r="SFA30" s="109"/>
      <c r="SFB30" s="109"/>
      <c r="SFC30" s="109"/>
      <c r="SFD30" s="109"/>
      <c r="SFE30" s="109"/>
      <c r="SFF30" s="109"/>
      <c r="SFG30" s="109"/>
      <c r="SFH30" s="109"/>
      <c r="SFI30" s="109"/>
      <c r="SFJ30" s="109"/>
      <c r="SFK30" s="109"/>
      <c r="SFL30" s="109"/>
      <c r="SFM30" s="109"/>
      <c r="SFN30" s="109"/>
      <c r="SFO30" s="109"/>
      <c r="SFP30" s="109"/>
      <c r="SFQ30" s="109"/>
      <c r="SFR30" s="109"/>
      <c r="SFS30" s="109"/>
      <c r="SFT30" s="109"/>
      <c r="SFU30" s="109"/>
      <c r="SFV30" s="109"/>
      <c r="SFW30" s="109"/>
      <c r="SFX30" s="109"/>
      <c r="SFY30" s="109"/>
      <c r="SFZ30" s="109"/>
      <c r="SGA30" s="109"/>
      <c r="SGB30" s="109"/>
      <c r="SGC30" s="109"/>
      <c r="SGD30" s="109"/>
      <c r="SGE30" s="109"/>
      <c r="SGF30" s="109"/>
      <c r="SGG30" s="109"/>
      <c r="SGH30" s="109"/>
      <c r="SGI30" s="109"/>
      <c r="SGJ30" s="109"/>
      <c r="SGK30" s="109"/>
      <c r="SGL30" s="109"/>
      <c r="SGM30" s="109"/>
      <c r="SGN30" s="109"/>
      <c r="SGO30" s="109"/>
      <c r="SGP30" s="109"/>
      <c r="SGQ30" s="109"/>
      <c r="SGR30" s="109"/>
      <c r="SGS30" s="109"/>
      <c r="SGT30" s="109"/>
      <c r="SGU30" s="109"/>
      <c r="SGV30" s="109"/>
      <c r="SGW30" s="109"/>
      <c r="SGX30" s="109"/>
      <c r="SGY30" s="109"/>
      <c r="SGZ30" s="109"/>
      <c r="SHA30" s="109"/>
      <c r="SHB30" s="109"/>
      <c r="SHC30" s="109"/>
      <c r="SHD30" s="109"/>
      <c r="SHE30" s="109"/>
      <c r="SHF30" s="109"/>
      <c r="SHG30" s="109"/>
      <c r="SHH30" s="109"/>
      <c r="SHI30" s="109"/>
      <c r="SHJ30" s="109"/>
      <c r="SHK30" s="109"/>
      <c r="SHL30" s="109"/>
      <c r="SHM30" s="109"/>
      <c r="SHN30" s="109"/>
      <c r="SHO30" s="109"/>
      <c r="SHP30" s="109"/>
      <c r="SHQ30" s="109"/>
      <c r="SHR30" s="109"/>
      <c r="SHS30" s="109"/>
      <c r="SHT30" s="109"/>
      <c r="SHU30" s="109"/>
      <c r="SHV30" s="109"/>
      <c r="SHW30" s="109"/>
      <c r="SHX30" s="109"/>
      <c r="SHY30" s="109"/>
      <c r="SHZ30" s="109"/>
      <c r="SIA30" s="109"/>
      <c r="SIB30" s="109"/>
      <c r="SIC30" s="109"/>
      <c r="SID30" s="109"/>
      <c r="SIE30" s="109"/>
      <c r="SIF30" s="109"/>
      <c r="SIG30" s="109"/>
      <c r="SIH30" s="109"/>
      <c r="SII30" s="109"/>
      <c r="SIJ30" s="109"/>
      <c r="SIK30" s="109"/>
      <c r="SIL30" s="109"/>
      <c r="SIM30" s="109"/>
      <c r="SIN30" s="109"/>
      <c r="SIO30" s="109"/>
      <c r="SIP30" s="109"/>
      <c r="SIQ30" s="109"/>
      <c r="SIR30" s="109"/>
      <c r="SIS30" s="109"/>
      <c r="SIT30" s="109"/>
      <c r="SIU30" s="109"/>
      <c r="SIV30" s="109"/>
      <c r="SIW30" s="109"/>
      <c r="SIX30" s="109"/>
      <c r="SIY30" s="109"/>
      <c r="SIZ30" s="109"/>
      <c r="SJA30" s="109"/>
      <c r="SJB30" s="109"/>
      <c r="SJC30" s="109"/>
      <c r="SJD30" s="109"/>
      <c r="SJE30" s="109"/>
      <c r="SJF30" s="109"/>
      <c r="SJG30" s="109"/>
      <c r="SJH30" s="109"/>
      <c r="SJI30" s="109"/>
      <c r="SJJ30" s="109"/>
      <c r="SJK30" s="109"/>
      <c r="SJL30" s="109"/>
      <c r="SJM30" s="109"/>
      <c r="SJN30" s="109"/>
      <c r="SJO30" s="109"/>
      <c r="SJP30" s="109"/>
      <c r="SJQ30" s="109"/>
      <c r="SJR30" s="109"/>
      <c r="SJS30" s="109"/>
      <c r="SJT30" s="109"/>
      <c r="SJU30" s="109"/>
      <c r="SJV30" s="109"/>
      <c r="SJW30" s="109"/>
      <c r="SJX30" s="109"/>
      <c r="SJY30" s="109"/>
      <c r="SJZ30" s="109"/>
      <c r="SKA30" s="109"/>
      <c r="SKB30" s="109"/>
      <c r="SKC30" s="109"/>
      <c r="SKD30" s="109"/>
      <c r="SKE30" s="109"/>
      <c r="SKF30" s="109"/>
      <c r="SKG30" s="109"/>
      <c r="SKH30" s="109"/>
      <c r="SKI30" s="109"/>
      <c r="SKJ30" s="109"/>
      <c r="SKK30" s="109"/>
      <c r="SKL30" s="109"/>
      <c r="SKM30" s="109"/>
      <c r="SKN30" s="109"/>
      <c r="SKO30" s="109"/>
      <c r="SKP30" s="109"/>
      <c r="SKQ30" s="109"/>
      <c r="SKR30" s="109"/>
      <c r="SKS30" s="109"/>
      <c r="SKT30" s="109"/>
      <c r="SKU30" s="109"/>
      <c r="SKV30" s="109"/>
      <c r="SKW30" s="109"/>
      <c r="SKX30" s="109"/>
      <c r="SKY30" s="109"/>
      <c r="SKZ30" s="109"/>
      <c r="SLA30" s="109"/>
      <c r="SLB30" s="109"/>
      <c r="SLC30" s="109"/>
      <c r="SLD30" s="109"/>
      <c r="SLE30" s="109"/>
      <c r="SLF30" s="109"/>
      <c r="SLG30" s="109"/>
      <c r="SLH30" s="109"/>
      <c r="SLI30" s="109"/>
      <c r="SLJ30" s="109"/>
      <c r="SLK30" s="109"/>
      <c r="SLL30" s="109"/>
      <c r="SLM30" s="109"/>
      <c r="SLN30" s="109"/>
      <c r="SLO30" s="109"/>
      <c r="SLP30" s="109"/>
      <c r="SLQ30" s="109"/>
      <c r="SLR30" s="109"/>
      <c r="SLS30" s="109"/>
      <c r="SLT30" s="109"/>
      <c r="SLU30" s="109"/>
      <c r="SLV30" s="109"/>
      <c r="SLW30" s="109"/>
      <c r="SLX30" s="109"/>
      <c r="SLY30" s="109"/>
      <c r="SLZ30" s="109"/>
      <c r="SMA30" s="109"/>
      <c r="SMB30" s="109"/>
      <c r="SMC30" s="109"/>
      <c r="SMD30" s="109"/>
      <c r="SME30" s="109"/>
      <c r="SMF30" s="109"/>
      <c r="SMG30" s="109"/>
      <c r="SMH30" s="109"/>
      <c r="SMI30" s="109"/>
      <c r="SMJ30" s="109"/>
      <c r="SMK30" s="109"/>
      <c r="SML30" s="109"/>
      <c r="SMM30" s="109"/>
      <c r="SMN30" s="109"/>
      <c r="SMO30" s="109"/>
      <c r="SMP30" s="109"/>
      <c r="SMQ30" s="109"/>
      <c r="SMR30" s="109"/>
      <c r="SMS30" s="109"/>
      <c r="SMT30" s="109"/>
      <c r="SMU30" s="109"/>
      <c r="SMV30" s="109"/>
      <c r="SMW30" s="109"/>
      <c r="SMX30" s="109"/>
      <c r="SMY30" s="109"/>
      <c r="SMZ30" s="109"/>
      <c r="SNA30" s="109"/>
      <c r="SNB30" s="109"/>
      <c r="SNC30" s="109"/>
      <c r="SND30" s="109"/>
      <c r="SNE30" s="109"/>
      <c r="SNF30" s="109"/>
      <c r="SNG30" s="109"/>
      <c r="SNH30" s="109"/>
      <c r="SNI30" s="109"/>
      <c r="SNJ30" s="109"/>
      <c r="SNK30" s="109"/>
      <c r="SNL30" s="109"/>
      <c r="SNM30" s="109"/>
      <c r="SNN30" s="109"/>
      <c r="SNO30" s="109"/>
      <c r="SNP30" s="109"/>
      <c r="SNQ30" s="109"/>
      <c r="SNR30" s="109"/>
      <c r="SNS30" s="109"/>
      <c r="SNT30" s="109"/>
      <c r="SNU30" s="109"/>
      <c r="SNV30" s="109"/>
      <c r="SNW30" s="109"/>
      <c r="SNX30" s="109"/>
      <c r="SNY30" s="109"/>
      <c r="SNZ30" s="109"/>
      <c r="SOA30" s="109"/>
      <c r="SOB30" s="109"/>
      <c r="SOC30" s="109"/>
      <c r="SOD30" s="109"/>
      <c r="SOE30" s="109"/>
      <c r="SOF30" s="109"/>
      <c r="SOG30" s="109"/>
      <c r="SOH30" s="109"/>
      <c r="SOI30" s="109"/>
      <c r="SOJ30" s="109"/>
      <c r="SOK30" s="109"/>
      <c r="SOL30" s="109"/>
      <c r="SOM30" s="109"/>
      <c r="SON30" s="109"/>
      <c r="SOO30" s="109"/>
      <c r="SOP30" s="109"/>
      <c r="SOQ30" s="109"/>
      <c r="SOR30" s="109"/>
      <c r="SOS30" s="109"/>
      <c r="SOT30" s="109"/>
      <c r="SOU30" s="109"/>
      <c r="SOV30" s="109"/>
      <c r="SOW30" s="109"/>
      <c r="SOX30" s="109"/>
      <c r="SOY30" s="109"/>
      <c r="SOZ30" s="109"/>
      <c r="SPA30" s="109"/>
      <c r="SPB30" s="109"/>
      <c r="SPC30" s="109"/>
      <c r="SPD30" s="109"/>
      <c r="SPE30" s="109"/>
      <c r="SPF30" s="109"/>
      <c r="SPG30" s="109"/>
      <c r="SPH30" s="109"/>
      <c r="SPI30" s="109"/>
      <c r="SPJ30" s="109"/>
      <c r="SPK30" s="109"/>
      <c r="SPL30" s="109"/>
      <c r="SPM30" s="109"/>
      <c r="SPN30" s="109"/>
      <c r="SPO30" s="109"/>
      <c r="SPP30" s="109"/>
      <c r="SPQ30" s="109"/>
      <c r="SPR30" s="109"/>
      <c r="SPS30" s="109"/>
      <c r="SPT30" s="109"/>
      <c r="SPU30" s="109"/>
      <c r="SPV30" s="109"/>
      <c r="SPW30" s="109"/>
      <c r="SPX30" s="109"/>
      <c r="SPY30" s="109"/>
      <c r="SPZ30" s="109"/>
      <c r="SQA30" s="109"/>
      <c r="SQB30" s="109"/>
      <c r="SQC30" s="109"/>
      <c r="SQD30" s="109"/>
      <c r="SQE30" s="109"/>
      <c r="SQF30" s="109"/>
      <c r="SQG30" s="109"/>
      <c r="SQH30" s="109"/>
      <c r="SQI30" s="109"/>
      <c r="SQJ30" s="109"/>
      <c r="SQK30" s="109"/>
      <c r="SQL30" s="109"/>
      <c r="SQM30" s="109"/>
      <c r="SQN30" s="109"/>
      <c r="SQO30" s="109"/>
      <c r="SQP30" s="109"/>
      <c r="SQQ30" s="109"/>
      <c r="SQR30" s="109"/>
      <c r="SQS30" s="109"/>
      <c r="SQT30" s="109"/>
      <c r="SQU30" s="109"/>
      <c r="SQV30" s="109"/>
      <c r="SQW30" s="109"/>
      <c r="SQX30" s="109"/>
      <c r="SQY30" s="109"/>
      <c r="SQZ30" s="109"/>
      <c r="SRA30" s="109"/>
      <c r="SRB30" s="109"/>
      <c r="SRC30" s="109"/>
      <c r="SRD30" s="109"/>
      <c r="SRE30" s="109"/>
      <c r="SRF30" s="109"/>
      <c r="SRG30" s="109"/>
      <c r="SRH30" s="109"/>
      <c r="SRI30" s="109"/>
      <c r="SRJ30" s="109"/>
      <c r="SRK30" s="109"/>
      <c r="SRL30" s="109"/>
      <c r="SRM30" s="109"/>
      <c r="SRN30" s="109"/>
      <c r="SRO30" s="109"/>
      <c r="SRP30" s="109"/>
      <c r="SRQ30" s="109"/>
      <c r="SRR30" s="109"/>
      <c r="SRS30" s="109"/>
      <c r="SRT30" s="109"/>
      <c r="SRU30" s="109"/>
      <c r="SRV30" s="109"/>
      <c r="SRW30" s="109"/>
      <c r="SRX30" s="109"/>
      <c r="SRY30" s="109"/>
      <c r="SRZ30" s="109"/>
      <c r="SSA30" s="109"/>
      <c r="SSB30" s="109"/>
      <c r="SSC30" s="109"/>
      <c r="SSD30" s="109"/>
      <c r="SSE30" s="109"/>
      <c r="SSF30" s="109"/>
      <c r="SSG30" s="109"/>
      <c r="SSH30" s="109"/>
      <c r="SSI30" s="109"/>
      <c r="SSJ30" s="109"/>
      <c r="SSK30" s="109"/>
      <c r="SSL30" s="109"/>
      <c r="SSM30" s="109"/>
      <c r="SSN30" s="109"/>
      <c r="SSO30" s="109"/>
      <c r="SSP30" s="109"/>
      <c r="SSQ30" s="109"/>
      <c r="SSR30" s="109"/>
      <c r="SSS30" s="109"/>
      <c r="SST30" s="109"/>
      <c r="SSU30" s="109"/>
      <c r="SSV30" s="109"/>
      <c r="SSW30" s="109"/>
      <c r="SSX30" s="109"/>
      <c r="SSY30" s="109"/>
      <c r="SSZ30" s="109"/>
      <c r="STA30" s="109"/>
      <c r="STB30" s="109"/>
      <c r="STC30" s="109"/>
      <c r="STD30" s="109"/>
      <c r="STE30" s="109"/>
      <c r="STF30" s="109"/>
      <c r="STG30" s="109"/>
      <c r="STH30" s="109"/>
      <c r="STI30" s="109"/>
      <c r="STJ30" s="109"/>
      <c r="STK30" s="109"/>
      <c r="STL30" s="109"/>
      <c r="STM30" s="109"/>
      <c r="STN30" s="109"/>
      <c r="STO30" s="109"/>
      <c r="STP30" s="109"/>
      <c r="STQ30" s="109"/>
      <c r="STR30" s="109"/>
      <c r="STS30" s="109"/>
      <c r="STT30" s="109"/>
      <c r="STU30" s="109"/>
      <c r="STV30" s="109"/>
      <c r="STW30" s="109"/>
      <c r="STX30" s="109"/>
      <c r="STY30" s="109"/>
      <c r="STZ30" s="109"/>
      <c r="SUA30" s="109"/>
      <c r="SUB30" s="109"/>
      <c r="SUC30" s="109"/>
      <c r="SUD30" s="109"/>
      <c r="SUE30" s="109"/>
      <c r="SUF30" s="109"/>
      <c r="SUG30" s="109"/>
      <c r="SUH30" s="109"/>
      <c r="SUI30" s="109"/>
      <c r="SUJ30" s="109"/>
      <c r="SUK30" s="109"/>
      <c r="SUL30" s="109"/>
      <c r="SUM30" s="109"/>
      <c r="SUN30" s="109"/>
      <c r="SUO30" s="109"/>
      <c r="SUP30" s="109"/>
      <c r="SUQ30" s="109"/>
      <c r="SUR30" s="109"/>
      <c r="SUS30" s="109"/>
      <c r="SUT30" s="109"/>
      <c r="SUU30" s="109"/>
      <c r="SUV30" s="109"/>
      <c r="SUW30" s="109"/>
      <c r="SUX30" s="109"/>
      <c r="SUY30" s="109"/>
      <c r="SUZ30" s="109"/>
      <c r="SVA30" s="109"/>
      <c r="SVB30" s="109"/>
      <c r="SVC30" s="109"/>
      <c r="SVD30" s="109"/>
      <c r="SVE30" s="109"/>
      <c r="SVF30" s="109"/>
      <c r="SVG30" s="109"/>
      <c r="SVH30" s="109"/>
      <c r="SVI30" s="109"/>
      <c r="SVJ30" s="109"/>
      <c r="SVK30" s="109"/>
      <c r="SVL30" s="109"/>
      <c r="SVM30" s="109"/>
      <c r="SVN30" s="109"/>
      <c r="SVO30" s="109"/>
      <c r="SVP30" s="109"/>
      <c r="SVQ30" s="109"/>
      <c r="SVR30" s="109"/>
      <c r="SVS30" s="109"/>
      <c r="SVT30" s="109"/>
      <c r="SVU30" s="109"/>
      <c r="SVV30" s="109"/>
      <c r="SVW30" s="109"/>
      <c r="SVX30" s="109"/>
      <c r="SVY30" s="109"/>
      <c r="SVZ30" s="109"/>
      <c r="SWA30" s="109"/>
      <c r="SWB30" s="109"/>
      <c r="SWC30" s="109"/>
      <c r="SWD30" s="109"/>
      <c r="SWE30" s="109"/>
      <c r="SWF30" s="109"/>
      <c r="SWG30" s="109"/>
      <c r="SWH30" s="109"/>
      <c r="SWI30" s="109"/>
      <c r="SWJ30" s="109"/>
      <c r="SWK30" s="109"/>
      <c r="SWL30" s="109"/>
      <c r="SWM30" s="109"/>
      <c r="SWN30" s="109"/>
      <c r="SWO30" s="109"/>
      <c r="SWP30" s="109"/>
      <c r="SWQ30" s="109"/>
      <c r="SWR30" s="109"/>
      <c r="SWS30" s="109"/>
      <c r="SWT30" s="109"/>
      <c r="SWU30" s="109"/>
      <c r="SWV30" s="109"/>
      <c r="SWW30" s="109"/>
      <c r="SWX30" s="109"/>
      <c r="SWY30" s="109"/>
      <c r="SWZ30" s="109"/>
      <c r="SXA30" s="109"/>
      <c r="SXB30" s="109"/>
      <c r="SXC30" s="109"/>
      <c r="SXD30" s="109"/>
      <c r="SXE30" s="109"/>
      <c r="SXF30" s="109"/>
      <c r="SXG30" s="109"/>
      <c r="SXH30" s="109"/>
      <c r="SXI30" s="109"/>
      <c r="SXJ30" s="109"/>
      <c r="SXK30" s="109"/>
      <c r="SXL30" s="109"/>
      <c r="SXM30" s="109"/>
      <c r="SXN30" s="109"/>
      <c r="SXO30" s="109"/>
      <c r="SXP30" s="109"/>
      <c r="SXQ30" s="109"/>
      <c r="SXR30" s="109"/>
      <c r="SXS30" s="109"/>
      <c r="SXT30" s="109"/>
      <c r="SXU30" s="109"/>
      <c r="SXV30" s="109"/>
      <c r="SXW30" s="109"/>
      <c r="SXX30" s="109"/>
      <c r="SXY30" s="109"/>
      <c r="SXZ30" s="109"/>
      <c r="SYA30" s="109"/>
      <c r="SYB30" s="109"/>
      <c r="SYC30" s="109"/>
      <c r="SYD30" s="109"/>
      <c r="SYE30" s="109"/>
      <c r="SYF30" s="109"/>
      <c r="SYG30" s="109"/>
      <c r="SYH30" s="109"/>
      <c r="SYI30" s="109"/>
      <c r="SYJ30" s="109"/>
      <c r="SYK30" s="109"/>
      <c r="SYL30" s="109"/>
      <c r="SYM30" s="109"/>
      <c r="SYN30" s="109"/>
      <c r="SYO30" s="109"/>
      <c r="SYP30" s="109"/>
      <c r="SYQ30" s="109"/>
      <c r="SYR30" s="109"/>
      <c r="SYS30" s="109"/>
      <c r="SYT30" s="109"/>
      <c r="SYU30" s="109"/>
      <c r="SYV30" s="109"/>
      <c r="SYW30" s="109"/>
      <c r="SYX30" s="109"/>
      <c r="SYY30" s="109"/>
      <c r="SYZ30" s="109"/>
      <c r="SZA30" s="109"/>
      <c r="SZB30" s="109"/>
      <c r="SZC30" s="109"/>
      <c r="SZD30" s="109"/>
      <c r="SZE30" s="109"/>
      <c r="SZF30" s="109"/>
      <c r="SZG30" s="109"/>
      <c r="SZH30" s="109"/>
      <c r="SZI30" s="109"/>
      <c r="SZJ30" s="109"/>
      <c r="SZK30" s="109"/>
      <c r="SZL30" s="109"/>
      <c r="SZM30" s="109"/>
      <c r="SZN30" s="109"/>
      <c r="SZO30" s="109"/>
      <c r="SZP30" s="109"/>
      <c r="SZQ30" s="109"/>
      <c r="SZR30" s="109"/>
      <c r="SZS30" s="109"/>
      <c r="SZT30" s="109"/>
      <c r="SZU30" s="109"/>
      <c r="SZV30" s="109"/>
      <c r="SZW30" s="109"/>
      <c r="SZX30" s="109"/>
      <c r="SZY30" s="109"/>
      <c r="SZZ30" s="109"/>
      <c r="TAA30" s="109"/>
      <c r="TAB30" s="109"/>
      <c r="TAC30" s="109"/>
      <c r="TAD30" s="109"/>
      <c r="TAE30" s="109"/>
      <c r="TAF30" s="109"/>
      <c r="TAG30" s="109"/>
      <c r="TAH30" s="109"/>
      <c r="TAI30" s="109"/>
      <c r="TAJ30" s="109"/>
      <c r="TAK30" s="109"/>
      <c r="TAL30" s="109"/>
      <c r="TAM30" s="109"/>
      <c r="TAN30" s="109"/>
      <c r="TAO30" s="109"/>
      <c r="TAP30" s="109"/>
      <c r="TAQ30" s="109"/>
      <c r="TAR30" s="109"/>
      <c r="TAS30" s="109"/>
      <c r="TAT30" s="109"/>
      <c r="TAU30" s="109"/>
      <c r="TAV30" s="109"/>
      <c r="TAW30" s="109"/>
      <c r="TAX30" s="109"/>
      <c r="TAY30" s="109"/>
      <c r="TAZ30" s="109"/>
      <c r="TBA30" s="109"/>
      <c r="TBB30" s="109"/>
      <c r="TBC30" s="109"/>
      <c r="TBD30" s="109"/>
      <c r="TBE30" s="109"/>
      <c r="TBF30" s="109"/>
      <c r="TBG30" s="109"/>
      <c r="TBH30" s="109"/>
      <c r="TBI30" s="109"/>
      <c r="TBJ30" s="109"/>
      <c r="TBK30" s="109"/>
      <c r="TBL30" s="109"/>
      <c r="TBM30" s="109"/>
      <c r="TBN30" s="109"/>
      <c r="TBO30" s="109"/>
      <c r="TBP30" s="109"/>
      <c r="TBQ30" s="109"/>
      <c r="TBR30" s="109"/>
      <c r="TBS30" s="109"/>
      <c r="TBT30" s="109"/>
      <c r="TBU30" s="109"/>
      <c r="TBV30" s="109"/>
      <c r="TBW30" s="109"/>
      <c r="TBX30" s="109"/>
      <c r="TBY30" s="109"/>
      <c r="TBZ30" s="109"/>
      <c r="TCA30" s="109"/>
      <c r="TCB30" s="109"/>
      <c r="TCC30" s="109"/>
      <c r="TCD30" s="109"/>
      <c r="TCE30" s="109"/>
      <c r="TCF30" s="109"/>
      <c r="TCG30" s="109"/>
      <c r="TCH30" s="109"/>
      <c r="TCI30" s="109"/>
      <c r="TCJ30" s="109"/>
      <c r="TCK30" s="109"/>
      <c r="TCL30" s="109"/>
      <c r="TCM30" s="109"/>
      <c r="TCN30" s="109"/>
      <c r="TCO30" s="109"/>
      <c r="TCP30" s="109"/>
      <c r="TCQ30" s="109"/>
      <c r="TCR30" s="109"/>
      <c r="TCS30" s="109"/>
      <c r="TCT30" s="109"/>
      <c r="TCU30" s="109"/>
      <c r="TCV30" s="109"/>
      <c r="TCW30" s="109"/>
      <c r="TCX30" s="109"/>
      <c r="TCY30" s="109"/>
      <c r="TCZ30" s="109"/>
      <c r="TDA30" s="109"/>
      <c r="TDB30" s="109"/>
      <c r="TDC30" s="109"/>
      <c r="TDD30" s="109"/>
      <c r="TDE30" s="109"/>
      <c r="TDF30" s="109"/>
      <c r="TDG30" s="109"/>
      <c r="TDH30" s="109"/>
      <c r="TDI30" s="109"/>
      <c r="TDJ30" s="109"/>
      <c r="TDK30" s="109"/>
      <c r="TDL30" s="109"/>
      <c r="TDM30" s="109"/>
      <c r="TDN30" s="109"/>
      <c r="TDO30" s="109"/>
      <c r="TDP30" s="109"/>
      <c r="TDQ30" s="109"/>
      <c r="TDR30" s="109"/>
      <c r="TDS30" s="109"/>
      <c r="TDT30" s="109"/>
      <c r="TDU30" s="109"/>
      <c r="TDV30" s="109"/>
      <c r="TDW30" s="109"/>
      <c r="TDX30" s="109"/>
      <c r="TDY30" s="109"/>
      <c r="TDZ30" s="109"/>
      <c r="TEA30" s="109"/>
      <c r="TEB30" s="109"/>
      <c r="TEC30" s="109"/>
      <c r="TED30" s="109"/>
      <c r="TEE30" s="109"/>
      <c r="TEF30" s="109"/>
      <c r="TEG30" s="109"/>
      <c r="TEH30" s="109"/>
      <c r="TEI30" s="109"/>
      <c r="TEJ30" s="109"/>
      <c r="TEK30" s="109"/>
      <c r="TEL30" s="109"/>
      <c r="TEM30" s="109"/>
      <c r="TEN30" s="109"/>
      <c r="TEO30" s="109"/>
      <c r="TEP30" s="109"/>
      <c r="TEQ30" s="109"/>
      <c r="TER30" s="109"/>
      <c r="TES30" s="109"/>
      <c r="TET30" s="109"/>
      <c r="TEU30" s="109"/>
      <c r="TEV30" s="109"/>
      <c r="TEW30" s="109"/>
      <c r="TEX30" s="109"/>
      <c r="TEY30" s="109"/>
      <c r="TEZ30" s="109"/>
      <c r="TFA30" s="109"/>
      <c r="TFB30" s="109"/>
      <c r="TFC30" s="109"/>
      <c r="TFD30" s="109"/>
      <c r="TFE30" s="109"/>
      <c r="TFF30" s="109"/>
      <c r="TFG30" s="109"/>
      <c r="TFH30" s="109"/>
      <c r="TFI30" s="109"/>
      <c r="TFJ30" s="109"/>
      <c r="TFK30" s="109"/>
      <c r="TFL30" s="109"/>
      <c r="TFM30" s="109"/>
      <c r="TFN30" s="109"/>
      <c r="TFO30" s="109"/>
      <c r="TFP30" s="109"/>
      <c r="TFQ30" s="109"/>
      <c r="TFR30" s="109"/>
      <c r="TFS30" s="109"/>
      <c r="TFT30" s="109"/>
      <c r="TFU30" s="109"/>
      <c r="TFV30" s="109"/>
      <c r="TFW30" s="109"/>
      <c r="TFX30" s="109"/>
      <c r="TFY30" s="109"/>
      <c r="TFZ30" s="109"/>
      <c r="TGA30" s="109"/>
      <c r="TGB30" s="109"/>
      <c r="TGC30" s="109"/>
      <c r="TGD30" s="109"/>
      <c r="TGE30" s="109"/>
      <c r="TGF30" s="109"/>
      <c r="TGG30" s="109"/>
      <c r="TGH30" s="109"/>
      <c r="TGI30" s="109"/>
      <c r="TGJ30" s="109"/>
      <c r="TGK30" s="109"/>
      <c r="TGL30" s="109"/>
      <c r="TGM30" s="109"/>
      <c r="TGN30" s="109"/>
      <c r="TGO30" s="109"/>
      <c r="TGP30" s="109"/>
      <c r="TGQ30" s="109"/>
      <c r="TGR30" s="109"/>
      <c r="TGS30" s="109"/>
      <c r="TGT30" s="109"/>
      <c r="TGU30" s="109"/>
      <c r="TGV30" s="109"/>
      <c r="TGW30" s="109"/>
      <c r="TGX30" s="109"/>
      <c r="TGY30" s="109"/>
      <c r="TGZ30" s="109"/>
      <c r="THA30" s="109"/>
      <c r="THB30" s="109"/>
      <c r="THC30" s="109"/>
      <c r="THD30" s="109"/>
      <c r="THE30" s="109"/>
      <c r="THF30" s="109"/>
      <c r="THG30" s="109"/>
      <c r="THH30" s="109"/>
      <c r="THI30" s="109"/>
      <c r="THJ30" s="109"/>
      <c r="THK30" s="109"/>
      <c r="THL30" s="109"/>
      <c r="THM30" s="109"/>
      <c r="THN30" s="109"/>
      <c r="THO30" s="109"/>
      <c r="THP30" s="109"/>
      <c r="THQ30" s="109"/>
      <c r="THR30" s="109"/>
      <c r="THS30" s="109"/>
      <c r="THT30" s="109"/>
      <c r="THU30" s="109"/>
      <c r="THV30" s="109"/>
      <c r="THW30" s="109"/>
      <c r="THX30" s="109"/>
      <c r="THY30" s="109"/>
      <c r="THZ30" s="109"/>
      <c r="TIA30" s="109"/>
      <c r="TIB30" s="109"/>
      <c r="TIC30" s="109"/>
      <c r="TID30" s="109"/>
      <c r="TIE30" s="109"/>
      <c r="TIF30" s="109"/>
      <c r="TIG30" s="109"/>
      <c r="TIH30" s="109"/>
      <c r="TII30" s="109"/>
      <c r="TIJ30" s="109"/>
      <c r="TIK30" s="109"/>
      <c r="TIL30" s="109"/>
      <c r="TIM30" s="109"/>
      <c r="TIN30" s="109"/>
      <c r="TIO30" s="109"/>
      <c r="TIP30" s="109"/>
      <c r="TIQ30" s="109"/>
      <c r="TIR30" s="109"/>
      <c r="TIS30" s="109"/>
      <c r="TIT30" s="109"/>
      <c r="TIU30" s="109"/>
      <c r="TIV30" s="109"/>
      <c r="TIW30" s="109"/>
      <c r="TIX30" s="109"/>
      <c r="TIY30" s="109"/>
      <c r="TIZ30" s="109"/>
      <c r="TJA30" s="109"/>
      <c r="TJB30" s="109"/>
      <c r="TJC30" s="109"/>
      <c r="TJD30" s="109"/>
      <c r="TJE30" s="109"/>
      <c r="TJF30" s="109"/>
      <c r="TJG30" s="109"/>
      <c r="TJH30" s="109"/>
      <c r="TJI30" s="109"/>
      <c r="TJJ30" s="109"/>
      <c r="TJK30" s="109"/>
      <c r="TJL30" s="109"/>
      <c r="TJM30" s="109"/>
      <c r="TJN30" s="109"/>
      <c r="TJO30" s="109"/>
      <c r="TJP30" s="109"/>
      <c r="TJQ30" s="109"/>
      <c r="TJR30" s="109"/>
      <c r="TJS30" s="109"/>
      <c r="TJT30" s="109"/>
      <c r="TJU30" s="109"/>
      <c r="TJV30" s="109"/>
      <c r="TJW30" s="109"/>
      <c r="TJX30" s="109"/>
      <c r="TJY30" s="109"/>
      <c r="TJZ30" s="109"/>
      <c r="TKA30" s="109"/>
      <c r="TKB30" s="109"/>
      <c r="TKC30" s="109"/>
      <c r="TKD30" s="109"/>
      <c r="TKE30" s="109"/>
      <c r="TKF30" s="109"/>
      <c r="TKG30" s="109"/>
      <c r="TKH30" s="109"/>
      <c r="TKI30" s="109"/>
      <c r="TKJ30" s="109"/>
      <c r="TKK30" s="109"/>
      <c r="TKL30" s="109"/>
      <c r="TKM30" s="109"/>
      <c r="TKN30" s="109"/>
      <c r="TKO30" s="109"/>
      <c r="TKP30" s="109"/>
      <c r="TKQ30" s="109"/>
      <c r="TKR30" s="109"/>
      <c r="TKS30" s="109"/>
      <c r="TKT30" s="109"/>
      <c r="TKU30" s="109"/>
      <c r="TKV30" s="109"/>
      <c r="TKW30" s="109"/>
      <c r="TKX30" s="109"/>
      <c r="TKY30" s="109"/>
      <c r="TKZ30" s="109"/>
      <c r="TLA30" s="109"/>
      <c r="TLB30" s="109"/>
      <c r="TLC30" s="109"/>
      <c r="TLD30" s="109"/>
      <c r="TLE30" s="109"/>
      <c r="TLF30" s="109"/>
      <c r="TLG30" s="109"/>
      <c r="TLH30" s="109"/>
      <c r="TLI30" s="109"/>
      <c r="TLJ30" s="109"/>
      <c r="TLK30" s="109"/>
      <c r="TLL30" s="109"/>
      <c r="TLM30" s="109"/>
      <c r="TLN30" s="109"/>
      <c r="TLO30" s="109"/>
      <c r="TLP30" s="109"/>
      <c r="TLQ30" s="109"/>
      <c r="TLR30" s="109"/>
      <c r="TLS30" s="109"/>
      <c r="TLT30" s="109"/>
      <c r="TLU30" s="109"/>
      <c r="TLV30" s="109"/>
      <c r="TLW30" s="109"/>
      <c r="TLX30" s="109"/>
      <c r="TLY30" s="109"/>
      <c r="TLZ30" s="109"/>
      <c r="TMA30" s="109"/>
      <c r="TMB30" s="109"/>
      <c r="TMC30" s="109"/>
      <c r="TMD30" s="109"/>
      <c r="TME30" s="109"/>
      <c r="TMF30" s="109"/>
      <c r="TMG30" s="109"/>
      <c r="TMH30" s="109"/>
      <c r="TMI30" s="109"/>
      <c r="TMJ30" s="109"/>
      <c r="TMK30" s="109"/>
      <c r="TML30" s="109"/>
      <c r="TMM30" s="109"/>
      <c r="TMN30" s="109"/>
      <c r="TMO30" s="109"/>
      <c r="TMP30" s="109"/>
      <c r="TMQ30" s="109"/>
      <c r="TMR30" s="109"/>
      <c r="TMS30" s="109"/>
      <c r="TMT30" s="109"/>
      <c r="TMU30" s="109"/>
      <c r="TMV30" s="109"/>
      <c r="TMW30" s="109"/>
      <c r="TMX30" s="109"/>
      <c r="TMY30" s="109"/>
      <c r="TMZ30" s="109"/>
      <c r="TNA30" s="109"/>
      <c r="TNB30" s="109"/>
      <c r="TNC30" s="109"/>
      <c r="TND30" s="109"/>
      <c r="TNE30" s="109"/>
      <c r="TNF30" s="109"/>
      <c r="TNG30" s="109"/>
      <c r="TNH30" s="109"/>
      <c r="TNI30" s="109"/>
      <c r="TNJ30" s="109"/>
      <c r="TNK30" s="109"/>
      <c r="TNL30" s="109"/>
      <c r="TNM30" s="109"/>
      <c r="TNN30" s="109"/>
      <c r="TNO30" s="109"/>
      <c r="TNP30" s="109"/>
      <c r="TNQ30" s="109"/>
      <c r="TNR30" s="109"/>
      <c r="TNS30" s="109"/>
      <c r="TNT30" s="109"/>
      <c r="TNU30" s="109"/>
      <c r="TNV30" s="109"/>
      <c r="TNW30" s="109"/>
      <c r="TNX30" s="109"/>
      <c r="TNY30" s="109"/>
      <c r="TNZ30" s="109"/>
      <c r="TOA30" s="109"/>
      <c r="TOB30" s="109"/>
      <c r="TOC30" s="109"/>
      <c r="TOD30" s="109"/>
      <c r="TOE30" s="109"/>
      <c r="TOF30" s="109"/>
      <c r="TOG30" s="109"/>
      <c r="TOH30" s="109"/>
      <c r="TOI30" s="109"/>
      <c r="TOJ30" s="109"/>
      <c r="TOK30" s="109"/>
      <c r="TOL30" s="109"/>
      <c r="TOM30" s="109"/>
      <c r="TON30" s="109"/>
      <c r="TOO30" s="109"/>
      <c r="TOP30" s="109"/>
      <c r="TOQ30" s="109"/>
      <c r="TOR30" s="109"/>
      <c r="TOS30" s="109"/>
      <c r="TOT30" s="109"/>
      <c r="TOU30" s="109"/>
      <c r="TOV30" s="109"/>
      <c r="TOW30" s="109"/>
      <c r="TOX30" s="109"/>
      <c r="TOY30" s="109"/>
      <c r="TOZ30" s="109"/>
      <c r="TPA30" s="109"/>
      <c r="TPB30" s="109"/>
      <c r="TPC30" s="109"/>
      <c r="TPD30" s="109"/>
      <c r="TPE30" s="109"/>
      <c r="TPF30" s="109"/>
      <c r="TPG30" s="109"/>
      <c r="TPH30" s="109"/>
      <c r="TPI30" s="109"/>
      <c r="TPJ30" s="109"/>
      <c r="TPK30" s="109"/>
      <c r="TPL30" s="109"/>
      <c r="TPM30" s="109"/>
      <c r="TPN30" s="109"/>
      <c r="TPO30" s="109"/>
      <c r="TPP30" s="109"/>
      <c r="TPQ30" s="109"/>
      <c r="TPR30" s="109"/>
      <c r="TPS30" s="109"/>
      <c r="TPT30" s="109"/>
      <c r="TPU30" s="109"/>
      <c r="TPV30" s="109"/>
      <c r="TPW30" s="109"/>
      <c r="TPX30" s="109"/>
      <c r="TPY30" s="109"/>
      <c r="TPZ30" s="109"/>
      <c r="TQA30" s="109"/>
      <c r="TQB30" s="109"/>
      <c r="TQC30" s="109"/>
      <c r="TQD30" s="109"/>
      <c r="TQE30" s="109"/>
      <c r="TQF30" s="109"/>
      <c r="TQG30" s="109"/>
      <c r="TQH30" s="109"/>
      <c r="TQI30" s="109"/>
      <c r="TQJ30" s="109"/>
      <c r="TQK30" s="109"/>
      <c r="TQL30" s="109"/>
      <c r="TQM30" s="109"/>
      <c r="TQN30" s="109"/>
      <c r="TQO30" s="109"/>
      <c r="TQP30" s="109"/>
      <c r="TQQ30" s="109"/>
      <c r="TQR30" s="109"/>
      <c r="TQS30" s="109"/>
      <c r="TQT30" s="109"/>
      <c r="TQU30" s="109"/>
      <c r="TQV30" s="109"/>
      <c r="TQW30" s="109"/>
      <c r="TQX30" s="109"/>
      <c r="TQY30" s="109"/>
      <c r="TQZ30" s="109"/>
      <c r="TRA30" s="109"/>
      <c r="TRB30" s="109"/>
      <c r="TRC30" s="109"/>
      <c r="TRD30" s="109"/>
      <c r="TRE30" s="109"/>
      <c r="TRF30" s="109"/>
      <c r="TRG30" s="109"/>
      <c r="TRH30" s="109"/>
      <c r="TRI30" s="109"/>
      <c r="TRJ30" s="109"/>
      <c r="TRK30" s="109"/>
      <c r="TRL30" s="109"/>
      <c r="TRM30" s="109"/>
      <c r="TRN30" s="109"/>
      <c r="TRO30" s="109"/>
      <c r="TRP30" s="109"/>
      <c r="TRQ30" s="109"/>
      <c r="TRR30" s="109"/>
      <c r="TRS30" s="109"/>
      <c r="TRT30" s="109"/>
      <c r="TRU30" s="109"/>
      <c r="TRV30" s="109"/>
      <c r="TRW30" s="109"/>
      <c r="TRX30" s="109"/>
      <c r="TRY30" s="109"/>
      <c r="TRZ30" s="109"/>
      <c r="TSA30" s="109"/>
      <c r="TSB30" s="109"/>
      <c r="TSC30" s="109"/>
      <c r="TSD30" s="109"/>
      <c r="TSE30" s="109"/>
      <c r="TSF30" s="109"/>
      <c r="TSG30" s="109"/>
      <c r="TSH30" s="109"/>
      <c r="TSI30" s="109"/>
      <c r="TSJ30" s="109"/>
      <c r="TSK30" s="109"/>
      <c r="TSL30" s="109"/>
      <c r="TSM30" s="109"/>
      <c r="TSN30" s="109"/>
      <c r="TSO30" s="109"/>
      <c r="TSP30" s="109"/>
      <c r="TSQ30" s="109"/>
      <c r="TSR30" s="109"/>
      <c r="TSS30" s="109"/>
      <c r="TST30" s="109"/>
      <c r="TSU30" s="109"/>
      <c r="TSV30" s="109"/>
      <c r="TSW30" s="109"/>
      <c r="TSX30" s="109"/>
      <c r="TSY30" s="109"/>
      <c r="TSZ30" s="109"/>
      <c r="TTA30" s="109"/>
      <c r="TTB30" s="109"/>
      <c r="TTC30" s="109"/>
      <c r="TTD30" s="109"/>
      <c r="TTE30" s="109"/>
      <c r="TTF30" s="109"/>
      <c r="TTG30" s="109"/>
      <c r="TTH30" s="109"/>
      <c r="TTI30" s="109"/>
      <c r="TTJ30" s="109"/>
      <c r="TTK30" s="109"/>
      <c r="TTL30" s="109"/>
      <c r="TTM30" s="109"/>
      <c r="TTN30" s="109"/>
      <c r="TTO30" s="109"/>
      <c r="TTP30" s="109"/>
      <c r="TTQ30" s="109"/>
      <c r="TTR30" s="109"/>
      <c r="TTS30" s="109"/>
      <c r="TTT30" s="109"/>
      <c r="TTU30" s="109"/>
      <c r="TTV30" s="109"/>
      <c r="TTW30" s="109"/>
      <c r="TTX30" s="109"/>
      <c r="TTY30" s="109"/>
      <c r="TTZ30" s="109"/>
      <c r="TUA30" s="109"/>
      <c r="TUB30" s="109"/>
      <c r="TUC30" s="109"/>
      <c r="TUD30" s="109"/>
      <c r="TUE30" s="109"/>
      <c r="TUF30" s="109"/>
      <c r="TUG30" s="109"/>
      <c r="TUH30" s="109"/>
      <c r="TUI30" s="109"/>
      <c r="TUJ30" s="109"/>
      <c r="TUK30" s="109"/>
      <c r="TUL30" s="109"/>
      <c r="TUM30" s="109"/>
      <c r="TUN30" s="109"/>
      <c r="TUO30" s="109"/>
      <c r="TUP30" s="109"/>
      <c r="TUQ30" s="109"/>
      <c r="TUR30" s="109"/>
      <c r="TUS30" s="109"/>
      <c r="TUT30" s="109"/>
      <c r="TUU30" s="109"/>
      <c r="TUV30" s="109"/>
      <c r="TUW30" s="109"/>
      <c r="TUX30" s="109"/>
      <c r="TUY30" s="109"/>
      <c r="TUZ30" s="109"/>
      <c r="TVA30" s="109"/>
      <c r="TVB30" s="109"/>
      <c r="TVC30" s="109"/>
      <c r="TVD30" s="109"/>
      <c r="TVE30" s="109"/>
      <c r="TVF30" s="109"/>
      <c r="TVG30" s="109"/>
      <c r="TVH30" s="109"/>
      <c r="TVI30" s="109"/>
      <c r="TVJ30" s="109"/>
      <c r="TVK30" s="109"/>
      <c r="TVL30" s="109"/>
      <c r="TVM30" s="109"/>
      <c r="TVN30" s="109"/>
      <c r="TVO30" s="109"/>
      <c r="TVP30" s="109"/>
      <c r="TVQ30" s="109"/>
      <c r="TVR30" s="109"/>
      <c r="TVS30" s="109"/>
      <c r="TVT30" s="109"/>
      <c r="TVU30" s="109"/>
      <c r="TVV30" s="109"/>
      <c r="TVW30" s="109"/>
      <c r="TVX30" s="109"/>
      <c r="TVY30" s="109"/>
      <c r="TVZ30" s="109"/>
      <c r="TWA30" s="109"/>
      <c r="TWB30" s="109"/>
      <c r="TWC30" s="109"/>
      <c r="TWD30" s="109"/>
      <c r="TWE30" s="109"/>
      <c r="TWF30" s="109"/>
      <c r="TWG30" s="109"/>
      <c r="TWH30" s="109"/>
      <c r="TWI30" s="109"/>
      <c r="TWJ30" s="109"/>
      <c r="TWK30" s="109"/>
      <c r="TWL30" s="109"/>
      <c r="TWM30" s="109"/>
      <c r="TWN30" s="109"/>
      <c r="TWO30" s="109"/>
      <c r="TWP30" s="109"/>
      <c r="TWQ30" s="109"/>
      <c r="TWR30" s="109"/>
      <c r="TWS30" s="109"/>
      <c r="TWT30" s="109"/>
      <c r="TWU30" s="109"/>
      <c r="TWV30" s="109"/>
      <c r="TWW30" s="109"/>
      <c r="TWX30" s="109"/>
      <c r="TWY30" s="109"/>
      <c r="TWZ30" s="109"/>
      <c r="TXA30" s="109"/>
      <c r="TXB30" s="109"/>
      <c r="TXC30" s="109"/>
      <c r="TXD30" s="109"/>
      <c r="TXE30" s="109"/>
      <c r="TXF30" s="109"/>
      <c r="TXG30" s="109"/>
      <c r="TXH30" s="109"/>
      <c r="TXI30" s="109"/>
      <c r="TXJ30" s="109"/>
      <c r="TXK30" s="109"/>
      <c r="TXL30" s="109"/>
      <c r="TXM30" s="109"/>
      <c r="TXN30" s="109"/>
      <c r="TXO30" s="109"/>
      <c r="TXP30" s="109"/>
      <c r="TXQ30" s="109"/>
      <c r="TXR30" s="109"/>
      <c r="TXS30" s="109"/>
      <c r="TXT30" s="109"/>
      <c r="TXU30" s="109"/>
      <c r="TXV30" s="109"/>
      <c r="TXW30" s="109"/>
      <c r="TXX30" s="109"/>
      <c r="TXY30" s="109"/>
      <c r="TXZ30" s="109"/>
      <c r="TYA30" s="109"/>
      <c r="TYB30" s="109"/>
      <c r="TYC30" s="109"/>
      <c r="TYD30" s="109"/>
      <c r="TYE30" s="109"/>
      <c r="TYF30" s="109"/>
      <c r="TYG30" s="109"/>
      <c r="TYH30" s="109"/>
      <c r="TYI30" s="109"/>
      <c r="TYJ30" s="109"/>
      <c r="TYK30" s="109"/>
      <c r="TYL30" s="109"/>
      <c r="TYM30" s="109"/>
      <c r="TYN30" s="109"/>
      <c r="TYO30" s="109"/>
      <c r="TYP30" s="109"/>
      <c r="TYQ30" s="109"/>
      <c r="TYR30" s="109"/>
      <c r="TYS30" s="109"/>
      <c r="TYT30" s="109"/>
      <c r="TYU30" s="109"/>
      <c r="TYV30" s="109"/>
      <c r="TYW30" s="109"/>
      <c r="TYX30" s="109"/>
      <c r="TYY30" s="109"/>
      <c r="TYZ30" s="109"/>
      <c r="TZA30" s="109"/>
      <c r="TZB30" s="109"/>
      <c r="TZC30" s="109"/>
      <c r="TZD30" s="109"/>
      <c r="TZE30" s="109"/>
      <c r="TZF30" s="109"/>
      <c r="TZG30" s="109"/>
      <c r="TZH30" s="109"/>
      <c r="TZI30" s="109"/>
      <c r="TZJ30" s="109"/>
      <c r="TZK30" s="109"/>
      <c r="TZL30" s="109"/>
      <c r="TZM30" s="109"/>
      <c r="TZN30" s="109"/>
      <c r="TZO30" s="109"/>
      <c r="TZP30" s="109"/>
      <c r="TZQ30" s="109"/>
      <c r="TZR30" s="109"/>
      <c r="TZS30" s="109"/>
      <c r="TZT30" s="109"/>
      <c r="TZU30" s="109"/>
      <c r="TZV30" s="109"/>
      <c r="TZW30" s="109"/>
      <c r="TZX30" s="109"/>
      <c r="TZY30" s="109"/>
      <c r="TZZ30" s="109"/>
      <c r="UAA30" s="109"/>
      <c r="UAB30" s="109"/>
      <c r="UAC30" s="109"/>
      <c r="UAD30" s="109"/>
      <c r="UAE30" s="109"/>
      <c r="UAF30" s="109"/>
      <c r="UAG30" s="109"/>
      <c r="UAH30" s="109"/>
      <c r="UAI30" s="109"/>
      <c r="UAJ30" s="109"/>
      <c r="UAK30" s="109"/>
      <c r="UAL30" s="109"/>
      <c r="UAM30" s="109"/>
      <c r="UAN30" s="109"/>
      <c r="UAO30" s="109"/>
      <c r="UAP30" s="109"/>
      <c r="UAQ30" s="109"/>
      <c r="UAR30" s="109"/>
      <c r="UAS30" s="109"/>
      <c r="UAT30" s="109"/>
      <c r="UAU30" s="109"/>
      <c r="UAV30" s="109"/>
      <c r="UAW30" s="109"/>
      <c r="UAX30" s="109"/>
      <c r="UAY30" s="109"/>
      <c r="UAZ30" s="109"/>
      <c r="UBA30" s="109"/>
      <c r="UBB30" s="109"/>
      <c r="UBC30" s="109"/>
      <c r="UBD30" s="109"/>
      <c r="UBE30" s="109"/>
      <c r="UBF30" s="109"/>
      <c r="UBG30" s="109"/>
      <c r="UBH30" s="109"/>
      <c r="UBI30" s="109"/>
      <c r="UBJ30" s="109"/>
      <c r="UBK30" s="109"/>
      <c r="UBL30" s="109"/>
      <c r="UBM30" s="109"/>
      <c r="UBN30" s="109"/>
      <c r="UBO30" s="109"/>
      <c r="UBP30" s="109"/>
      <c r="UBQ30" s="109"/>
      <c r="UBR30" s="109"/>
      <c r="UBS30" s="109"/>
      <c r="UBT30" s="109"/>
      <c r="UBU30" s="109"/>
      <c r="UBV30" s="109"/>
      <c r="UBW30" s="109"/>
      <c r="UBX30" s="109"/>
      <c r="UBY30" s="109"/>
      <c r="UBZ30" s="109"/>
      <c r="UCA30" s="109"/>
      <c r="UCB30" s="109"/>
      <c r="UCC30" s="109"/>
      <c r="UCD30" s="109"/>
      <c r="UCE30" s="109"/>
      <c r="UCF30" s="109"/>
      <c r="UCG30" s="109"/>
      <c r="UCH30" s="109"/>
      <c r="UCI30" s="109"/>
      <c r="UCJ30" s="109"/>
      <c r="UCK30" s="109"/>
      <c r="UCL30" s="109"/>
      <c r="UCM30" s="109"/>
      <c r="UCN30" s="109"/>
      <c r="UCO30" s="109"/>
      <c r="UCP30" s="109"/>
      <c r="UCQ30" s="109"/>
      <c r="UCR30" s="109"/>
      <c r="UCS30" s="109"/>
      <c r="UCT30" s="109"/>
      <c r="UCU30" s="109"/>
      <c r="UCV30" s="109"/>
      <c r="UCW30" s="109"/>
      <c r="UCX30" s="109"/>
      <c r="UCY30" s="109"/>
      <c r="UCZ30" s="109"/>
      <c r="UDA30" s="109"/>
      <c r="UDB30" s="109"/>
      <c r="UDC30" s="109"/>
      <c r="UDD30" s="109"/>
      <c r="UDE30" s="109"/>
      <c r="UDF30" s="109"/>
      <c r="UDG30" s="109"/>
      <c r="UDH30" s="109"/>
      <c r="UDI30" s="109"/>
      <c r="UDJ30" s="109"/>
      <c r="UDK30" s="109"/>
      <c r="UDL30" s="109"/>
      <c r="UDM30" s="109"/>
      <c r="UDN30" s="109"/>
      <c r="UDO30" s="109"/>
      <c r="UDP30" s="109"/>
      <c r="UDQ30" s="109"/>
      <c r="UDR30" s="109"/>
      <c r="UDS30" s="109"/>
      <c r="UDT30" s="109"/>
      <c r="UDU30" s="109"/>
      <c r="UDV30" s="109"/>
      <c r="UDW30" s="109"/>
      <c r="UDX30" s="109"/>
      <c r="UDY30" s="109"/>
      <c r="UDZ30" s="109"/>
      <c r="UEA30" s="109"/>
      <c r="UEB30" s="109"/>
      <c r="UEC30" s="109"/>
      <c r="UED30" s="109"/>
      <c r="UEE30" s="109"/>
      <c r="UEF30" s="109"/>
      <c r="UEG30" s="109"/>
      <c r="UEH30" s="109"/>
      <c r="UEI30" s="109"/>
      <c r="UEJ30" s="109"/>
      <c r="UEK30" s="109"/>
      <c r="UEL30" s="109"/>
      <c r="UEM30" s="109"/>
      <c r="UEN30" s="109"/>
      <c r="UEO30" s="109"/>
      <c r="UEP30" s="109"/>
      <c r="UEQ30" s="109"/>
      <c r="UER30" s="109"/>
      <c r="UES30" s="109"/>
      <c r="UET30" s="109"/>
      <c r="UEU30" s="109"/>
      <c r="UEV30" s="109"/>
      <c r="UEW30" s="109"/>
      <c r="UEX30" s="109"/>
      <c r="UEY30" s="109"/>
      <c r="UEZ30" s="109"/>
      <c r="UFA30" s="109"/>
      <c r="UFB30" s="109"/>
      <c r="UFC30" s="109"/>
      <c r="UFD30" s="109"/>
      <c r="UFE30" s="109"/>
      <c r="UFF30" s="109"/>
      <c r="UFG30" s="109"/>
      <c r="UFH30" s="109"/>
      <c r="UFI30" s="109"/>
      <c r="UFJ30" s="109"/>
      <c r="UFK30" s="109"/>
      <c r="UFL30" s="109"/>
      <c r="UFM30" s="109"/>
      <c r="UFN30" s="109"/>
      <c r="UFO30" s="109"/>
      <c r="UFP30" s="109"/>
      <c r="UFQ30" s="109"/>
      <c r="UFR30" s="109"/>
      <c r="UFS30" s="109"/>
      <c r="UFT30" s="109"/>
      <c r="UFU30" s="109"/>
      <c r="UFV30" s="109"/>
      <c r="UFW30" s="109"/>
      <c r="UFX30" s="109"/>
      <c r="UFY30" s="109"/>
      <c r="UFZ30" s="109"/>
      <c r="UGA30" s="109"/>
      <c r="UGB30" s="109"/>
      <c r="UGC30" s="109"/>
      <c r="UGD30" s="109"/>
      <c r="UGE30" s="109"/>
      <c r="UGF30" s="109"/>
      <c r="UGG30" s="109"/>
      <c r="UGH30" s="109"/>
      <c r="UGI30" s="109"/>
      <c r="UGJ30" s="109"/>
      <c r="UGK30" s="109"/>
      <c r="UGL30" s="109"/>
      <c r="UGM30" s="109"/>
      <c r="UGN30" s="109"/>
      <c r="UGO30" s="109"/>
      <c r="UGP30" s="109"/>
      <c r="UGQ30" s="109"/>
      <c r="UGR30" s="109"/>
      <c r="UGS30" s="109"/>
      <c r="UGT30" s="109"/>
      <c r="UGU30" s="109"/>
      <c r="UGV30" s="109"/>
      <c r="UGW30" s="109"/>
      <c r="UGX30" s="109"/>
      <c r="UGY30" s="109"/>
      <c r="UGZ30" s="109"/>
      <c r="UHA30" s="109"/>
      <c r="UHB30" s="109"/>
      <c r="UHC30" s="109"/>
      <c r="UHD30" s="109"/>
      <c r="UHE30" s="109"/>
      <c r="UHF30" s="109"/>
      <c r="UHG30" s="109"/>
      <c r="UHH30" s="109"/>
      <c r="UHI30" s="109"/>
      <c r="UHJ30" s="109"/>
      <c r="UHK30" s="109"/>
      <c r="UHL30" s="109"/>
      <c r="UHM30" s="109"/>
      <c r="UHN30" s="109"/>
      <c r="UHO30" s="109"/>
      <c r="UHP30" s="109"/>
      <c r="UHQ30" s="109"/>
      <c r="UHR30" s="109"/>
      <c r="UHS30" s="109"/>
      <c r="UHT30" s="109"/>
      <c r="UHU30" s="109"/>
      <c r="UHV30" s="109"/>
      <c r="UHW30" s="109"/>
      <c r="UHX30" s="109"/>
      <c r="UHY30" s="109"/>
      <c r="UHZ30" s="109"/>
      <c r="UIA30" s="109"/>
      <c r="UIB30" s="109"/>
      <c r="UIC30" s="109"/>
      <c r="UID30" s="109"/>
      <c r="UIE30" s="109"/>
      <c r="UIF30" s="109"/>
      <c r="UIG30" s="109"/>
      <c r="UIH30" s="109"/>
      <c r="UII30" s="109"/>
      <c r="UIJ30" s="109"/>
      <c r="UIK30" s="109"/>
      <c r="UIL30" s="109"/>
      <c r="UIM30" s="109"/>
      <c r="UIN30" s="109"/>
      <c r="UIO30" s="109"/>
      <c r="UIP30" s="109"/>
      <c r="UIQ30" s="109"/>
      <c r="UIR30" s="109"/>
      <c r="UIS30" s="109"/>
      <c r="UIT30" s="109"/>
      <c r="UIU30" s="109"/>
      <c r="UIV30" s="109"/>
      <c r="UIW30" s="109"/>
      <c r="UIX30" s="109"/>
      <c r="UIY30" s="109"/>
      <c r="UIZ30" s="109"/>
      <c r="UJA30" s="109"/>
      <c r="UJB30" s="109"/>
      <c r="UJC30" s="109"/>
      <c r="UJD30" s="109"/>
      <c r="UJE30" s="109"/>
      <c r="UJF30" s="109"/>
      <c r="UJG30" s="109"/>
      <c r="UJH30" s="109"/>
      <c r="UJI30" s="109"/>
      <c r="UJJ30" s="109"/>
      <c r="UJK30" s="109"/>
      <c r="UJL30" s="109"/>
      <c r="UJM30" s="109"/>
      <c r="UJN30" s="109"/>
      <c r="UJO30" s="109"/>
      <c r="UJP30" s="109"/>
      <c r="UJQ30" s="109"/>
      <c r="UJR30" s="109"/>
      <c r="UJS30" s="109"/>
      <c r="UJT30" s="109"/>
      <c r="UJU30" s="109"/>
      <c r="UJV30" s="109"/>
      <c r="UJW30" s="109"/>
      <c r="UJX30" s="109"/>
      <c r="UJY30" s="109"/>
      <c r="UJZ30" s="109"/>
      <c r="UKA30" s="109"/>
      <c r="UKB30" s="109"/>
      <c r="UKC30" s="109"/>
      <c r="UKD30" s="109"/>
      <c r="UKE30" s="109"/>
      <c r="UKF30" s="109"/>
      <c r="UKG30" s="109"/>
      <c r="UKH30" s="109"/>
      <c r="UKI30" s="109"/>
      <c r="UKJ30" s="109"/>
      <c r="UKK30" s="109"/>
      <c r="UKL30" s="109"/>
      <c r="UKM30" s="109"/>
      <c r="UKN30" s="109"/>
      <c r="UKO30" s="109"/>
      <c r="UKP30" s="109"/>
      <c r="UKQ30" s="109"/>
      <c r="UKR30" s="109"/>
      <c r="UKS30" s="109"/>
      <c r="UKT30" s="109"/>
      <c r="UKU30" s="109"/>
      <c r="UKV30" s="109"/>
      <c r="UKW30" s="109"/>
      <c r="UKX30" s="109"/>
      <c r="UKY30" s="109"/>
      <c r="UKZ30" s="109"/>
      <c r="ULA30" s="109"/>
      <c r="ULB30" s="109"/>
      <c r="ULC30" s="109"/>
      <c r="ULD30" s="109"/>
      <c r="ULE30" s="109"/>
      <c r="ULF30" s="109"/>
      <c r="ULG30" s="109"/>
      <c r="ULH30" s="109"/>
      <c r="ULI30" s="109"/>
      <c r="ULJ30" s="109"/>
      <c r="ULK30" s="109"/>
      <c r="ULL30" s="109"/>
      <c r="ULM30" s="109"/>
      <c r="ULN30" s="109"/>
      <c r="ULO30" s="109"/>
      <c r="ULP30" s="109"/>
      <c r="ULQ30" s="109"/>
      <c r="ULR30" s="109"/>
      <c r="ULS30" s="109"/>
      <c r="ULT30" s="109"/>
      <c r="ULU30" s="109"/>
      <c r="ULV30" s="109"/>
      <c r="ULW30" s="109"/>
      <c r="ULX30" s="109"/>
      <c r="ULY30" s="109"/>
      <c r="ULZ30" s="109"/>
      <c r="UMA30" s="109"/>
      <c r="UMB30" s="109"/>
      <c r="UMC30" s="109"/>
      <c r="UMD30" s="109"/>
      <c r="UME30" s="109"/>
      <c r="UMF30" s="109"/>
      <c r="UMG30" s="109"/>
      <c r="UMH30" s="109"/>
      <c r="UMI30" s="109"/>
      <c r="UMJ30" s="109"/>
      <c r="UMK30" s="109"/>
      <c r="UML30" s="109"/>
      <c r="UMM30" s="109"/>
      <c r="UMN30" s="109"/>
      <c r="UMO30" s="109"/>
      <c r="UMP30" s="109"/>
      <c r="UMQ30" s="109"/>
      <c r="UMR30" s="109"/>
      <c r="UMS30" s="109"/>
      <c r="UMT30" s="109"/>
      <c r="UMU30" s="109"/>
      <c r="UMV30" s="109"/>
      <c r="UMW30" s="109"/>
      <c r="UMX30" s="109"/>
      <c r="UMY30" s="109"/>
      <c r="UMZ30" s="109"/>
      <c r="UNA30" s="109"/>
      <c r="UNB30" s="109"/>
      <c r="UNC30" s="109"/>
      <c r="UND30" s="109"/>
      <c r="UNE30" s="109"/>
      <c r="UNF30" s="109"/>
      <c r="UNG30" s="109"/>
      <c r="UNH30" s="109"/>
      <c r="UNI30" s="109"/>
      <c r="UNJ30" s="109"/>
      <c r="UNK30" s="109"/>
      <c r="UNL30" s="109"/>
      <c r="UNM30" s="109"/>
      <c r="UNN30" s="109"/>
      <c r="UNO30" s="109"/>
      <c r="UNP30" s="109"/>
      <c r="UNQ30" s="109"/>
      <c r="UNR30" s="109"/>
      <c r="UNS30" s="109"/>
      <c r="UNT30" s="109"/>
      <c r="UNU30" s="109"/>
      <c r="UNV30" s="109"/>
      <c r="UNW30" s="109"/>
      <c r="UNX30" s="109"/>
      <c r="UNY30" s="109"/>
      <c r="UNZ30" s="109"/>
      <c r="UOA30" s="109"/>
      <c r="UOB30" s="109"/>
      <c r="UOC30" s="109"/>
      <c r="UOD30" s="109"/>
      <c r="UOE30" s="109"/>
      <c r="UOF30" s="109"/>
      <c r="UOG30" s="109"/>
      <c r="UOH30" s="109"/>
      <c r="UOI30" s="109"/>
      <c r="UOJ30" s="109"/>
      <c r="UOK30" s="109"/>
      <c r="UOL30" s="109"/>
      <c r="UOM30" s="109"/>
      <c r="UON30" s="109"/>
      <c r="UOO30" s="109"/>
      <c r="UOP30" s="109"/>
      <c r="UOQ30" s="109"/>
      <c r="UOR30" s="109"/>
      <c r="UOS30" s="109"/>
      <c r="UOT30" s="109"/>
      <c r="UOU30" s="109"/>
      <c r="UOV30" s="109"/>
      <c r="UOW30" s="109"/>
      <c r="UOX30" s="109"/>
      <c r="UOY30" s="109"/>
      <c r="UOZ30" s="109"/>
      <c r="UPA30" s="109"/>
      <c r="UPB30" s="109"/>
      <c r="UPC30" s="109"/>
      <c r="UPD30" s="109"/>
      <c r="UPE30" s="109"/>
      <c r="UPF30" s="109"/>
      <c r="UPG30" s="109"/>
      <c r="UPH30" s="109"/>
      <c r="UPI30" s="109"/>
      <c r="UPJ30" s="109"/>
      <c r="UPK30" s="109"/>
      <c r="UPL30" s="109"/>
      <c r="UPM30" s="109"/>
      <c r="UPN30" s="109"/>
      <c r="UPO30" s="109"/>
      <c r="UPP30" s="109"/>
      <c r="UPQ30" s="109"/>
      <c r="UPR30" s="109"/>
      <c r="UPS30" s="109"/>
      <c r="UPT30" s="109"/>
      <c r="UPU30" s="109"/>
      <c r="UPV30" s="109"/>
      <c r="UPW30" s="109"/>
      <c r="UPX30" s="109"/>
      <c r="UPY30" s="109"/>
      <c r="UPZ30" s="109"/>
      <c r="UQA30" s="109"/>
      <c r="UQB30" s="109"/>
      <c r="UQC30" s="109"/>
      <c r="UQD30" s="109"/>
      <c r="UQE30" s="109"/>
      <c r="UQF30" s="109"/>
      <c r="UQG30" s="109"/>
      <c r="UQH30" s="109"/>
      <c r="UQI30" s="109"/>
      <c r="UQJ30" s="109"/>
      <c r="UQK30" s="109"/>
      <c r="UQL30" s="109"/>
      <c r="UQM30" s="109"/>
      <c r="UQN30" s="109"/>
      <c r="UQO30" s="109"/>
      <c r="UQP30" s="109"/>
      <c r="UQQ30" s="109"/>
      <c r="UQR30" s="109"/>
      <c r="UQS30" s="109"/>
      <c r="UQT30" s="109"/>
      <c r="UQU30" s="109"/>
      <c r="UQV30" s="109"/>
      <c r="UQW30" s="109"/>
      <c r="UQX30" s="109"/>
      <c r="UQY30" s="109"/>
      <c r="UQZ30" s="109"/>
      <c r="URA30" s="109"/>
      <c r="URB30" s="109"/>
      <c r="URC30" s="109"/>
      <c r="URD30" s="109"/>
      <c r="URE30" s="109"/>
      <c r="URF30" s="109"/>
      <c r="URG30" s="109"/>
      <c r="URH30" s="109"/>
      <c r="URI30" s="109"/>
      <c r="URJ30" s="109"/>
      <c r="URK30" s="109"/>
      <c r="URL30" s="109"/>
      <c r="URM30" s="109"/>
      <c r="URN30" s="109"/>
      <c r="URO30" s="109"/>
      <c r="URP30" s="109"/>
      <c r="URQ30" s="109"/>
      <c r="URR30" s="109"/>
      <c r="URS30" s="109"/>
      <c r="URT30" s="109"/>
      <c r="URU30" s="109"/>
      <c r="URV30" s="109"/>
      <c r="URW30" s="109"/>
      <c r="URX30" s="109"/>
      <c r="URY30" s="109"/>
      <c r="URZ30" s="109"/>
      <c r="USA30" s="109"/>
      <c r="USB30" s="109"/>
      <c r="USC30" s="109"/>
      <c r="USD30" s="109"/>
      <c r="USE30" s="109"/>
      <c r="USF30" s="109"/>
      <c r="USG30" s="109"/>
      <c r="USH30" s="109"/>
      <c r="USI30" s="109"/>
      <c r="USJ30" s="109"/>
      <c r="USK30" s="109"/>
      <c r="USL30" s="109"/>
      <c r="USM30" s="109"/>
      <c r="USN30" s="109"/>
      <c r="USO30" s="109"/>
      <c r="USP30" s="109"/>
      <c r="USQ30" s="109"/>
      <c r="USR30" s="109"/>
      <c r="USS30" s="109"/>
      <c r="UST30" s="109"/>
      <c r="USU30" s="109"/>
      <c r="USV30" s="109"/>
      <c r="USW30" s="109"/>
      <c r="USX30" s="109"/>
      <c r="USY30" s="109"/>
      <c r="USZ30" s="109"/>
      <c r="UTA30" s="109"/>
      <c r="UTB30" s="109"/>
      <c r="UTC30" s="109"/>
      <c r="UTD30" s="109"/>
      <c r="UTE30" s="109"/>
      <c r="UTF30" s="109"/>
      <c r="UTG30" s="109"/>
      <c r="UTH30" s="109"/>
      <c r="UTI30" s="109"/>
      <c r="UTJ30" s="109"/>
      <c r="UTK30" s="109"/>
      <c r="UTL30" s="109"/>
      <c r="UTM30" s="109"/>
      <c r="UTN30" s="109"/>
      <c r="UTO30" s="109"/>
      <c r="UTP30" s="109"/>
      <c r="UTQ30" s="109"/>
      <c r="UTR30" s="109"/>
      <c r="UTS30" s="109"/>
      <c r="UTT30" s="109"/>
      <c r="UTU30" s="109"/>
      <c r="UTV30" s="109"/>
      <c r="UTW30" s="109"/>
      <c r="UTX30" s="109"/>
      <c r="UTY30" s="109"/>
      <c r="UTZ30" s="109"/>
      <c r="UUA30" s="109"/>
      <c r="UUB30" s="109"/>
      <c r="UUC30" s="109"/>
      <c r="UUD30" s="109"/>
      <c r="UUE30" s="109"/>
      <c r="UUF30" s="109"/>
      <c r="UUG30" s="109"/>
      <c r="UUH30" s="109"/>
      <c r="UUI30" s="109"/>
      <c r="UUJ30" s="109"/>
      <c r="UUK30" s="109"/>
      <c r="UUL30" s="109"/>
      <c r="UUM30" s="109"/>
      <c r="UUN30" s="109"/>
      <c r="UUO30" s="109"/>
      <c r="UUP30" s="109"/>
      <c r="UUQ30" s="109"/>
      <c r="UUR30" s="109"/>
      <c r="UUS30" s="109"/>
      <c r="UUT30" s="109"/>
      <c r="UUU30" s="109"/>
      <c r="UUV30" s="109"/>
      <c r="UUW30" s="109"/>
      <c r="UUX30" s="109"/>
      <c r="UUY30" s="109"/>
      <c r="UUZ30" s="109"/>
      <c r="UVA30" s="109"/>
      <c r="UVB30" s="109"/>
      <c r="UVC30" s="109"/>
      <c r="UVD30" s="109"/>
      <c r="UVE30" s="109"/>
      <c r="UVF30" s="109"/>
      <c r="UVG30" s="109"/>
      <c r="UVH30" s="109"/>
      <c r="UVI30" s="109"/>
      <c r="UVJ30" s="109"/>
      <c r="UVK30" s="109"/>
      <c r="UVL30" s="109"/>
      <c r="UVM30" s="109"/>
      <c r="UVN30" s="109"/>
      <c r="UVO30" s="109"/>
      <c r="UVP30" s="109"/>
      <c r="UVQ30" s="109"/>
      <c r="UVR30" s="109"/>
      <c r="UVS30" s="109"/>
      <c r="UVT30" s="109"/>
      <c r="UVU30" s="109"/>
      <c r="UVV30" s="109"/>
      <c r="UVW30" s="109"/>
      <c r="UVX30" s="109"/>
      <c r="UVY30" s="109"/>
      <c r="UVZ30" s="109"/>
      <c r="UWA30" s="109"/>
      <c r="UWB30" s="109"/>
      <c r="UWC30" s="109"/>
      <c r="UWD30" s="109"/>
      <c r="UWE30" s="109"/>
      <c r="UWF30" s="109"/>
      <c r="UWG30" s="109"/>
      <c r="UWH30" s="109"/>
      <c r="UWI30" s="109"/>
      <c r="UWJ30" s="109"/>
      <c r="UWK30" s="109"/>
      <c r="UWL30" s="109"/>
      <c r="UWM30" s="109"/>
      <c r="UWN30" s="109"/>
      <c r="UWO30" s="109"/>
      <c r="UWP30" s="109"/>
      <c r="UWQ30" s="109"/>
      <c r="UWR30" s="109"/>
      <c r="UWS30" s="109"/>
      <c r="UWT30" s="109"/>
      <c r="UWU30" s="109"/>
      <c r="UWV30" s="109"/>
      <c r="UWW30" s="109"/>
      <c r="UWX30" s="109"/>
      <c r="UWY30" s="109"/>
      <c r="UWZ30" s="109"/>
      <c r="UXA30" s="109"/>
      <c r="UXB30" s="109"/>
      <c r="UXC30" s="109"/>
      <c r="UXD30" s="109"/>
      <c r="UXE30" s="109"/>
      <c r="UXF30" s="109"/>
      <c r="UXG30" s="109"/>
      <c r="UXH30" s="109"/>
      <c r="UXI30" s="109"/>
      <c r="UXJ30" s="109"/>
      <c r="UXK30" s="109"/>
      <c r="UXL30" s="109"/>
      <c r="UXM30" s="109"/>
      <c r="UXN30" s="109"/>
      <c r="UXO30" s="109"/>
      <c r="UXP30" s="109"/>
      <c r="UXQ30" s="109"/>
      <c r="UXR30" s="109"/>
      <c r="UXS30" s="109"/>
      <c r="UXT30" s="109"/>
      <c r="UXU30" s="109"/>
      <c r="UXV30" s="109"/>
      <c r="UXW30" s="109"/>
      <c r="UXX30" s="109"/>
      <c r="UXY30" s="109"/>
      <c r="UXZ30" s="109"/>
      <c r="UYA30" s="109"/>
      <c r="UYB30" s="109"/>
      <c r="UYC30" s="109"/>
      <c r="UYD30" s="109"/>
      <c r="UYE30" s="109"/>
      <c r="UYF30" s="109"/>
      <c r="UYG30" s="109"/>
      <c r="UYH30" s="109"/>
      <c r="UYI30" s="109"/>
      <c r="UYJ30" s="109"/>
      <c r="UYK30" s="109"/>
      <c r="UYL30" s="109"/>
      <c r="UYM30" s="109"/>
      <c r="UYN30" s="109"/>
      <c r="UYO30" s="109"/>
      <c r="UYP30" s="109"/>
      <c r="UYQ30" s="109"/>
      <c r="UYR30" s="109"/>
      <c r="UYS30" s="109"/>
      <c r="UYT30" s="109"/>
      <c r="UYU30" s="109"/>
      <c r="UYV30" s="109"/>
      <c r="UYW30" s="109"/>
      <c r="UYX30" s="109"/>
      <c r="UYY30" s="109"/>
      <c r="UYZ30" s="109"/>
      <c r="UZA30" s="109"/>
      <c r="UZB30" s="109"/>
      <c r="UZC30" s="109"/>
      <c r="UZD30" s="109"/>
      <c r="UZE30" s="109"/>
      <c r="UZF30" s="109"/>
      <c r="UZG30" s="109"/>
      <c r="UZH30" s="109"/>
      <c r="UZI30" s="109"/>
      <c r="UZJ30" s="109"/>
      <c r="UZK30" s="109"/>
      <c r="UZL30" s="109"/>
      <c r="UZM30" s="109"/>
      <c r="UZN30" s="109"/>
      <c r="UZO30" s="109"/>
      <c r="UZP30" s="109"/>
      <c r="UZQ30" s="109"/>
      <c r="UZR30" s="109"/>
      <c r="UZS30" s="109"/>
      <c r="UZT30" s="109"/>
      <c r="UZU30" s="109"/>
      <c r="UZV30" s="109"/>
      <c r="UZW30" s="109"/>
      <c r="UZX30" s="109"/>
      <c r="UZY30" s="109"/>
      <c r="UZZ30" s="109"/>
      <c r="VAA30" s="109"/>
      <c r="VAB30" s="109"/>
      <c r="VAC30" s="109"/>
      <c r="VAD30" s="109"/>
      <c r="VAE30" s="109"/>
      <c r="VAF30" s="109"/>
      <c r="VAG30" s="109"/>
      <c r="VAH30" s="109"/>
      <c r="VAI30" s="109"/>
      <c r="VAJ30" s="109"/>
      <c r="VAK30" s="109"/>
      <c r="VAL30" s="109"/>
      <c r="VAM30" s="109"/>
      <c r="VAN30" s="109"/>
      <c r="VAO30" s="109"/>
      <c r="VAP30" s="109"/>
      <c r="VAQ30" s="109"/>
      <c r="VAR30" s="109"/>
      <c r="VAS30" s="109"/>
      <c r="VAT30" s="109"/>
      <c r="VAU30" s="109"/>
      <c r="VAV30" s="109"/>
      <c r="VAW30" s="109"/>
      <c r="VAX30" s="109"/>
      <c r="VAY30" s="109"/>
      <c r="VAZ30" s="109"/>
      <c r="VBA30" s="109"/>
      <c r="VBB30" s="109"/>
      <c r="VBC30" s="109"/>
      <c r="VBD30" s="109"/>
      <c r="VBE30" s="109"/>
      <c r="VBF30" s="109"/>
      <c r="VBG30" s="109"/>
      <c r="VBH30" s="109"/>
      <c r="VBI30" s="109"/>
      <c r="VBJ30" s="109"/>
      <c r="VBK30" s="109"/>
      <c r="VBL30" s="109"/>
      <c r="VBM30" s="109"/>
      <c r="VBN30" s="109"/>
      <c r="VBO30" s="109"/>
      <c r="VBP30" s="109"/>
      <c r="VBQ30" s="109"/>
      <c r="VBR30" s="109"/>
      <c r="VBS30" s="109"/>
      <c r="VBT30" s="109"/>
      <c r="VBU30" s="109"/>
      <c r="VBV30" s="109"/>
      <c r="VBW30" s="109"/>
      <c r="VBX30" s="109"/>
      <c r="VBY30" s="109"/>
      <c r="VBZ30" s="109"/>
      <c r="VCA30" s="109"/>
      <c r="VCB30" s="109"/>
      <c r="VCC30" s="109"/>
      <c r="VCD30" s="109"/>
      <c r="VCE30" s="109"/>
      <c r="VCF30" s="109"/>
      <c r="VCG30" s="109"/>
      <c r="VCH30" s="109"/>
      <c r="VCI30" s="109"/>
      <c r="VCJ30" s="109"/>
      <c r="VCK30" s="109"/>
      <c r="VCL30" s="109"/>
      <c r="VCM30" s="109"/>
      <c r="VCN30" s="109"/>
      <c r="VCO30" s="109"/>
      <c r="VCP30" s="109"/>
      <c r="VCQ30" s="109"/>
      <c r="VCR30" s="109"/>
      <c r="VCS30" s="109"/>
      <c r="VCT30" s="109"/>
      <c r="VCU30" s="109"/>
      <c r="VCV30" s="109"/>
      <c r="VCW30" s="109"/>
      <c r="VCX30" s="109"/>
      <c r="VCY30" s="109"/>
      <c r="VCZ30" s="109"/>
      <c r="VDA30" s="109"/>
      <c r="VDB30" s="109"/>
      <c r="VDC30" s="109"/>
      <c r="VDD30" s="109"/>
      <c r="VDE30" s="109"/>
      <c r="VDF30" s="109"/>
      <c r="VDG30" s="109"/>
      <c r="VDH30" s="109"/>
      <c r="VDI30" s="109"/>
      <c r="VDJ30" s="109"/>
      <c r="VDK30" s="109"/>
      <c r="VDL30" s="109"/>
      <c r="VDM30" s="109"/>
      <c r="VDN30" s="109"/>
      <c r="VDO30" s="109"/>
      <c r="VDP30" s="109"/>
      <c r="VDQ30" s="109"/>
      <c r="VDR30" s="109"/>
      <c r="VDS30" s="109"/>
      <c r="VDT30" s="109"/>
      <c r="VDU30" s="109"/>
      <c r="VDV30" s="109"/>
      <c r="VDW30" s="109"/>
      <c r="VDX30" s="109"/>
      <c r="VDY30" s="109"/>
      <c r="VDZ30" s="109"/>
      <c r="VEA30" s="109"/>
      <c r="VEB30" s="109"/>
      <c r="VEC30" s="109"/>
      <c r="VED30" s="109"/>
      <c r="VEE30" s="109"/>
      <c r="VEF30" s="109"/>
      <c r="VEG30" s="109"/>
      <c r="VEH30" s="109"/>
      <c r="VEI30" s="109"/>
      <c r="VEJ30" s="109"/>
      <c r="VEK30" s="109"/>
      <c r="VEL30" s="109"/>
      <c r="VEM30" s="109"/>
      <c r="VEN30" s="109"/>
      <c r="VEO30" s="109"/>
      <c r="VEP30" s="109"/>
      <c r="VEQ30" s="109"/>
      <c r="VER30" s="109"/>
      <c r="VES30" s="109"/>
      <c r="VET30" s="109"/>
      <c r="VEU30" s="109"/>
      <c r="VEV30" s="109"/>
      <c r="VEW30" s="109"/>
      <c r="VEX30" s="109"/>
      <c r="VEY30" s="109"/>
      <c r="VEZ30" s="109"/>
      <c r="VFA30" s="109"/>
      <c r="VFB30" s="109"/>
      <c r="VFC30" s="109"/>
      <c r="VFD30" s="109"/>
      <c r="VFE30" s="109"/>
      <c r="VFF30" s="109"/>
      <c r="VFG30" s="109"/>
      <c r="VFH30" s="109"/>
      <c r="VFI30" s="109"/>
      <c r="VFJ30" s="109"/>
      <c r="VFK30" s="109"/>
      <c r="VFL30" s="109"/>
      <c r="VFM30" s="109"/>
      <c r="VFN30" s="109"/>
      <c r="VFO30" s="109"/>
      <c r="VFP30" s="109"/>
      <c r="VFQ30" s="109"/>
      <c r="VFR30" s="109"/>
      <c r="VFS30" s="109"/>
      <c r="VFT30" s="109"/>
      <c r="VFU30" s="109"/>
      <c r="VFV30" s="109"/>
      <c r="VFW30" s="109"/>
      <c r="VFX30" s="109"/>
      <c r="VFY30" s="109"/>
      <c r="VFZ30" s="109"/>
      <c r="VGA30" s="109"/>
      <c r="VGB30" s="109"/>
      <c r="VGC30" s="109"/>
      <c r="VGD30" s="109"/>
      <c r="VGE30" s="109"/>
      <c r="VGF30" s="109"/>
      <c r="VGG30" s="109"/>
      <c r="VGH30" s="109"/>
      <c r="VGI30" s="109"/>
      <c r="VGJ30" s="109"/>
      <c r="VGK30" s="109"/>
      <c r="VGL30" s="109"/>
      <c r="VGM30" s="109"/>
      <c r="VGN30" s="109"/>
      <c r="VGO30" s="109"/>
      <c r="VGP30" s="109"/>
      <c r="VGQ30" s="109"/>
      <c r="VGR30" s="109"/>
      <c r="VGS30" s="109"/>
      <c r="VGT30" s="109"/>
      <c r="VGU30" s="109"/>
      <c r="VGV30" s="109"/>
      <c r="VGW30" s="109"/>
      <c r="VGX30" s="109"/>
      <c r="VGY30" s="109"/>
      <c r="VGZ30" s="109"/>
      <c r="VHA30" s="109"/>
      <c r="VHB30" s="109"/>
      <c r="VHC30" s="109"/>
      <c r="VHD30" s="109"/>
      <c r="VHE30" s="109"/>
      <c r="VHF30" s="109"/>
      <c r="VHG30" s="109"/>
      <c r="VHH30" s="109"/>
      <c r="VHI30" s="109"/>
      <c r="VHJ30" s="109"/>
      <c r="VHK30" s="109"/>
      <c r="VHL30" s="109"/>
      <c r="VHM30" s="109"/>
      <c r="VHN30" s="109"/>
      <c r="VHO30" s="109"/>
      <c r="VHP30" s="109"/>
      <c r="VHQ30" s="109"/>
      <c r="VHR30" s="109"/>
      <c r="VHS30" s="109"/>
      <c r="VHT30" s="109"/>
      <c r="VHU30" s="109"/>
      <c r="VHV30" s="109"/>
      <c r="VHW30" s="109"/>
      <c r="VHX30" s="109"/>
      <c r="VHY30" s="109"/>
      <c r="VHZ30" s="109"/>
      <c r="VIA30" s="109"/>
      <c r="VIB30" s="109"/>
      <c r="VIC30" s="109"/>
      <c r="VID30" s="109"/>
      <c r="VIE30" s="109"/>
      <c r="VIF30" s="109"/>
      <c r="VIG30" s="109"/>
      <c r="VIH30" s="109"/>
      <c r="VII30" s="109"/>
      <c r="VIJ30" s="109"/>
      <c r="VIK30" s="109"/>
      <c r="VIL30" s="109"/>
      <c r="VIM30" s="109"/>
      <c r="VIN30" s="109"/>
      <c r="VIO30" s="109"/>
      <c r="VIP30" s="109"/>
      <c r="VIQ30" s="109"/>
      <c r="VIR30" s="109"/>
      <c r="VIS30" s="109"/>
      <c r="VIT30" s="109"/>
      <c r="VIU30" s="109"/>
      <c r="VIV30" s="109"/>
      <c r="VIW30" s="109"/>
      <c r="VIX30" s="109"/>
      <c r="VIY30" s="109"/>
      <c r="VIZ30" s="109"/>
      <c r="VJA30" s="109"/>
      <c r="VJB30" s="109"/>
      <c r="VJC30" s="109"/>
      <c r="VJD30" s="109"/>
      <c r="VJE30" s="109"/>
      <c r="VJF30" s="109"/>
      <c r="VJG30" s="109"/>
      <c r="VJH30" s="109"/>
      <c r="VJI30" s="109"/>
      <c r="VJJ30" s="109"/>
      <c r="VJK30" s="109"/>
      <c r="VJL30" s="109"/>
      <c r="VJM30" s="109"/>
      <c r="VJN30" s="109"/>
      <c r="VJO30" s="109"/>
      <c r="VJP30" s="109"/>
      <c r="VJQ30" s="109"/>
      <c r="VJR30" s="109"/>
      <c r="VJS30" s="109"/>
      <c r="VJT30" s="109"/>
      <c r="VJU30" s="109"/>
      <c r="VJV30" s="109"/>
      <c r="VJW30" s="109"/>
      <c r="VJX30" s="109"/>
      <c r="VJY30" s="109"/>
      <c r="VJZ30" s="109"/>
      <c r="VKA30" s="109"/>
      <c r="VKB30" s="109"/>
      <c r="VKC30" s="109"/>
      <c r="VKD30" s="109"/>
      <c r="VKE30" s="109"/>
      <c r="VKF30" s="109"/>
      <c r="VKG30" s="109"/>
      <c r="VKH30" s="109"/>
      <c r="VKI30" s="109"/>
      <c r="VKJ30" s="109"/>
      <c r="VKK30" s="109"/>
      <c r="VKL30" s="109"/>
      <c r="VKM30" s="109"/>
      <c r="VKN30" s="109"/>
      <c r="VKO30" s="109"/>
      <c r="VKP30" s="109"/>
      <c r="VKQ30" s="109"/>
      <c r="VKR30" s="109"/>
      <c r="VKS30" s="109"/>
      <c r="VKT30" s="109"/>
      <c r="VKU30" s="109"/>
      <c r="VKV30" s="109"/>
      <c r="VKW30" s="109"/>
      <c r="VKX30" s="109"/>
      <c r="VKY30" s="109"/>
      <c r="VKZ30" s="109"/>
      <c r="VLA30" s="109"/>
      <c r="VLB30" s="109"/>
      <c r="VLC30" s="109"/>
      <c r="VLD30" s="109"/>
      <c r="VLE30" s="109"/>
      <c r="VLF30" s="109"/>
      <c r="VLG30" s="109"/>
      <c r="VLH30" s="109"/>
      <c r="VLI30" s="109"/>
      <c r="VLJ30" s="109"/>
      <c r="VLK30" s="109"/>
      <c r="VLL30" s="109"/>
      <c r="VLM30" s="109"/>
      <c r="VLN30" s="109"/>
      <c r="VLO30" s="109"/>
      <c r="VLP30" s="109"/>
      <c r="VLQ30" s="109"/>
      <c r="VLR30" s="109"/>
      <c r="VLS30" s="109"/>
      <c r="VLT30" s="109"/>
      <c r="VLU30" s="109"/>
      <c r="VLV30" s="109"/>
      <c r="VLW30" s="109"/>
      <c r="VLX30" s="109"/>
      <c r="VLY30" s="109"/>
      <c r="VLZ30" s="109"/>
      <c r="VMA30" s="109"/>
      <c r="VMB30" s="109"/>
      <c r="VMC30" s="109"/>
      <c r="VMD30" s="109"/>
      <c r="VME30" s="109"/>
      <c r="VMF30" s="109"/>
      <c r="VMG30" s="109"/>
      <c r="VMH30" s="109"/>
      <c r="VMI30" s="109"/>
      <c r="VMJ30" s="109"/>
      <c r="VMK30" s="109"/>
      <c r="VML30" s="109"/>
      <c r="VMM30" s="109"/>
      <c r="VMN30" s="109"/>
      <c r="VMO30" s="109"/>
      <c r="VMP30" s="109"/>
      <c r="VMQ30" s="109"/>
      <c r="VMR30" s="109"/>
      <c r="VMS30" s="109"/>
      <c r="VMT30" s="109"/>
      <c r="VMU30" s="109"/>
      <c r="VMV30" s="109"/>
      <c r="VMW30" s="109"/>
      <c r="VMX30" s="109"/>
      <c r="VMY30" s="109"/>
      <c r="VMZ30" s="109"/>
      <c r="VNA30" s="109"/>
      <c r="VNB30" s="109"/>
      <c r="VNC30" s="109"/>
      <c r="VND30" s="109"/>
      <c r="VNE30" s="109"/>
      <c r="VNF30" s="109"/>
      <c r="VNG30" s="109"/>
      <c r="VNH30" s="109"/>
      <c r="VNI30" s="109"/>
      <c r="VNJ30" s="109"/>
      <c r="VNK30" s="109"/>
      <c r="VNL30" s="109"/>
      <c r="VNM30" s="109"/>
      <c r="VNN30" s="109"/>
      <c r="VNO30" s="109"/>
      <c r="VNP30" s="109"/>
      <c r="VNQ30" s="109"/>
      <c r="VNR30" s="109"/>
      <c r="VNS30" s="109"/>
      <c r="VNT30" s="109"/>
      <c r="VNU30" s="109"/>
      <c r="VNV30" s="109"/>
      <c r="VNW30" s="109"/>
      <c r="VNX30" s="109"/>
      <c r="VNY30" s="109"/>
      <c r="VNZ30" s="109"/>
      <c r="VOA30" s="109"/>
      <c r="VOB30" s="109"/>
      <c r="VOC30" s="109"/>
      <c r="VOD30" s="109"/>
      <c r="VOE30" s="109"/>
      <c r="VOF30" s="109"/>
      <c r="VOG30" s="109"/>
      <c r="VOH30" s="109"/>
      <c r="VOI30" s="109"/>
      <c r="VOJ30" s="109"/>
      <c r="VOK30" s="109"/>
      <c r="VOL30" s="109"/>
      <c r="VOM30" s="109"/>
      <c r="VON30" s="109"/>
      <c r="VOO30" s="109"/>
      <c r="VOP30" s="109"/>
      <c r="VOQ30" s="109"/>
      <c r="VOR30" s="109"/>
      <c r="VOS30" s="109"/>
      <c r="VOT30" s="109"/>
      <c r="VOU30" s="109"/>
      <c r="VOV30" s="109"/>
      <c r="VOW30" s="109"/>
      <c r="VOX30" s="109"/>
      <c r="VOY30" s="109"/>
      <c r="VOZ30" s="109"/>
      <c r="VPA30" s="109"/>
      <c r="VPB30" s="109"/>
      <c r="VPC30" s="109"/>
      <c r="VPD30" s="109"/>
      <c r="VPE30" s="109"/>
      <c r="VPF30" s="109"/>
      <c r="VPG30" s="109"/>
      <c r="VPH30" s="109"/>
      <c r="VPI30" s="109"/>
      <c r="VPJ30" s="109"/>
      <c r="VPK30" s="109"/>
      <c r="VPL30" s="109"/>
      <c r="VPM30" s="109"/>
      <c r="VPN30" s="109"/>
      <c r="VPO30" s="109"/>
      <c r="VPP30" s="109"/>
      <c r="VPQ30" s="109"/>
      <c r="VPR30" s="109"/>
      <c r="VPS30" s="109"/>
      <c r="VPT30" s="109"/>
      <c r="VPU30" s="109"/>
      <c r="VPV30" s="109"/>
      <c r="VPW30" s="109"/>
      <c r="VPX30" s="109"/>
      <c r="VPY30" s="109"/>
      <c r="VPZ30" s="109"/>
      <c r="VQA30" s="109"/>
      <c r="VQB30" s="109"/>
      <c r="VQC30" s="109"/>
      <c r="VQD30" s="109"/>
      <c r="VQE30" s="109"/>
      <c r="VQF30" s="109"/>
      <c r="VQG30" s="109"/>
      <c r="VQH30" s="109"/>
      <c r="VQI30" s="109"/>
      <c r="VQJ30" s="109"/>
      <c r="VQK30" s="109"/>
      <c r="VQL30" s="109"/>
      <c r="VQM30" s="109"/>
      <c r="VQN30" s="109"/>
      <c r="VQO30" s="109"/>
      <c r="VQP30" s="109"/>
      <c r="VQQ30" s="109"/>
      <c r="VQR30" s="109"/>
      <c r="VQS30" s="109"/>
      <c r="VQT30" s="109"/>
      <c r="VQU30" s="109"/>
      <c r="VQV30" s="109"/>
      <c r="VQW30" s="109"/>
      <c r="VQX30" s="109"/>
      <c r="VQY30" s="109"/>
      <c r="VQZ30" s="109"/>
      <c r="VRA30" s="109"/>
      <c r="VRB30" s="109"/>
      <c r="VRC30" s="109"/>
      <c r="VRD30" s="109"/>
      <c r="VRE30" s="109"/>
      <c r="VRF30" s="109"/>
      <c r="VRG30" s="109"/>
      <c r="VRH30" s="109"/>
      <c r="VRI30" s="109"/>
      <c r="VRJ30" s="109"/>
      <c r="VRK30" s="109"/>
      <c r="VRL30" s="109"/>
      <c r="VRM30" s="109"/>
      <c r="VRN30" s="109"/>
      <c r="VRO30" s="109"/>
      <c r="VRP30" s="109"/>
      <c r="VRQ30" s="109"/>
      <c r="VRR30" s="109"/>
      <c r="VRS30" s="109"/>
      <c r="VRT30" s="109"/>
      <c r="VRU30" s="109"/>
      <c r="VRV30" s="109"/>
      <c r="VRW30" s="109"/>
      <c r="VRX30" s="109"/>
      <c r="VRY30" s="109"/>
      <c r="VRZ30" s="109"/>
      <c r="VSA30" s="109"/>
      <c r="VSB30" s="109"/>
      <c r="VSC30" s="109"/>
      <c r="VSD30" s="109"/>
      <c r="VSE30" s="109"/>
      <c r="VSF30" s="109"/>
      <c r="VSG30" s="109"/>
      <c r="VSH30" s="109"/>
      <c r="VSI30" s="109"/>
      <c r="VSJ30" s="109"/>
      <c r="VSK30" s="109"/>
      <c r="VSL30" s="109"/>
      <c r="VSM30" s="109"/>
      <c r="VSN30" s="109"/>
      <c r="VSO30" s="109"/>
      <c r="VSP30" s="109"/>
      <c r="VSQ30" s="109"/>
      <c r="VSR30" s="109"/>
      <c r="VSS30" s="109"/>
      <c r="VST30" s="109"/>
      <c r="VSU30" s="109"/>
      <c r="VSV30" s="109"/>
      <c r="VSW30" s="109"/>
      <c r="VSX30" s="109"/>
      <c r="VSY30" s="109"/>
      <c r="VSZ30" s="109"/>
      <c r="VTA30" s="109"/>
      <c r="VTB30" s="109"/>
      <c r="VTC30" s="109"/>
      <c r="VTD30" s="109"/>
      <c r="VTE30" s="109"/>
      <c r="VTF30" s="109"/>
      <c r="VTG30" s="109"/>
      <c r="VTH30" s="109"/>
      <c r="VTI30" s="109"/>
      <c r="VTJ30" s="109"/>
      <c r="VTK30" s="109"/>
      <c r="VTL30" s="109"/>
      <c r="VTM30" s="109"/>
      <c r="VTN30" s="109"/>
      <c r="VTO30" s="109"/>
      <c r="VTP30" s="109"/>
      <c r="VTQ30" s="109"/>
      <c r="VTR30" s="109"/>
      <c r="VTS30" s="109"/>
      <c r="VTT30" s="109"/>
      <c r="VTU30" s="109"/>
      <c r="VTV30" s="109"/>
      <c r="VTW30" s="109"/>
      <c r="VTX30" s="109"/>
      <c r="VTY30" s="109"/>
      <c r="VTZ30" s="109"/>
      <c r="VUA30" s="109"/>
      <c r="VUB30" s="109"/>
      <c r="VUC30" s="109"/>
      <c r="VUD30" s="109"/>
      <c r="VUE30" s="109"/>
      <c r="VUF30" s="109"/>
      <c r="VUG30" s="109"/>
      <c r="VUH30" s="109"/>
      <c r="VUI30" s="109"/>
      <c r="VUJ30" s="109"/>
      <c r="VUK30" s="109"/>
      <c r="VUL30" s="109"/>
      <c r="VUM30" s="109"/>
      <c r="VUN30" s="109"/>
      <c r="VUO30" s="109"/>
      <c r="VUP30" s="109"/>
      <c r="VUQ30" s="109"/>
      <c r="VUR30" s="109"/>
      <c r="VUS30" s="109"/>
      <c r="VUT30" s="109"/>
      <c r="VUU30" s="109"/>
      <c r="VUV30" s="109"/>
      <c r="VUW30" s="109"/>
      <c r="VUX30" s="109"/>
      <c r="VUY30" s="109"/>
      <c r="VUZ30" s="109"/>
      <c r="VVA30" s="109"/>
      <c r="VVB30" s="109"/>
      <c r="VVC30" s="109"/>
      <c r="VVD30" s="109"/>
      <c r="VVE30" s="109"/>
      <c r="VVF30" s="109"/>
      <c r="VVG30" s="109"/>
      <c r="VVH30" s="109"/>
      <c r="VVI30" s="109"/>
      <c r="VVJ30" s="109"/>
      <c r="VVK30" s="109"/>
      <c r="VVL30" s="109"/>
      <c r="VVM30" s="109"/>
      <c r="VVN30" s="109"/>
      <c r="VVO30" s="109"/>
      <c r="VVP30" s="109"/>
      <c r="VVQ30" s="109"/>
      <c r="VVR30" s="109"/>
      <c r="VVS30" s="109"/>
      <c r="VVT30" s="109"/>
      <c r="VVU30" s="109"/>
      <c r="VVV30" s="109"/>
      <c r="VVW30" s="109"/>
      <c r="VVX30" s="109"/>
      <c r="VVY30" s="109"/>
      <c r="VVZ30" s="109"/>
      <c r="VWA30" s="109"/>
      <c r="VWB30" s="109"/>
      <c r="VWC30" s="109"/>
      <c r="VWD30" s="109"/>
      <c r="VWE30" s="109"/>
      <c r="VWF30" s="109"/>
      <c r="VWG30" s="109"/>
      <c r="VWH30" s="109"/>
      <c r="VWI30" s="109"/>
      <c r="VWJ30" s="109"/>
      <c r="VWK30" s="109"/>
      <c r="VWL30" s="109"/>
      <c r="VWM30" s="109"/>
      <c r="VWN30" s="109"/>
      <c r="VWO30" s="109"/>
      <c r="VWP30" s="109"/>
      <c r="VWQ30" s="109"/>
      <c r="VWR30" s="109"/>
      <c r="VWS30" s="109"/>
      <c r="VWT30" s="109"/>
      <c r="VWU30" s="109"/>
      <c r="VWV30" s="109"/>
      <c r="VWW30" s="109"/>
      <c r="VWX30" s="109"/>
      <c r="VWY30" s="109"/>
      <c r="VWZ30" s="109"/>
      <c r="VXA30" s="109"/>
      <c r="VXB30" s="109"/>
      <c r="VXC30" s="109"/>
      <c r="VXD30" s="109"/>
      <c r="VXE30" s="109"/>
      <c r="VXF30" s="109"/>
      <c r="VXG30" s="109"/>
      <c r="VXH30" s="109"/>
      <c r="VXI30" s="109"/>
      <c r="VXJ30" s="109"/>
      <c r="VXK30" s="109"/>
      <c r="VXL30" s="109"/>
      <c r="VXM30" s="109"/>
      <c r="VXN30" s="109"/>
      <c r="VXO30" s="109"/>
      <c r="VXP30" s="109"/>
      <c r="VXQ30" s="109"/>
      <c r="VXR30" s="109"/>
      <c r="VXS30" s="109"/>
      <c r="VXT30" s="109"/>
      <c r="VXU30" s="109"/>
      <c r="VXV30" s="109"/>
      <c r="VXW30" s="109"/>
      <c r="VXX30" s="109"/>
      <c r="VXY30" s="109"/>
      <c r="VXZ30" s="109"/>
      <c r="VYA30" s="109"/>
      <c r="VYB30" s="109"/>
      <c r="VYC30" s="109"/>
      <c r="VYD30" s="109"/>
      <c r="VYE30" s="109"/>
      <c r="VYF30" s="109"/>
      <c r="VYG30" s="109"/>
      <c r="VYH30" s="109"/>
      <c r="VYI30" s="109"/>
      <c r="VYJ30" s="109"/>
      <c r="VYK30" s="109"/>
      <c r="VYL30" s="109"/>
      <c r="VYM30" s="109"/>
      <c r="VYN30" s="109"/>
      <c r="VYO30" s="109"/>
      <c r="VYP30" s="109"/>
      <c r="VYQ30" s="109"/>
      <c r="VYR30" s="109"/>
      <c r="VYS30" s="109"/>
      <c r="VYT30" s="109"/>
      <c r="VYU30" s="109"/>
      <c r="VYV30" s="109"/>
      <c r="VYW30" s="109"/>
      <c r="VYX30" s="109"/>
      <c r="VYY30" s="109"/>
      <c r="VYZ30" s="109"/>
      <c r="VZA30" s="109"/>
      <c r="VZB30" s="109"/>
      <c r="VZC30" s="109"/>
      <c r="VZD30" s="109"/>
      <c r="VZE30" s="109"/>
      <c r="VZF30" s="109"/>
      <c r="VZG30" s="109"/>
      <c r="VZH30" s="109"/>
      <c r="VZI30" s="109"/>
      <c r="VZJ30" s="109"/>
      <c r="VZK30" s="109"/>
      <c r="VZL30" s="109"/>
      <c r="VZM30" s="109"/>
      <c r="VZN30" s="109"/>
      <c r="VZO30" s="109"/>
      <c r="VZP30" s="109"/>
      <c r="VZQ30" s="109"/>
      <c r="VZR30" s="109"/>
      <c r="VZS30" s="109"/>
      <c r="VZT30" s="109"/>
      <c r="VZU30" s="109"/>
      <c r="VZV30" s="109"/>
      <c r="VZW30" s="109"/>
      <c r="VZX30" s="109"/>
      <c r="VZY30" s="109"/>
      <c r="VZZ30" s="109"/>
      <c r="WAA30" s="109"/>
      <c r="WAB30" s="109"/>
      <c r="WAC30" s="109"/>
      <c r="WAD30" s="109"/>
      <c r="WAE30" s="109"/>
      <c r="WAF30" s="109"/>
      <c r="WAG30" s="109"/>
      <c r="WAH30" s="109"/>
      <c r="WAI30" s="109"/>
      <c r="WAJ30" s="109"/>
      <c r="WAK30" s="109"/>
      <c r="WAL30" s="109"/>
      <c r="WAM30" s="109"/>
      <c r="WAN30" s="109"/>
      <c r="WAO30" s="109"/>
      <c r="WAP30" s="109"/>
      <c r="WAQ30" s="109"/>
      <c r="WAR30" s="109"/>
      <c r="WAS30" s="109"/>
      <c r="WAT30" s="109"/>
      <c r="WAU30" s="109"/>
      <c r="WAV30" s="109"/>
      <c r="WAW30" s="109"/>
      <c r="WAX30" s="109"/>
      <c r="WAY30" s="109"/>
      <c r="WAZ30" s="109"/>
      <c r="WBA30" s="109"/>
      <c r="WBB30" s="109"/>
      <c r="WBC30" s="109"/>
      <c r="WBD30" s="109"/>
      <c r="WBE30" s="109"/>
      <c r="WBF30" s="109"/>
      <c r="WBG30" s="109"/>
      <c r="WBH30" s="109"/>
      <c r="WBI30" s="109"/>
      <c r="WBJ30" s="109"/>
      <c r="WBK30" s="109"/>
      <c r="WBL30" s="109"/>
      <c r="WBM30" s="109"/>
      <c r="WBN30" s="109"/>
      <c r="WBO30" s="109"/>
      <c r="WBP30" s="109"/>
      <c r="WBQ30" s="109"/>
      <c r="WBR30" s="109"/>
      <c r="WBS30" s="109"/>
      <c r="WBT30" s="109"/>
      <c r="WBU30" s="109"/>
      <c r="WBV30" s="109"/>
      <c r="WBW30" s="109"/>
      <c r="WBX30" s="109"/>
      <c r="WBY30" s="109"/>
      <c r="WBZ30" s="109"/>
      <c r="WCA30" s="109"/>
      <c r="WCB30" s="109"/>
      <c r="WCC30" s="109"/>
      <c r="WCD30" s="109"/>
      <c r="WCE30" s="109"/>
      <c r="WCF30" s="109"/>
      <c r="WCG30" s="109"/>
      <c r="WCH30" s="109"/>
      <c r="WCI30" s="109"/>
      <c r="WCJ30" s="109"/>
      <c r="WCK30" s="109"/>
      <c r="WCL30" s="109"/>
      <c r="WCM30" s="109"/>
      <c r="WCN30" s="109"/>
      <c r="WCO30" s="109"/>
      <c r="WCP30" s="109"/>
      <c r="WCQ30" s="109"/>
      <c r="WCR30" s="109"/>
      <c r="WCS30" s="109"/>
      <c r="WCT30" s="109"/>
      <c r="WCU30" s="109"/>
      <c r="WCV30" s="109"/>
      <c r="WCW30" s="109"/>
      <c r="WCX30" s="109"/>
      <c r="WCY30" s="109"/>
      <c r="WCZ30" s="109"/>
      <c r="WDA30" s="109"/>
      <c r="WDB30" s="109"/>
      <c r="WDC30" s="109"/>
      <c r="WDD30" s="109"/>
      <c r="WDE30" s="109"/>
      <c r="WDF30" s="109"/>
      <c r="WDG30" s="109"/>
      <c r="WDH30" s="109"/>
      <c r="WDI30" s="109"/>
      <c r="WDJ30" s="109"/>
      <c r="WDK30" s="109"/>
      <c r="WDL30" s="109"/>
      <c r="WDM30" s="109"/>
      <c r="WDN30" s="109"/>
      <c r="WDO30" s="109"/>
      <c r="WDP30" s="109"/>
      <c r="WDQ30" s="109"/>
      <c r="WDR30" s="109"/>
      <c r="WDS30" s="109"/>
      <c r="WDT30" s="109"/>
      <c r="WDU30" s="109"/>
      <c r="WDV30" s="109"/>
      <c r="WDW30" s="109"/>
      <c r="WDX30" s="109"/>
      <c r="WDY30" s="109"/>
      <c r="WDZ30" s="109"/>
      <c r="WEA30" s="109"/>
      <c r="WEB30" s="109"/>
      <c r="WEC30" s="109"/>
      <c r="WED30" s="109"/>
      <c r="WEE30" s="109"/>
      <c r="WEF30" s="109"/>
      <c r="WEG30" s="109"/>
      <c r="WEH30" s="109"/>
      <c r="WEI30" s="109"/>
      <c r="WEJ30" s="109"/>
      <c r="WEK30" s="109"/>
      <c r="WEL30" s="109"/>
      <c r="WEM30" s="109"/>
      <c r="WEN30" s="109"/>
      <c r="WEO30" s="109"/>
      <c r="WEP30" s="109"/>
      <c r="WEQ30" s="109"/>
      <c r="WER30" s="109"/>
      <c r="WES30" s="109"/>
      <c r="WET30" s="109"/>
      <c r="WEU30" s="109"/>
      <c r="WEV30" s="109"/>
      <c r="WEW30" s="109"/>
      <c r="WEX30" s="109"/>
      <c r="WEY30" s="109"/>
      <c r="WEZ30" s="109"/>
      <c r="WFA30" s="109"/>
      <c r="WFB30" s="109"/>
      <c r="WFC30" s="109"/>
      <c r="WFD30" s="109"/>
      <c r="WFE30" s="109"/>
      <c r="WFF30" s="109"/>
      <c r="WFG30" s="109"/>
      <c r="WFH30" s="109"/>
      <c r="WFI30" s="109"/>
      <c r="WFJ30" s="109"/>
      <c r="WFK30" s="109"/>
      <c r="WFL30" s="109"/>
      <c r="WFM30" s="109"/>
      <c r="WFN30" s="109"/>
      <c r="WFO30" s="109"/>
      <c r="WFP30" s="109"/>
      <c r="WFQ30" s="109"/>
      <c r="WFR30" s="109"/>
      <c r="WFS30" s="109"/>
      <c r="WFT30" s="109"/>
      <c r="WFU30" s="109"/>
      <c r="WFV30" s="109"/>
      <c r="WFW30" s="109"/>
      <c r="WFX30" s="109"/>
      <c r="WFY30" s="109"/>
      <c r="WFZ30" s="109"/>
      <c r="WGA30" s="109"/>
      <c r="WGB30" s="109"/>
      <c r="WGC30" s="109"/>
      <c r="WGD30" s="109"/>
      <c r="WGE30" s="109"/>
      <c r="WGF30" s="109"/>
      <c r="WGG30" s="109"/>
      <c r="WGH30" s="109"/>
      <c r="WGI30" s="109"/>
      <c r="WGJ30" s="109"/>
      <c r="WGK30" s="109"/>
      <c r="WGL30" s="109"/>
      <c r="WGM30" s="109"/>
      <c r="WGN30" s="109"/>
      <c r="WGO30" s="109"/>
      <c r="WGP30" s="109"/>
      <c r="WGQ30" s="109"/>
      <c r="WGR30" s="109"/>
      <c r="WGS30" s="109"/>
      <c r="WGT30" s="109"/>
      <c r="WGU30" s="109"/>
      <c r="WGV30" s="109"/>
      <c r="WGW30" s="109"/>
      <c r="WGX30" s="109"/>
      <c r="WGY30" s="109"/>
      <c r="WGZ30" s="109"/>
      <c r="WHA30" s="109"/>
      <c r="WHB30" s="109"/>
      <c r="WHC30" s="109"/>
      <c r="WHD30" s="109"/>
      <c r="WHE30" s="109"/>
      <c r="WHF30" s="109"/>
      <c r="WHG30" s="109"/>
      <c r="WHH30" s="109"/>
      <c r="WHI30" s="109"/>
      <c r="WHJ30" s="109"/>
      <c r="WHK30" s="109"/>
      <c r="WHL30" s="109"/>
      <c r="WHM30" s="109"/>
      <c r="WHN30" s="109"/>
      <c r="WHO30" s="109"/>
      <c r="WHP30" s="109"/>
      <c r="WHQ30" s="109"/>
      <c r="WHR30" s="109"/>
      <c r="WHS30" s="109"/>
      <c r="WHT30" s="109"/>
      <c r="WHU30" s="109"/>
      <c r="WHV30" s="109"/>
      <c r="WHW30" s="109"/>
      <c r="WHX30" s="109"/>
      <c r="WHY30" s="109"/>
      <c r="WHZ30" s="109"/>
      <c r="WIA30" s="109"/>
      <c r="WIB30" s="109"/>
      <c r="WIC30" s="109"/>
      <c r="WID30" s="109"/>
      <c r="WIE30" s="109"/>
      <c r="WIF30" s="109"/>
      <c r="WIG30" s="109"/>
      <c r="WIH30" s="109"/>
      <c r="WII30" s="109"/>
      <c r="WIJ30" s="109"/>
      <c r="WIK30" s="109"/>
      <c r="WIL30" s="109"/>
      <c r="WIM30" s="109"/>
      <c r="WIN30" s="109"/>
      <c r="WIO30" s="109"/>
      <c r="WIP30" s="109"/>
      <c r="WIQ30" s="109"/>
      <c r="WIR30" s="109"/>
      <c r="WIS30" s="109"/>
      <c r="WIT30" s="109"/>
      <c r="WIU30" s="109"/>
      <c r="WIV30" s="109"/>
      <c r="WIW30" s="109"/>
      <c r="WIX30" s="109"/>
      <c r="WIY30" s="109"/>
      <c r="WIZ30" s="109"/>
      <c r="WJA30" s="109"/>
      <c r="WJB30" s="109"/>
      <c r="WJC30" s="109"/>
      <c r="WJD30" s="109"/>
      <c r="WJE30" s="109"/>
      <c r="WJF30" s="109"/>
      <c r="WJG30" s="109"/>
      <c r="WJH30" s="109"/>
      <c r="WJI30" s="109"/>
      <c r="WJJ30" s="109"/>
      <c r="WJK30" s="109"/>
      <c r="WJL30" s="109"/>
      <c r="WJM30" s="109"/>
      <c r="WJN30" s="109"/>
      <c r="WJO30" s="109"/>
      <c r="WJP30" s="109"/>
      <c r="WJQ30" s="109"/>
      <c r="WJR30" s="109"/>
      <c r="WJS30" s="109"/>
      <c r="WJT30" s="109"/>
      <c r="WJU30" s="109"/>
      <c r="WJV30" s="109"/>
      <c r="WJW30" s="109"/>
      <c r="WJX30" s="109"/>
      <c r="WJY30" s="109"/>
      <c r="WJZ30" s="109"/>
      <c r="WKA30" s="109"/>
      <c r="WKB30" s="109"/>
      <c r="WKC30" s="109"/>
      <c r="WKD30" s="109"/>
      <c r="WKE30" s="109"/>
      <c r="WKF30" s="109"/>
      <c r="WKG30" s="109"/>
      <c r="WKH30" s="109"/>
      <c r="WKI30" s="109"/>
      <c r="WKJ30" s="109"/>
      <c r="WKK30" s="109"/>
      <c r="WKL30" s="109"/>
      <c r="WKM30" s="109"/>
      <c r="WKN30" s="109"/>
      <c r="WKO30" s="109"/>
      <c r="WKP30" s="109"/>
      <c r="WKQ30" s="109"/>
      <c r="WKR30" s="109"/>
      <c r="WKS30" s="109"/>
      <c r="WKT30" s="109"/>
      <c r="WKU30" s="109"/>
      <c r="WKV30" s="109"/>
      <c r="WKW30" s="109"/>
      <c r="WKX30" s="109"/>
      <c r="WKY30" s="109"/>
      <c r="WKZ30" s="109"/>
      <c r="WLA30" s="109"/>
      <c r="WLB30" s="109"/>
      <c r="WLC30" s="109"/>
      <c r="WLD30" s="109"/>
      <c r="WLE30" s="109"/>
      <c r="WLF30" s="109"/>
      <c r="WLG30" s="109"/>
      <c r="WLH30" s="109"/>
      <c r="WLI30" s="109"/>
      <c r="WLJ30" s="109"/>
      <c r="WLK30" s="109"/>
      <c r="WLL30" s="109"/>
      <c r="WLM30" s="109"/>
      <c r="WLN30" s="109"/>
      <c r="WLO30" s="109"/>
      <c r="WLP30" s="109"/>
      <c r="WLQ30" s="109"/>
      <c r="WLR30" s="109"/>
      <c r="WLS30" s="109"/>
      <c r="WLT30" s="109"/>
      <c r="WLU30" s="109"/>
      <c r="WLV30" s="109"/>
      <c r="WLW30" s="109"/>
      <c r="WLX30" s="109"/>
      <c r="WLY30" s="109"/>
      <c r="WLZ30" s="109"/>
      <c r="WMA30" s="109"/>
      <c r="WMB30" s="109"/>
      <c r="WMC30" s="109"/>
      <c r="WMD30" s="109"/>
      <c r="WME30" s="109"/>
      <c r="WMF30" s="109"/>
      <c r="WMG30" s="109"/>
      <c r="WMH30" s="109"/>
      <c r="WMI30" s="109"/>
      <c r="WMJ30" s="109"/>
      <c r="WMK30" s="109"/>
      <c r="WML30" s="109"/>
      <c r="WMM30" s="109"/>
      <c r="WMN30" s="109"/>
      <c r="WMO30" s="109"/>
      <c r="WMP30" s="109"/>
      <c r="WMQ30" s="109"/>
      <c r="WMR30" s="109"/>
      <c r="WMS30" s="109"/>
      <c r="WMT30" s="109"/>
      <c r="WMU30" s="109"/>
      <c r="WMV30" s="109"/>
      <c r="WMW30" s="109"/>
      <c r="WMX30" s="109"/>
      <c r="WMY30" s="109"/>
      <c r="WMZ30" s="109"/>
      <c r="WNA30" s="109"/>
      <c r="WNB30" s="109"/>
      <c r="WNC30" s="109"/>
      <c r="WND30" s="109"/>
      <c r="WNE30" s="109"/>
      <c r="WNF30" s="109"/>
      <c r="WNG30" s="109"/>
      <c r="WNH30" s="109"/>
      <c r="WNI30" s="109"/>
      <c r="WNJ30" s="109"/>
      <c r="WNK30" s="109"/>
      <c r="WNL30" s="109"/>
      <c r="WNM30" s="109"/>
      <c r="WNN30" s="109"/>
      <c r="WNO30" s="109"/>
      <c r="WNP30" s="109"/>
      <c r="WNQ30" s="109"/>
      <c r="WNR30" s="109"/>
      <c r="WNS30" s="109"/>
      <c r="WNT30" s="109"/>
      <c r="WNU30" s="109"/>
      <c r="WNV30" s="109"/>
      <c r="WNW30" s="109"/>
      <c r="WNX30" s="109"/>
      <c r="WNY30" s="109"/>
      <c r="WNZ30" s="109"/>
      <c r="WOA30" s="109"/>
      <c r="WOB30" s="109"/>
      <c r="WOC30" s="109"/>
      <c r="WOD30" s="109"/>
      <c r="WOE30" s="109"/>
      <c r="WOF30" s="109"/>
      <c r="WOG30" s="109"/>
      <c r="WOH30" s="109"/>
      <c r="WOI30" s="109"/>
      <c r="WOJ30" s="109"/>
      <c r="WOK30" s="109"/>
      <c r="WOL30" s="109"/>
      <c r="WOM30" s="109"/>
      <c r="WON30" s="109"/>
      <c r="WOO30" s="109"/>
      <c r="WOP30" s="109"/>
      <c r="WOQ30" s="109"/>
      <c r="WOR30" s="109"/>
      <c r="WOS30" s="109"/>
      <c r="WOT30" s="109"/>
      <c r="WOU30" s="109"/>
      <c r="WOV30" s="109"/>
      <c r="WOW30" s="109"/>
      <c r="WOX30" s="109"/>
      <c r="WOY30" s="109"/>
      <c r="WOZ30" s="109"/>
      <c r="WPA30" s="109"/>
      <c r="WPB30" s="109"/>
      <c r="WPC30" s="109"/>
      <c r="WPD30" s="109"/>
      <c r="WPE30" s="109"/>
      <c r="WPF30" s="109"/>
      <c r="WPG30" s="109"/>
      <c r="WPH30" s="109"/>
      <c r="WPI30" s="109"/>
      <c r="WPJ30" s="109"/>
      <c r="WPK30" s="109"/>
      <c r="WPL30" s="109"/>
      <c r="WPM30" s="109"/>
      <c r="WPN30" s="109"/>
      <c r="WPO30" s="109"/>
      <c r="WPP30" s="109"/>
      <c r="WPQ30" s="109"/>
      <c r="WPR30" s="109"/>
      <c r="WPS30" s="109"/>
      <c r="WPT30" s="109"/>
      <c r="WPU30" s="109"/>
      <c r="WPV30" s="109"/>
      <c r="WPW30" s="109"/>
      <c r="WPX30" s="109"/>
      <c r="WPY30" s="109"/>
      <c r="WPZ30" s="109"/>
      <c r="WQA30" s="109"/>
      <c r="WQB30" s="109"/>
      <c r="WQC30" s="109"/>
      <c r="WQD30" s="109"/>
      <c r="WQE30" s="109"/>
      <c r="WQF30" s="109"/>
      <c r="WQG30" s="109"/>
      <c r="WQH30" s="109"/>
      <c r="WQI30" s="109"/>
      <c r="WQJ30" s="109"/>
      <c r="WQK30" s="109"/>
      <c r="WQL30" s="109"/>
      <c r="WQM30" s="109"/>
      <c r="WQN30" s="109"/>
      <c r="WQO30" s="109"/>
      <c r="WQP30" s="109"/>
      <c r="WQQ30" s="109"/>
      <c r="WQR30" s="109"/>
      <c r="WQS30" s="109"/>
      <c r="WQT30" s="109"/>
      <c r="WQU30" s="109"/>
      <c r="WQV30" s="109"/>
      <c r="WQW30" s="109"/>
      <c r="WQX30" s="109"/>
      <c r="WQY30" s="109"/>
      <c r="WQZ30" s="109"/>
      <c r="WRA30" s="109"/>
      <c r="WRB30" s="109"/>
      <c r="WRC30" s="109"/>
      <c r="WRD30" s="109"/>
      <c r="WRE30" s="109"/>
      <c r="WRF30" s="109"/>
      <c r="WRG30" s="109"/>
      <c r="WRH30" s="109"/>
      <c r="WRI30" s="109"/>
      <c r="WRJ30" s="109"/>
      <c r="WRK30" s="109"/>
      <c r="WRL30" s="109"/>
      <c r="WRM30" s="109"/>
      <c r="WRN30" s="109"/>
      <c r="WRO30" s="109"/>
      <c r="WRP30" s="109"/>
      <c r="WRQ30" s="109"/>
      <c r="WRR30" s="109"/>
      <c r="WRS30" s="109"/>
      <c r="WRT30" s="109"/>
      <c r="WRU30" s="109"/>
      <c r="WRV30" s="109"/>
      <c r="WRW30" s="109"/>
      <c r="WRX30" s="109"/>
      <c r="WRY30" s="109"/>
      <c r="WRZ30" s="109"/>
      <c r="WSA30" s="109"/>
      <c r="WSB30" s="109"/>
      <c r="WSC30" s="109"/>
      <c r="WSD30" s="109"/>
      <c r="WSE30" s="109"/>
      <c r="WSF30" s="109"/>
      <c r="WSG30" s="109"/>
      <c r="WSH30" s="109"/>
      <c r="WSI30" s="109"/>
      <c r="WSJ30" s="109"/>
      <c r="WSK30" s="109"/>
      <c r="WSL30" s="109"/>
      <c r="WSM30" s="109"/>
      <c r="WSN30" s="109"/>
      <c r="WSO30" s="109"/>
      <c r="WSP30" s="109"/>
      <c r="WSQ30" s="109"/>
      <c r="WSR30" s="109"/>
      <c r="WSS30" s="109"/>
      <c r="WST30" s="109"/>
      <c r="WSU30" s="109"/>
      <c r="WSV30" s="109"/>
      <c r="WSW30" s="109"/>
      <c r="WSX30" s="109"/>
      <c r="WSY30" s="109"/>
      <c r="WSZ30" s="109"/>
      <c r="WTA30" s="109"/>
      <c r="WTB30" s="109"/>
      <c r="WTC30" s="109"/>
      <c r="WTD30" s="109"/>
      <c r="WTE30" s="109"/>
      <c r="WTF30" s="109"/>
      <c r="WTG30" s="109"/>
      <c r="WTH30" s="109"/>
      <c r="WTI30" s="109"/>
      <c r="WTJ30" s="109"/>
      <c r="WTK30" s="109"/>
      <c r="WTL30" s="109"/>
      <c r="WTM30" s="109"/>
      <c r="WTN30" s="109"/>
      <c r="WTO30" s="109"/>
      <c r="WTP30" s="109"/>
      <c r="WTQ30" s="109"/>
      <c r="WTR30" s="109"/>
      <c r="WTS30" s="109"/>
      <c r="WTT30" s="109"/>
      <c r="WTU30" s="109"/>
      <c r="WTV30" s="109"/>
      <c r="WTW30" s="109"/>
      <c r="WTX30" s="109"/>
      <c r="WTY30" s="109"/>
      <c r="WTZ30" s="109"/>
      <c r="WUA30" s="109"/>
      <c r="WUB30" s="109"/>
      <c r="WUC30" s="109"/>
      <c r="WUD30" s="109"/>
      <c r="WUE30" s="109"/>
      <c r="WUF30" s="109"/>
      <c r="WUG30" s="109"/>
      <c r="WUH30" s="109"/>
      <c r="WUI30" s="109"/>
      <c r="WUJ30" s="109"/>
      <c r="WUK30" s="109"/>
      <c r="WUL30" s="109"/>
      <c r="WUM30" s="109"/>
      <c r="WUN30" s="109"/>
      <c r="WUO30" s="109"/>
      <c r="WUP30" s="109"/>
      <c r="WUQ30" s="109"/>
      <c r="WUR30" s="109"/>
      <c r="WUS30" s="109"/>
      <c r="WUT30" s="109"/>
      <c r="WUU30" s="109"/>
      <c r="WUV30" s="109"/>
      <c r="WUW30" s="109"/>
      <c r="WUX30" s="109"/>
      <c r="WUY30" s="109"/>
      <c r="WUZ30" s="109"/>
      <c r="WVA30" s="109"/>
      <c r="WVB30" s="109"/>
      <c r="WVC30" s="109"/>
      <c r="WVD30" s="109"/>
      <c r="WVE30" s="109"/>
      <c r="WVF30" s="109"/>
      <c r="WVG30" s="109"/>
      <c r="WVH30" s="109"/>
      <c r="WVI30" s="109"/>
      <c r="WVJ30" s="109"/>
      <c r="WVK30" s="109"/>
      <c r="WVL30" s="109"/>
      <c r="WVM30" s="109"/>
      <c r="WVN30" s="109"/>
      <c r="WVO30" s="109"/>
      <c r="WVP30" s="109"/>
      <c r="WVQ30" s="109"/>
      <c r="WVR30" s="109"/>
      <c r="WVS30" s="109"/>
      <c r="WVT30" s="109"/>
      <c r="WVU30" s="109"/>
      <c r="WVV30" s="109"/>
      <c r="WVW30" s="109"/>
      <c r="WVX30" s="109"/>
      <c r="WVY30" s="109"/>
      <c r="WVZ30" s="109"/>
      <c r="WWA30" s="109"/>
      <c r="WWB30" s="109"/>
      <c r="WWC30" s="109"/>
      <c r="WWD30" s="109"/>
      <c r="WWE30" s="109"/>
      <c r="WWF30" s="109"/>
      <c r="WWG30" s="109"/>
      <c r="WWH30" s="109"/>
      <c r="WWI30" s="109"/>
      <c r="WWJ30" s="109"/>
      <c r="WWK30" s="109"/>
      <c r="WWL30" s="109"/>
      <c r="WWM30" s="109"/>
      <c r="WWN30" s="109"/>
      <c r="WWO30" s="109"/>
      <c r="WWP30" s="109"/>
      <c r="WWQ30" s="109"/>
      <c r="WWR30" s="109"/>
      <c r="WWS30" s="109"/>
      <c r="WWT30" s="109"/>
      <c r="WWU30" s="109"/>
      <c r="WWV30" s="109"/>
      <c r="WWW30" s="109"/>
      <c r="WWX30" s="109"/>
      <c r="WWY30" s="109"/>
      <c r="WWZ30" s="109"/>
      <c r="WXA30" s="109"/>
      <c r="WXB30" s="109"/>
      <c r="WXC30" s="109"/>
      <c r="WXD30" s="109"/>
      <c r="WXE30" s="109"/>
      <c r="WXF30" s="109"/>
      <c r="WXG30" s="109"/>
      <c r="WXH30" s="109"/>
      <c r="WXI30" s="109"/>
      <c r="WXJ30" s="109"/>
      <c r="WXK30" s="109"/>
      <c r="WXL30" s="109"/>
      <c r="WXM30" s="109"/>
      <c r="WXN30" s="109"/>
      <c r="WXO30" s="109"/>
      <c r="WXP30" s="109"/>
      <c r="WXQ30" s="109"/>
      <c r="WXR30" s="109"/>
      <c r="WXS30" s="109"/>
      <c r="WXT30" s="109"/>
      <c r="WXU30" s="109"/>
      <c r="WXV30" s="109"/>
      <c r="WXW30" s="109"/>
      <c r="WXX30" s="109"/>
      <c r="WXY30" s="109"/>
      <c r="WXZ30" s="109"/>
      <c r="WYA30" s="109"/>
      <c r="WYB30" s="109"/>
      <c r="WYC30" s="109"/>
      <c r="WYD30" s="109"/>
      <c r="WYE30" s="109"/>
      <c r="WYF30" s="109"/>
      <c r="WYG30" s="109"/>
      <c r="WYH30" s="109"/>
      <c r="WYI30" s="109"/>
      <c r="WYJ30" s="109"/>
      <c r="WYK30" s="109"/>
      <c r="WYL30" s="109"/>
      <c r="WYM30" s="109"/>
      <c r="WYN30" s="109"/>
      <c r="WYO30" s="109"/>
      <c r="WYP30" s="109"/>
      <c r="WYQ30" s="109"/>
      <c r="WYR30" s="109"/>
      <c r="WYS30" s="109"/>
      <c r="WYT30" s="109"/>
      <c r="WYU30" s="109"/>
      <c r="WYV30" s="109"/>
      <c r="WYW30" s="109"/>
      <c r="WYX30" s="109"/>
      <c r="WYY30" s="109"/>
      <c r="WYZ30" s="109"/>
      <c r="WZA30" s="109"/>
      <c r="WZB30" s="109"/>
      <c r="WZC30" s="109"/>
      <c r="WZD30" s="109"/>
      <c r="WZE30" s="109"/>
      <c r="WZF30" s="109"/>
      <c r="WZG30" s="109"/>
      <c r="WZH30" s="109"/>
      <c r="WZI30" s="109"/>
      <c r="WZJ30" s="109"/>
      <c r="WZK30" s="109"/>
      <c r="WZL30" s="109"/>
      <c r="WZM30" s="109"/>
      <c r="WZN30" s="109"/>
      <c r="WZO30" s="109"/>
      <c r="WZP30" s="109"/>
      <c r="WZQ30" s="109"/>
      <c r="WZR30" s="109"/>
      <c r="WZS30" s="109"/>
      <c r="WZT30" s="109"/>
      <c r="WZU30" s="109"/>
      <c r="WZV30" s="109"/>
      <c r="WZW30" s="109"/>
      <c r="WZX30" s="109"/>
      <c r="WZY30" s="109"/>
      <c r="WZZ30" s="109"/>
      <c r="XAA30" s="109"/>
      <c r="XAB30" s="109"/>
      <c r="XAC30" s="109"/>
      <c r="XAD30" s="109"/>
      <c r="XAE30" s="109"/>
      <c r="XAF30" s="109"/>
      <c r="XAG30" s="109"/>
      <c r="XAH30" s="109"/>
      <c r="XAI30" s="109"/>
      <c r="XAJ30" s="109"/>
      <c r="XAK30" s="109"/>
      <c r="XAL30" s="109"/>
      <c r="XAM30" s="109"/>
      <c r="XAN30" s="109"/>
      <c r="XAO30" s="109"/>
      <c r="XAP30" s="109"/>
      <c r="XAQ30" s="109"/>
      <c r="XAR30" s="109"/>
      <c r="XAS30" s="109"/>
      <c r="XAT30" s="109"/>
      <c r="XAU30" s="109"/>
      <c r="XAV30" s="109"/>
      <c r="XAW30" s="109"/>
      <c r="XAX30" s="109"/>
      <c r="XAY30" s="109"/>
      <c r="XAZ30" s="109"/>
      <c r="XBA30" s="109"/>
      <c r="XBB30" s="109"/>
      <c r="XBC30" s="109"/>
      <c r="XBD30" s="109"/>
      <c r="XBE30" s="109"/>
      <c r="XBF30" s="109"/>
      <c r="XBG30" s="109"/>
      <c r="XBH30" s="109"/>
      <c r="XBI30" s="109"/>
      <c r="XBJ30" s="109"/>
      <c r="XBK30" s="109"/>
      <c r="XBL30" s="109"/>
      <c r="XBM30" s="109"/>
      <c r="XBN30" s="109"/>
      <c r="XBO30" s="109"/>
      <c r="XBP30" s="109"/>
      <c r="XBQ30" s="109"/>
      <c r="XBR30" s="109"/>
      <c r="XBS30" s="109"/>
      <c r="XBT30" s="109"/>
      <c r="XBU30" s="109"/>
      <c r="XBV30" s="109"/>
      <c r="XBW30" s="109"/>
      <c r="XBX30" s="109"/>
      <c r="XBY30" s="109"/>
      <c r="XBZ30" s="109"/>
      <c r="XCA30" s="109"/>
      <c r="XCB30" s="109"/>
      <c r="XCC30" s="109"/>
      <c r="XCD30" s="109"/>
      <c r="XCE30" s="109"/>
      <c r="XCF30" s="109"/>
      <c r="XCG30" s="109"/>
      <c r="XCH30" s="109"/>
      <c r="XCI30" s="109"/>
      <c r="XCJ30" s="109"/>
      <c r="XCK30" s="109"/>
      <c r="XCL30" s="109"/>
      <c r="XCM30" s="109"/>
      <c r="XCN30" s="109"/>
      <c r="XCO30" s="109"/>
      <c r="XCP30" s="109"/>
      <c r="XCQ30" s="109"/>
      <c r="XCR30" s="109"/>
      <c r="XCS30" s="109"/>
      <c r="XCT30" s="109"/>
      <c r="XCU30" s="109"/>
      <c r="XCV30" s="109"/>
      <c r="XCW30" s="109"/>
      <c r="XCX30" s="109"/>
      <c r="XCY30" s="109"/>
      <c r="XCZ30" s="109"/>
      <c r="XDA30" s="109"/>
      <c r="XDB30" s="109"/>
      <c r="XDC30" s="109"/>
      <c r="XDD30" s="109"/>
      <c r="XDE30" s="109"/>
      <c r="XDF30" s="109"/>
      <c r="XDG30" s="109"/>
      <c r="XDH30" s="109"/>
      <c r="XDI30" s="109"/>
      <c r="XDJ30" s="109"/>
      <c r="XDK30" s="109"/>
      <c r="XDL30" s="109"/>
      <c r="XDM30" s="109"/>
      <c r="XDN30" s="109"/>
      <c r="XDO30" s="109"/>
      <c r="XDP30" s="109"/>
      <c r="XDQ30" s="109"/>
      <c r="XDR30" s="109"/>
      <c r="XDS30" s="109"/>
      <c r="XDT30" s="109"/>
      <c r="XDU30" s="109"/>
      <c r="XDV30" s="109"/>
      <c r="XDW30" s="109"/>
      <c r="XDX30" s="109"/>
      <c r="XDY30" s="109"/>
      <c r="XDZ30" s="109"/>
      <c r="XEA30" s="109"/>
      <c r="XEB30" s="109"/>
      <c r="XEC30" s="109"/>
      <c r="XED30" s="109"/>
      <c r="XEE30" s="109"/>
      <c r="XEF30" s="109"/>
      <c r="XEG30" s="109"/>
      <c r="XEH30" s="109"/>
      <c r="XEI30" s="109"/>
      <c r="XEJ30" s="109"/>
      <c r="XEK30" s="109"/>
      <c r="XEL30" s="109"/>
      <c r="XEM30" s="109"/>
      <c r="XEN30" s="109"/>
      <c r="XEO30" s="109"/>
      <c r="XEP30" s="109"/>
      <c r="XEQ30" s="109"/>
      <c r="XER30" s="109"/>
      <c r="XES30" s="109"/>
      <c r="XET30" s="109"/>
      <c r="XEU30" s="109"/>
      <c r="XEV30" s="109"/>
      <c r="XEW30" s="109"/>
      <c r="XEX30" s="109"/>
      <c r="XEY30" s="109"/>
      <c r="XEZ30" s="109"/>
      <c r="XFA30" s="109"/>
      <c r="XFB30" s="109"/>
      <c r="XFC30" s="109"/>
      <c r="XFD30" s="109"/>
    </row>
    <row r="31" spans="1:16384" s="98" customFormat="1" ht="12.75" x14ac:dyDescent="0.25">
      <c r="A31" s="20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9072.2</v>
      </c>
      <c r="B31" s="74" t="str">
        <f>B$29</f>
        <v>C</v>
      </c>
      <c r="C31" s="28" t="s">
        <v>19</v>
      </c>
      <c r="D31" s="28"/>
      <c r="E31" s="28" t="s">
        <v>31</v>
      </c>
      <c r="F31" s="28"/>
      <c r="G31" s="74"/>
      <c r="H31" s="105">
        <v>2015</v>
      </c>
      <c r="I31" s="63">
        <v>43</v>
      </c>
      <c r="J31" s="64">
        <f>IsoWeekToDateB2(H31,I31)</f>
        <v>42296</v>
      </c>
      <c r="K31" s="21">
        <f>J31+L31-1</f>
        <v>42309</v>
      </c>
      <c r="L31" s="22">
        <f t="shared" si="722"/>
        <v>14</v>
      </c>
      <c r="M31" s="52">
        <v>2</v>
      </c>
      <c r="N31" s="53">
        <v>0</v>
      </c>
      <c r="O31" s="22">
        <f t="shared" si="723"/>
        <v>10</v>
      </c>
      <c r="P31" s="23">
        <f t="shared" si="724"/>
        <v>0</v>
      </c>
      <c r="Q31" s="22">
        <f t="shared" si="725"/>
        <v>14</v>
      </c>
      <c r="R31" s="2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  <c r="BY31" s="109"/>
      <c r="BZ31" s="109"/>
      <c r="CA31" s="109"/>
      <c r="CB31" s="109"/>
      <c r="CC31" s="109"/>
      <c r="CD31" s="109"/>
      <c r="CE31" s="109"/>
      <c r="CF31" s="109"/>
      <c r="CG31" s="109"/>
      <c r="CH31" s="109"/>
      <c r="CI31" s="109"/>
      <c r="CJ31" s="109"/>
      <c r="CK31" s="109"/>
      <c r="CL31" s="109"/>
      <c r="CM31" s="109"/>
      <c r="CN31" s="109"/>
      <c r="CO31" s="109"/>
      <c r="CP31" s="109"/>
      <c r="CQ31" s="109"/>
      <c r="CR31" s="109"/>
      <c r="CS31" s="109"/>
      <c r="CT31" s="109"/>
      <c r="CU31" s="109"/>
      <c r="CV31" s="109"/>
      <c r="CW31" s="109"/>
      <c r="CX31" s="109"/>
      <c r="CY31" s="109"/>
      <c r="CZ31" s="109"/>
      <c r="DA31" s="109"/>
      <c r="DB31" s="109"/>
      <c r="DC31" s="109"/>
      <c r="DD31" s="109"/>
      <c r="DE31" s="109"/>
      <c r="DF31" s="109"/>
      <c r="DG31" s="109"/>
      <c r="DH31" s="109"/>
      <c r="DI31" s="109"/>
      <c r="DJ31" s="109"/>
      <c r="DK31" s="109"/>
      <c r="DL31" s="109"/>
      <c r="DM31" s="109"/>
      <c r="DN31" s="109"/>
      <c r="DO31" s="109"/>
      <c r="DP31" s="109"/>
      <c r="DQ31" s="109"/>
      <c r="DR31" s="109"/>
      <c r="DS31" s="109"/>
      <c r="DT31" s="109"/>
      <c r="DU31" s="109"/>
      <c r="DV31" s="109"/>
      <c r="DW31" s="109"/>
      <c r="DX31" s="109"/>
      <c r="DY31" s="109"/>
      <c r="DZ31" s="109"/>
      <c r="EA31" s="109"/>
      <c r="EB31" s="109"/>
      <c r="EC31" s="109"/>
      <c r="ED31" s="109"/>
      <c r="EE31" s="109"/>
      <c r="EF31" s="109"/>
      <c r="EG31" s="109"/>
      <c r="EH31" s="109"/>
      <c r="EI31" s="109"/>
      <c r="EJ31" s="109"/>
      <c r="EK31" s="109"/>
      <c r="EL31" s="109"/>
      <c r="EM31" s="109"/>
      <c r="EN31" s="109"/>
      <c r="EO31" s="109"/>
      <c r="EP31" s="109"/>
      <c r="EQ31" s="109"/>
      <c r="ER31" s="109"/>
      <c r="ES31" s="109"/>
      <c r="ET31" s="109"/>
      <c r="EU31" s="109"/>
      <c r="EV31" s="109"/>
      <c r="EW31" s="109"/>
      <c r="EX31" s="109"/>
      <c r="EY31" s="109"/>
      <c r="EZ31" s="109"/>
      <c r="FA31" s="109"/>
      <c r="FB31" s="109"/>
      <c r="FC31" s="109"/>
      <c r="FD31" s="109"/>
      <c r="FE31" s="109"/>
      <c r="FF31" s="109"/>
      <c r="FG31" s="109"/>
      <c r="FH31" s="109"/>
      <c r="FI31" s="109"/>
      <c r="FJ31" s="109"/>
      <c r="FK31" s="109"/>
      <c r="FL31" s="109"/>
      <c r="FM31" s="109"/>
      <c r="FN31" s="109"/>
      <c r="FO31" s="109"/>
      <c r="FP31" s="109"/>
      <c r="FQ31" s="109"/>
      <c r="FR31" s="109"/>
      <c r="FS31" s="109"/>
      <c r="FT31" s="109"/>
      <c r="FU31" s="109"/>
      <c r="FV31" s="109"/>
      <c r="FW31" s="109"/>
      <c r="FX31" s="109"/>
      <c r="FY31" s="109"/>
      <c r="FZ31" s="109"/>
      <c r="GA31" s="109"/>
      <c r="GB31" s="109"/>
      <c r="GC31" s="109"/>
      <c r="GD31" s="109"/>
      <c r="GE31" s="109"/>
      <c r="GF31" s="109"/>
      <c r="GG31" s="109"/>
      <c r="GH31" s="109"/>
      <c r="GI31" s="109"/>
      <c r="GJ31" s="109"/>
      <c r="GK31" s="109"/>
      <c r="GL31" s="109"/>
      <c r="GM31" s="109"/>
      <c r="GN31" s="109"/>
      <c r="GO31" s="109"/>
      <c r="GP31" s="109"/>
      <c r="GQ31" s="109"/>
      <c r="GR31" s="109"/>
      <c r="GS31" s="109"/>
      <c r="GT31" s="109"/>
      <c r="GU31" s="109"/>
      <c r="GV31" s="109"/>
      <c r="GW31" s="109"/>
      <c r="GX31" s="109"/>
      <c r="GY31" s="109"/>
      <c r="GZ31" s="109"/>
      <c r="HA31" s="109"/>
      <c r="HB31" s="109"/>
      <c r="HC31" s="109"/>
      <c r="HD31" s="109"/>
      <c r="HE31" s="109"/>
      <c r="HF31" s="109"/>
      <c r="HG31" s="109"/>
      <c r="HH31" s="109"/>
      <c r="HI31" s="109"/>
      <c r="HJ31" s="109"/>
      <c r="HK31" s="109"/>
      <c r="HL31" s="109"/>
      <c r="HM31" s="109"/>
      <c r="HN31" s="109"/>
      <c r="HO31" s="109"/>
      <c r="HP31" s="109"/>
      <c r="HQ31" s="109"/>
      <c r="HR31" s="109"/>
      <c r="HS31" s="109"/>
      <c r="HT31" s="109"/>
      <c r="HU31" s="109"/>
      <c r="HV31" s="109"/>
      <c r="HW31" s="109"/>
      <c r="HX31" s="109"/>
      <c r="HY31" s="109"/>
      <c r="HZ31" s="109"/>
      <c r="IA31" s="109"/>
      <c r="IB31" s="109"/>
      <c r="IC31" s="109"/>
      <c r="ID31" s="109"/>
      <c r="IE31" s="109"/>
      <c r="IF31" s="109"/>
      <c r="IG31" s="109"/>
      <c r="IH31" s="109"/>
      <c r="II31" s="109"/>
      <c r="IJ31" s="109"/>
      <c r="IK31" s="109"/>
      <c r="IL31" s="109"/>
      <c r="IM31" s="109"/>
      <c r="IN31" s="109"/>
      <c r="IO31" s="109"/>
      <c r="IP31" s="109"/>
      <c r="IQ31" s="109"/>
      <c r="IR31" s="109"/>
      <c r="IS31" s="109"/>
      <c r="IT31" s="109"/>
      <c r="IU31" s="109"/>
      <c r="IV31" s="109"/>
      <c r="IW31" s="109"/>
      <c r="IX31" s="109"/>
      <c r="IY31" s="109"/>
      <c r="IZ31" s="109"/>
      <c r="JA31" s="109"/>
      <c r="JB31" s="109"/>
      <c r="JC31" s="109"/>
      <c r="JD31" s="109"/>
      <c r="JE31" s="109"/>
      <c r="JF31" s="109"/>
      <c r="JG31" s="109"/>
      <c r="JH31" s="109"/>
      <c r="JI31" s="109"/>
      <c r="JJ31" s="109"/>
      <c r="JK31" s="109"/>
      <c r="JL31" s="109"/>
      <c r="JM31" s="109"/>
      <c r="JN31" s="109"/>
      <c r="JO31" s="109"/>
      <c r="JP31" s="109"/>
      <c r="JQ31" s="109"/>
      <c r="JR31" s="109"/>
      <c r="JS31" s="109"/>
      <c r="JT31" s="109"/>
      <c r="JU31" s="109"/>
      <c r="JV31" s="109"/>
      <c r="JW31" s="109"/>
      <c r="JX31" s="109"/>
      <c r="JY31" s="109"/>
      <c r="JZ31" s="109"/>
      <c r="KA31" s="109"/>
      <c r="KB31" s="109"/>
      <c r="KC31" s="109"/>
      <c r="KD31" s="109"/>
      <c r="KE31" s="109"/>
      <c r="KF31" s="109"/>
      <c r="KG31" s="109"/>
      <c r="KH31" s="109"/>
      <c r="KI31" s="109"/>
      <c r="KJ31" s="109"/>
      <c r="KK31" s="109"/>
      <c r="KL31" s="109"/>
      <c r="KM31" s="109"/>
      <c r="KN31" s="109"/>
      <c r="KO31" s="109"/>
      <c r="KP31" s="109"/>
      <c r="KQ31" s="109"/>
      <c r="KR31" s="109"/>
      <c r="KS31" s="109"/>
      <c r="KT31" s="109"/>
      <c r="KU31" s="109"/>
      <c r="KV31" s="109"/>
      <c r="KW31" s="109"/>
      <c r="KX31" s="109"/>
      <c r="KY31" s="109"/>
      <c r="KZ31" s="109"/>
      <c r="LA31" s="109"/>
      <c r="LB31" s="109"/>
      <c r="LC31" s="109"/>
      <c r="LD31" s="109"/>
      <c r="LE31" s="109"/>
      <c r="LF31" s="109"/>
      <c r="LG31" s="109"/>
      <c r="LH31" s="109"/>
      <c r="LI31" s="109"/>
      <c r="LJ31" s="109"/>
      <c r="LK31" s="109"/>
      <c r="LL31" s="109"/>
      <c r="LM31" s="109"/>
      <c r="LN31" s="109"/>
      <c r="LO31" s="109"/>
      <c r="LP31" s="109"/>
      <c r="LQ31" s="109"/>
      <c r="LR31" s="109"/>
      <c r="LS31" s="109"/>
      <c r="LT31" s="109"/>
      <c r="LU31" s="109"/>
      <c r="LV31" s="109"/>
      <c r="LW31" s="109"/>
      <c r="LX31" s="109"/>
      <c r="LY31" s="109"/>
      <c r="LZ31" s="109"/>
      <c r="MA31" s="109"/>
      <c r="MB31" s="109"/>
      <c r="MC31" s="109"/>
      <c r="MD31" s="109"/>
      <c r="ME31" s="109"/>
      <c r="MF31" s="109"/>
      <c r="MG31" s="109"/>
      <c r="MH31" s="109"/>
      <c r="MI31" s="109"/>
      <c r="MJ31" s="109"/>
      <c r="MK31" s="109"/>
      <c r="ML31" s="109"/>
      <c r="MM31" s="109"/>
      <c r="MN31" s="109"/>
      <c r="MO31" s="109"/>
      <c r="MP31" s="109"/>
      <c r="MQ31" s="109"/>
      <c r="MR31" s="109"/>
      <c r="MS31" s="109"/>
      <c r="MT31" s="109"/>
      <c r="MU31" s="109"/>
      <c r="MV31" s="109"/>
      <c r="MW31" s="109"/>
      <c r="MX31" s="109"/>
      <c r="MY31" s="109"/>
      <c r="MZ31" s="109"/>
      <c r="NA31" s="109"/>
      <c r="NB31" s="109"/>
      <c r="NC31" s="109"/>
      <c r="ND31" s="109"/>
      <c r="NE31" s="109"/>
      <c r="NF31" s="109"/>
      <c r="NG31" s="109"/>
      <c r="NH31" s="109"/>
      <c r="NI31" s="109"/>
      <c r="NJ31" s="109"/>
      <c r="NK31" s="109"/>
      <c r="NL31" s="109"/>
      <c r="NM31" s="109"/>
      <c r="NN31" s="109"/>
      <c r="NO31" s="109"/>
      <c r="NP31" s="109"/>
      <c r="NQ31" s="109"/>
      <c r="NR31" s="109"/>
      <c r="NS31" s="109"/>
      <c r="NT31" s="109"/>
      <c r="NU31" s="109"/>
      <c r="NV31" s="109"/>
      <c r="NW31" s="109"/>
      <c r="NX31" s="109"/>
      <c r="NY31" s="109"/>
      <c r="NZ31" s="109"/>
      <c r="OA31" s="109"/>
      <c r="OB31" s="109"/>
      <c r="OC31" s="109"/>
      <c r="OD31" s="109"/>
      <c r="OE31" s="109"/>
      <c r="OF31" s="109"/>
      <c r="OG31" s="109"/>
      <c r="OH31" s="109"/>
      <c r="OI31" s="109"/>
      <c r="OJ31" s="109"/>
      <c r="OK31" s="109"/>
      <c r="OL31" s="109"/>
      <c r="OM31" s="109"/>
      <c r="ON31" s="109"/>
      <c r="OO31" s="109"/>
      <c r="OP31" s="109"/>
      <c r="OQ31" s="109"/>
      <c r="OR31" s="109"/>
      <c r="OS31" s="109"/>
      <c r="OT31" s="109"/>
      <c r="OU31" s="109"/>
      <c r="OV31" s="109"/>
      <c r="OW31" s="109"/>
      <c r="OX31" s="109"/>
      <c r="OY31" s="109"/>
      <c r="OZ31" s="109"/>
      <c r="PA31" s="109"/>
      <c r="PB31" s="109"/>
      <c r="PC31" s="109"/>
      <c r="PD31" s="109"/>
      <c r="PE31" s="109"/>
      <c r="PF31" s="109"/>
      <c r="PG31" s="109"/>
      <c r="PH31" s="109"/>
      <c r="PI31" s="109"/>
      <c r="PJ31" s="109"/>
      <c r="PK31" s="109"/>
      <c r="PL31" s="109"/>
      <c r="PM31" s="109"/>
      <c r="PN31" s="109"/>
      <c r="PO31" s="109"/>
      <c r="PP31" s="109"/>
      <c r="PQ31" s="109"/>
      <c r="PR31" s="109"/>
      <c r="PS31" s="109"/>
      <c r="PT31" s="109"/>
      <c r="PU31" s="109"/>
      <c r="PV31" s="109"/>
      <c r="PW31" s="109"/>
      <c r="PX31" s="109"/>
      <c r="PY31" s="109"/>
      <c r="PZ31" s="109"/>
      <c r="QA31" s="109"/>
      <c r="QB31" s="109"/>
      <c r="QC31" s="109"/>
      <c r="QD31" s="109"/>
      <c r="QE31" s="109"/>
      <c r="QF31" s="109"/>
      <c r="QG31" s="109"/>
      <c r="QH31" s="109"/>
      <c r="QI31" s="109"/>
      <c r="QJ31" s="109"/>
      <c r="QK31" s="109"/>
      <c r="QL31" s="109"/>
      <c r="QM31" s="109"/>
      <c r="QN31" s="109"/>
      <c r="QO31" s="109"/>
      <c r="QP31" s="109"/>
      <c r="QQ31" s="109"/>
      <c r="QR31" s="109"/>
      <c r="QS31" s="109"/>
      <c r="QT31" s="109"/>
      <c r="QU31" s="109"/>
      <c r="QV31" s="109"/>
      <c r="QW31" s="109"/>
      <c r="QX31" s="109"/>
      <c r="QY31" s="109"/>
      <c r="QZ31" s="109"/>
      <c r="RA31" s="109"/>
      <c r="RB31" s="109"/>
      <c r="RC31" s="109"/>
      <c r="RD31" s="109"/>
      <c r="RE31" s="109"/>
      <c r="RF31" s="109"/>
      <c r="RG31" s="109"/>
      <c r="RH31" s="109"/>
      <c r="RI31" s="109"/>
      <c r="RJ31" s="109"/>
      <c r="RK31" s="109"/>
      <c r="RL31" s="109"/>
      <c r="RM31" s="109"/>
      <c r="RN31" s="109"/>
      <c r="RO31" s="109"/>
      <c r="RP31" s="109"/>
      <c r="RQ31" s="109"/>
      <c r="RR31" s="109"/>
      <c r="RS31" s="109"/>
      <c r="RT31" s="109"/>
      <c r="RU31" s="109"/>
      <c r="RV31" s="109"/>
      <c r="RW31" s="109"/>
      <c r="RX31" s="109"/>
      <c r="RY31" s="109"/>
      <c r="RZ31" s="109"/>
      <c r="SA31" s="109"/>
      <c r="SB31" s="109"/>
      <c r="SC31" s="109"/>
      <c r="SD31" s="109"/>
      <c r="SE31" s="109"/>
      <c r="SF31" s="109"/>
      <c r="SG31" s="109"/>
      <c r="SH31" s="109"/>
      <c r="SI31" s="109"/>
      <c r="SJ31" s="109"/>
      <c r="SK31" s="109"/>
      <c r="SL31" s="109"/>
      <c r="SM31" s="109"/>
      <c r="SN31" s="109"/>
      <c r="SO31" s="109"/>
      <c r="SP31" s="109"/>
      <c r="SQ31" s="109"/>
      <c r="SR31" s="109"/>
      <c r="SS31" s="109"/>
      <c r="ST31" s="109"/>
      <c r="SU31" s="109"/>
      <c r="SV31" s="109"/>
      <c r="SW31" s="109"/>
      <c r="SX31" s="109"/>
      <c r="SY31" s="109"/>
      <c r="SZ31" s="109"/>
      <c r="TA31" s="109"/>
      <c r="TB31" s="109"/>
      <c r="TC31" s="109"/>
      <c r="TD31" s="109"/>
      <c r="TE31" s="109"/>
      <c r="TF31" s="109"/>
      <c r="TG31" s="109"/>
      <c r="TH31" s="109"/>
      <c r="TI31" s="109"/>
      <c r="TJ31" s="109"/>
      <c r="TK31" s="109"/>
      <c r="TL31" s="109"/>
      <c r="TM31" s="109"/>
      <c r="TN31" s="109"/>
      <c r="TO31" s="109"/>
      <c r="TP31" s="109"/>
      <c r="TQ31" s="109"/>
      <c r="TR31" s="109"/>
      <c r="TS31" s="109"/>
      <c r="TT31" s="109"/>
      <c r="TU31" s="109"/>
      <c r="TV31" s="109"/>
      <c r="TW31" s="109"/>
      <c r="TX31" s="109"/>
      <c r="TY31" s="109"/>
      <c r="TZ31" s="109"/>
      <c r="UA31" s="109"/>
      <c r="UB31" s="109"/>
      <c r="UC31" s="109"/>
      <c r="UD31" s="109"/>
      <c r="UE31" s="109"/>
      <c r="UF31" s="109"/>
      <c r="UG31" s="109"/>
      <c r="UH31" s="109"/>
      <c r="UI31" s="109"/>
      <c r="UJ31" s="109"/>
      <c r="UK31" s="109"/>
      <c r="UL31" s="109"/>
      <c r="UM31" s="109"/>
      <c r="UN31" s="109"/>
      <c r="UO31" s="109"/>
      <c r="UP31" s="109"/>
      <c r="UQ31" s="109"/>
      <c r="UR31" s="109"/>
      <c r="US31" s="109"/>
      <c r="UT31" s="109"/>
      <c r="UU31" s="109"/>
      <c r="UV31" s="109"/>
      <c r="UW31" s="109"/>
      <c r="UX31" s="109"/>
      <c r="UY31" s="109"/>
      <c r="UZ31" s="109"/>
      <c r="VA31" s="109"/>
      <c r="VB31" s="109"/>
      <c r="VC31" s="109"/>
      <c r="VD31" s="109"/>
      <c r="VE31" s="109"/>
      <c r="VF31" s="109"/>
      <c r="VG31" s="109"/>
      <c r="VH31" s="109"/>
      <c r="VI31" s="109"/>
      <c r="VJ31" s="109"/>
      <c r="VK31" s="109"/>
      <c r="VL31" s="109"/>
      <c r="VM31" s="109"/>
      <c r="VN31" s="109"/>
      <c r="VO31" s="109"/>
      <c r="VP31" s="109"/>
      <c r="VQ31" s="109"/>
      <c r="VR31" s="109"/>
      <c r="VS31" s="109"/>
      <c r="VT31" s="109"/>
      <c r="VU31" s="109"/>
      <c r="VV31" s="109"/>
      <c r="VW31" s="109"/>
      <c r="VX31" s="109"/>
      <c r="VY31" s="109"/>
      <c r="VZ31" s="109"/>
      <c r="WA31" s="109"/>
      <c r="WB31" s="109"/>
      <c r="WC31" s="109"/>
      <c r="WD31" s="109"/>
      <c r="WE31" s="109"/>
      <c r="WF31" s="109"/>
      <c r="WG31" s="109"/>
      <c r="WH31" s="109"/>
      <c r="WI31" s="109"/>
      <c r="WJ31" s="109"/>
      <c r="WK31" s="109"/>
      <c r="WL31" s="109"/>
      <c r="WM31" s="109"/>
      <c r="WN31" s="109"/>
      <c r="WO31" s="109"/>
      <c r="WP31" s="109"/>
      <c r="WQ31" s="109"/>
      <c r="WR31" s="109"/>
      <c r="WS31" s="109"/>
      <c r="WT31" s="109"/>
      <c r="WU31" s="109"/>
      <c r="WV31" s="109"/>
      <c r="WW31" s="109"/>
      <c r="WX31" s="109"/>
      <c r="WY31" s="109"/>
      <c r="WZ31" s="109"/>
      <c r="XA31" s="109"/>
      <c r="XB31" s="109"/>
      <c r="XC31" s="109"/>
      <c r="XD31" s="109"/>
      <c r="XE31" s="109"/>
      <c r="XF31" s="109"/>
      <c r="XG31" s="109"/>
      <c r="XH31" s="109"/>
      <c r="XI31" s="109"/>
      <c r="XJ31" s="109"/>
      <c r="XK31" s="109"/>
      <c r="XL31" s="109"/>
      <c r="XM31" s="109"/>
      <c r="XN31" s="109"/>
      <c r="XO31" s="109"/>
      <c r="XP31" s="109"/>
      <c r="XQ31" s="109"/>
      <c r="XR31" s="109"/>
      <c r="XS31" s="109"/>
      <c r="XT31" s="109"/>
      <c r="XU31" s="109"/>
      <c r="XV31" s="109"/>
      <c r="XW31" s="109"/>
      <c r="XX31" s="109"/>
      <c r="XY31" s="109"/>
      <c r="XZ31" s="109"/>
      <c r="YA31" s="109"/>
      <c r="YB31" s="109"/>
      <c r="YC31" s="109"/>
      <c r="YD31" s="109"/>
      <c r="YE31" s="109"/>
      <c r="YF31" s="109"/>
      <c r="YG31" s="109"/>
      <c r="YH31" s="109"/>
      <c r="YI31" s="109"/>
      <c r="YJ31" s="109"/>
      <c r="YK31" s="109"/>
      <c r="YL31" s="109"/>
      <c r="YM31" s="109"/>
      <c r="YN31" s="109"/>
      <c r="YO31" s="109"/>
      <c r="YP31" s="109"/>
      <c r="YQ31" s="109"/>
      <c r="YR31" s="109"/>
      <c r="YS31" s="109"/>
      <c r="YT31" s="109"/>
      <c r="YU31" s="109"/>
      <c r="YV31" s="109"/>
      <c r="YW31" s="109"/>
      <c r="YX31" s="109"/>
      <c r="YY31" s="109"/>
      <c r="YZ31" s="109"/>
      <c r="ZA31" s="109"/>
      <c r="ZB31" s="109"/>
      <c r="ZC31" s="109"/>
      <c r="ZD31" s="109"/>
      <c r="ZE31" s="109"/>
      <c r="ZF31" s="109"/>
      <c r="ZG31" s="109"/>
      <c r="ZH31" s="109"/>
      <c r="ZI31" s="109"/>
      <c r="ZJ31" s="109"/>
      <c r="ZK31" s="109"/>
      <c r="ZL31" s="109"/>
      <c r="ZM31" s="109"/>
      <c r="ZN31" s="109"/>
      <c r="ZO31" s="109"/>
      <c r="ZP31" s="109"/>
      <c r="ZQ31" s="109"/>
      <c r="ZR31" s="109"/>
      <c r="ZS31" s="109"/>
      <c r="ZT31" s="109"/>
      <c r="ZU31" s="109"/>
      <c r="ZV31" s="109"/>
      <c r="ZW31" s="109"/>
      <c r="ZX31" s="109"/>
      <c r="ZY31" s="109"/>
      <c r="ZZ31" s="109"/>
      <c r="AAA31" s="109"/>
      <c r="AAB31" s="109"/>
      <c r="AAC31" s="109"/>
      <c r="AAD31" s="109"/>
      <c r="AAE31" s="109"/>
      <c r="AAF31" s="109"/>
      <c r="AAG31" s="109"/>
      <c r="AAH31" s="109"/>
      <c r="AAI31" s="109"/>
      <c r="AAJ31" s="109"/>
      <c r="AAK31" s="109"/>
      <c r="AAL31" s="109"/>
      <c r="AAM31" s="109"/>
      <c r="AAN31" s="109"/>
      <c r="AAO31" s="109"/>
      <c r="AAP31" s="109"/>
      <c r="AAQ31" s="109"/>
      <c r="AAR31" s="109"/>
      <c r="AAS31" s="109"/>
      <c r="AAT31" s="109"/>
      <c r="AAU31" s="109"/>
      <c r="AAV31" s="109"/>
      <c r="AAW31" s="109"/>
      <c r="AAX31" s="109"/>
      <c r="AAY31" s="109"/>
      <c r="AAZ31" s="109"/>
      <c r="ABA31" s="109"/>
      <c r="ABB31" s="109"/>
      <c r="ABC31" s="109"/>
      <c r="ABD31" s="109"/>
      <c r="ABE31" s="109"/>
      <c r="ABF31" s="109"/>
      <c r="ABG31" s="109"/>
      <c r="ABH31" s="109"/>
      <c r="ABI31" s="109"/>
      <c r="ABJ31" s="109"/>
      <c r="ABK31" s="109"/>
      <c r="ABL31" s="109"/>
      <c r="ABM31" s="109"/>
      <c r="ABN31" s="109"/>
      <c r="ABO31" s="109"/>
      <c r="ABP31" s="109"/>
      <c r="ABQ31" s="109"/>
      <c r="ABR31" s="109"/>
      <c r="ABS31" s="109"/>
      <c r="ABT31" s="109"/>
      <c r="ABU31" s="109"/>
      <c r="ABV31" s="109"/>
      <c r="ABW31" s="109"/>
      <c r="ABX31" s="109"/>
      <c r="ABY31" s="109"/>
      <c r="ABZ31" s="109"/>
      <c r="ACA31" s="109"/>
      <c r="ACB31" s="109"/>
      <c r="ACC31" s="109"/>
      <c r="ACD31" s="109"/>
      <c r="ACE31" s="109"/>
      <c r="ACF31" s="109"/>
      <c r="ACG31" s="109"/>
      <c r="ACH31" s="109"/>
      <c r="ACI31" s="109"/>
      <c r="ACJ31" s="109"/>
      <c r="ACK31" s="109"/>
      <c r="ACL31" s="109"/>
      <c r="ACM31" s="109"/>
      <c r="ACN31" s="109"/>
      <c r="ACO31" s="109"/>
      <c r="ACP31" s="109"/>
      <c r="ACQ31" s="109"/>
      <c r="ACR31" s="109"/>
      <c r="ACS31" s="109"/>
      <c r="ACT31" s="109"/>
      <c r="ACU31" s="109"/>
      <c r="ACV31" s="109"/>
      <c r="ACW31" s="109"/>
      <c r="ACX31" s="109"/>
      <c r="ACY31" s="109"/>
      <c r="ACZ31" s="109"/>
      <c r="ADA31" s="109"/>
      <c r="ADB31" s="109"/>
      <c r="ADC31" s="109"/>
      <c r="ADD31" s="109"/>
      <c r="ADE31" s="109"/>
      <c r="ADF31" s="109"/>
      <c r="ADG31" s="109"/>
      <c r="ADH31" s="109"/>
      <c r="ADI31" s="109"/>
      <c r="ADJ31" s="109"/>
      <c r="ADK31" s="109"/>
      <c r="ADL31" s="109"/>
      <c r="ADM31" s="109"/>
      <c r="ADN31" s="109"/>
      <c r="ADO31" s="109"/>
      <c r="ADP31" s="109"/>
      <c r="ADQ31" s="109"/>
      <c r="ADR31" s="109"/>
      <c r="ADS31" s="109"/>
      <c r="ADT31" s="109"/>
      <c r="ADU31" s="109"/>
      <c r="ADV31" s="109"/>
      <c r="ADW31" s="109"/>
      <c r="ADX31" s="109"/>
      <c r="ADY31" s="109"/>
      <c r="ADZ31" s="109"/>
      <c r="AEA31" s="109"/>
      <c r="AEB31" s="109"/>
      <c r="AEC31" s="109"/>
      <c r="AED31" s="109"/>
      <c r="AEE31" s="109"/>
      <c r="AEF31" s="109"/>
      <c r="AEG31" s="109"/>
      <c r="AEH31" s="109"/>
      <c r="AEI31" s="109"/>
      <c r="AEJ31" s="109"/>
      <c r="AEK31" s="109"/>
      <c r="AEL31" s="109"/>
      <c r="AEM31" s="109"/>
      <c r="AEN31" s="109"/>
      <c r="AEO31" s="109"/>
      <c r="AEP31" s="109"/>
      <c r="AEQ31" s="109"/>
      <c r="AER31" s="109"/>
      <c r="AES31" s="109"/>
      <c r="AET31" s="109"/>
      <c r="AEU31" s="109"/>
      <c r="AEV31" s="109"/>
      <c r="AEW31" s="109"/>
      <c r="AEX31" s="109"/>
      <c r="AEY31" s="109"/>
      <c r="AEZ31" s="109"/>
      <c r="AFA31" s="109"/>
      <c r="AFB31" s="109"/>
      <c r="AFC31" s="109"/>
      <c r="AFD31" s="109"/>
      <c r="AFE31" s="109"/>
      <c r="AFF31" s="109"/>
      <c r="AFG31" s="109"/>
      <c r="AFH31" s="109"/>
      <c r="AFI31" s="109"/>
      <c r="AFJ31" s="109"/>
      <c r="AFK31" s="109"/>
      <c r="AFL31" s="109"/>
      <c r="AFM31" s="109"/>
      <c r="AFN31" s="109"/>
      <c r="AFO31" s="109"/>
      <c r="AFP31" s="109"/>
      <c r="AFQ31" s="109"/>
      <c r="AFR31" s="109"/>
      <c r="AFS31" s="109"/>
      <c r="AFT31" s="109"/>
      <c r="AFU31" s="109"/>
      <c r="AFV31" s="109"/>
      <c r="AFW31" s="109"/>
      <c r="AFX31" s="109"/>
      <c r="AFY31" s="109"/>
      <c r="AFZ31" s="109"/>
      <c r="AGA31" s="109"/>
      <c r="AGB31" s="109"/>
      <c r="AGC31" s="109"/>
      <c r="AGD31" s="109"/>
      <c r="AGE31" s="109"/>
      <c r="AGF31" s="109"/>
      <c r="AGG31" s="109"/>
      <c r="AGH31" s="109"/>
      <c r="AGI31" s="109"/>
      <c r="AGJ31" s="109"/>
      <c r="AGK31" s="109"/>
      <c r="AGL31" s="109"/>
      <c r="AGM31" s="109"/>
      <c r="AGN31" s="109"/>
      <c r="AGO31" s="109"/>
      <c r="AGP31" s="109"/>
      <c r="AGQ31" s="109"/>
      <c r="AGR31" s="109"/>
      <c r="AGS31" s="109"/>
      <c r="AGT31" s="109"/>
      <c r="AGU31" s="109"/>
      <c r="AGV31" s="109"/>
      <c r="AGW31" s="109"/>
      <c r="AGX31" s="109"/>
      <c r="AGY31" s="109"/>
      <c r="AGZ31" s="109"/>
      <c r="AHA31" s="109"/>
      <c r="AHB31" s="109"/>
      <c r="AHC31" s="109"/>
      <c r="AHD31" s="109"/>
      <c r="AHE31" s="109"/>
      <c r="AHF31" s="109"/>
      <c r="AHG31" s="109"/>
      <c r="AHH31" s="109"/>
      <c r="AHI31" s="109"/>
      <c r="AHJ31" s="109"/>
      <c r="AHK31" s="109"/>
      <c r="AHL31" s="109"/>
      <c r="AHM31" s="109"/>
      <c r="AHN31" s="109"/>
      <c r="AHO31" s="109"/>
      <c r="AHP31" s="109"/>
      <c r="AHQ31" s="109"/>
      <c r="AHR31" s="109"/>
      <c r="AHS31" s="109"/>
      <c r="AHT31" s="109"/>
      <c r="AHU31" s="109"/>
      <c r="AHV31" s="109"/>
      <c r="AHW31" s="109"/>
      <c r="AHX31" s="109"/>
      <c r="AHY31" s="109"/>
      <c r="AHZ31" s="109"/>
      <c r="AIA31" s="109"/>
      <c r="AIB31" s="109"/>
      <c r="AIC31" s="109"/>
      <c r="AID31" s="109"/>
      <c r="AIE31" s="109"/>
      <c r="AIF31" s="109"/>
      <c r="AIG31" s="109"/>
      <c r="AIH31" s="109"/>
      <c r="AII31" s="109"/>
      <c r="AIJ31" s="109"/>
      <c r="AIK31" s="109"/>
      <c r="AIL31" s="109"/>
      <c r="AIM31" s="109"/>
      <c r="AIN31" s="109"/>
      <c r="AIO31" s="109"/>
      <c r="AIP31" s="109"/>
      <c r="AIQ31" s="109"/>
      <c r="AIR31" s="109"/>
      <c r="AIS31" s="109"/>
      <c r="AIT31" s="109"/>
      <c r="AIU31" s="109"/>
      <c r="AIV31" s="109"/>
      <c r="AIW31" s="109"/>
      <c r="AIX31" s="109"/>
      <c r="AIY31" s="109"/>
      <c r="AIZ31" s="109"/>
      <c r="AJA31" s="109"/>
      <c r="AJB31" s="109"/>
      <c r="AJC31" s="109"/>
      <c r="AJD31" s="109"/>
      <c r="AJE31" s="109"/>
      <c r="AJF31" s="109"/>
      <c r="AJG31" s="109"/>
      <c r="AJH31" s="109"/>
      <c r="AJI31" s="109"/>
      <c r="AJJ31" s="109"/>
      <c r="AJK31" s="109"/>
      <c r="AJL31" s="109"/>
      <c r="AJM31" s="109"/>
      <c r="AJN31" s="109"/>
      <c r="AJO31" s="109"/>
      <c r="AJP31" s="109"/>
      <c r="AJQ31" s="109"/>
      <c r="AJR31" s="109"/>
      <c r="AJS31" s="109"/>
      <c r="AJT31" s="109"/>
      <c r="AJU31" s="109"/>
      <c r="AJV31" s="109"/>
      <c r="AJW31" s="109"/>
      <c r="AJX31" s="109"/>
      <c r="AJY31" s="109"/>
      <c r="AJZ31" s="109"/>
      <c r="AKA31" s="109"/>
      <c r="AKB31" s="109"/>
      <c r="AKC31" s="109"/>
      <c r="AKD31" s="109"/>
      <c r="AKE31" s="109"/>
      <c r="AKF31" s="109"/>
      <c r="AKG31" s="109"/>
      <c r="AKH31" s="109"/>
      <c r="AKI31" s="109"/>
      <c r="AKJ31" s="109"/>
      <c r="AKK31" s="109"/>
      <c r="AKL31" s="109"/>
      <c r="AKM31" s="109"/>
      <c r="AKN31" s="109"/>
      <c r="AKO31" s="109"/>
      <c r="AKP31" s="109"/>
      <c r="AKQ31" s="109"/>
      <c r="AKR31" s="109"/>
      <c r="AKS31" s="109"/>
      <c r="AKT31" s="109"/>
      <c r="AKU31" s="109"/>
      <c r="AKV31" s="109"/>
      <c r="AKW31" s="109"/>
      <c r="AKX31" s="109"/>
      <c r="AKY31" s="109"/>
      <c r="AKZ31" s="109"/>
      <c r="ALA31" s="109"/>
      <c r="ALB31" s="109"/>
      <c r="ALC31" s="109"/>
      <c r="ALD31" s="109"/>
      <c r="ALE31" s="109"/>
      <c r="ALF31" s="109"/>
      <c r="ALG31" s="109"/>
      <c r="ALH31" s="109"/>
      <c r="ALI31" s="109"/>
      <c r="ALJ31" s="109"/>
      <c r="ALK31" s="109"/>
      <c r="ALL31" s="109"/>
      <c r="ALM31" s="109"/>
      <c r="ALN31" s="109"/>
      <c r="ALO31" s="109"/>
      <c r="ALP31" s="109"/>
      <c r="ALQ31" s="109"/>
      <c r="ALR31" s="109"/>
      <c r="ALS31" s="109"/>
      <c r="ALT31" s="109"/>
      <c r="ALU31" s="109"/>
      <c r="ALV31" s="109"/>
      <c r="ALW31" s="109"/>
      <c r="ALX31" s="109"/>
      <c r="ALY31" s="109"/>
      <c r="ALZ31" s="109"/>
      <c r="AMA31" s="109"/>
      <c r="AMB31" s="109"/>
      <c r="AMC31" s="109"/>
      <c r="AMD31" s="109"/>
      <c r="AME31" s="109"/>
      <c r="AMF31" s="109"/>
      <c r="AMG31" s="109"/>
      <c r="AMH31" s="109"/>
      <c r="AMI31" s="109"/>
      <c r="AMJ31" s="109"/>
      <c r="AMK31" s="109"/>
      <c r="AML31" s="109"/>
      <c r="AMM31" s="109"/>
      <c r="AMN31" s="109"/>
      <c r="AMO31" s="109"/>
      <c r="AMP31" s="109"/>
      <c r="AMQ31" s="109"/>
      <c r="AMR31" s="109"/>
      <c r="AMS31" s="109"/>
      <c r="AMT31" s="109"/>
      <c r="AMU31" s="109"/>
      <c r="AMV31" s="109"/>
      <c r="AMW31" s="109"/>
      <c r="AMX31" s="109"/>
      <c r="AMY31" s="109"/>
      <c r="AMZ31" s="109"/>
      <c r="ANA31" s="109"/>
      <c r="ANB31" s="109"/>
      <c r="ANC31" s="109"/>
      <c r="AND31" s="109"/>
      <c r="ANE31" s="109"/>
      <c r="ANF31" s="109"/>
      <c r="ANG31" s="109"/>
      <c r="ANH31" s="109"/>
      <c r="ANI31" s="109"/>
      <c r="ANJ31" s="109"/>
      <c r="ANK31" s="109"/>
      <c r="ANL31" s="109"/>
      <c r="ANM31" s="109"/>
      <c r="ANN31" s="109"/>
      <c r="ANO31" s="109"/>
      <c r="ANP31" s="109"/>
      <c r="ANQ31" s="109"/>
      <c r="ANR31" s="109"/>
      <c r="ANS31" s="109"/>
      <c r="ANT31" s="109"/>
      <c r="ANU31" s="109"/>
      <c r="ANV31" s="109"/>
      <c r="ANW31" s="109"/>
      <c r="ANX31" s="109"/>
      <c r="ANY31" s="109"/>
      <c r="ANZ31" s="109"/>
      <c r="AOA31" s="109"/>
      <c r="AOB31" s="109"/>
      <c r="AOC31" s="109"/>
      <c r="AOD31" s="109"/>
      <c r="AOE31" s="109"/>
      <c r="AOF31" s="109"/>
      <c r="AOG31" s="109"/>
      <c r="AOH31" s="109"/>
      <c r="AOI31" s="109"/>
      <c r="AOJ31" s="109"/>
      <c r="AOK31" s="109"/>
      <c r="AOL31" s="109"/>
      <c r="AOM31" s="109"/>
      <c r="AON31" s="109"/>
      <c r="AOO31" s="109"/>
      <c r="AOP31" s="109"/>
      <c r="AOQ31" s="109"/>
      <c r="AOR31" s="109"/>
      <c r="AOS31" s="109"/>
      <c r="AOT31" s="109"/>
      <c r="AOU31" s="109"/>
      <c r="AOV31" s="109"/>
      <c r="AOW31" s="109"/>
      <c r="AOX31" s="109"/>
      <c r="AOY31" s="109"/>
      <c r="AOZ31" s="109"/>
      <c r="APA31" s="109"/>
      <c r="APB31" s="109"/>
      <c r="APC31" s="109"/>
      <c r="APD31" s="109"/>
      <c r="APE31" s="109"/>
      <c r="APF31" s="109"/>
      <c r="APG31" s="109"/>
      <c r="APH31" s="109"/>
      <c r="API31" s="109"/>
      <c r="APJ31" s="109"/>
      <c r="APK31" s="109"/>
      <c r="APL31" s="109"/>
      <c r="APM31" s="109"/>
      <c r="APN31" s="109"/>
      <c r="APO31" s="109"/>
      <c r="APP31" s="109"/>
      <c r="APQ31" s="109"/>
      <c r="APR31" s="109"/>
      <c r="APS31" s="109"/>
      <c r="APT31" s="109"/>
      <c r="APU31" s="109"/>
      <c r="APV31" s="109"/>
      <c r="APW31" s="109"/>
      <c r="APX31" s="109"/>
      <c r="APY31" s="109"/>
      <c r="APZ31" s="109"/>
      <c r="AQA31" s="109"/>
      <c r="AQB31" s="109"/>
      <c r="AQC31" s="109"/>
      <c r="AQD31" s="109"/>
      <c r="AQE31" s="109"/>
      <c r="AQF31" s="109"/>
      <c r="AQG31" s="109"/>
      <c r="AQH31" s="109"/>
      <c r="AQI31" s="109"/>
      <c r="AQJ31" s="109"/>
      <c r="AQK31" s="109"/>
      <c r="AQL31" s="109"/>
      <c r="AQM31" s="109"/>
      <c r="AQN31" s="109"/>
      <c r="AQO31" s="109"/>
      <c r="AQP31" s="109"/>
      <c r="AQQ31" s="109"/>
      <c r="AQR31" s="109"/>
      <c r="AQS31" s="109"/>
      <c r="AQT31" s="109"/>
      <c r="AQU31" s="109"/>
      <c r="AQV31" s="109"/>
      <c r="AQW31" s="109"/>
      <c r="AQX31" s="109"/>
      <c r="AQY31" s="109"/>
      <c r="AQZ31" s="109"/>
      <c r="ARA31" s="109"/>
      <c r="ARB31" s="109"/>
      <c r="ARC31" s="109"/>
      <c r="ARD31" s="109"/>
      <c r="ARE31" s="109"/>
      <c r="ARF31" s="109"/>
      <c r="ARG31" s="109"/>
      <c r="ARH31" s="109"/>
      <c r="ARI31" s="109"/>
      <c r="ARJ31" s="109"/>
      <c r="ARK31" s="109"/>
      <c r="ARL31" s="109"/>
      <c r="ARM31" s="109"/>
      <c r="ARN31" s="109"/>
      <c r="ARO31" s="109"/>
      <c r="ARP31" s="109"/>
      <c r="ARQ31" s="109"/>
      <c r="ARR31" s="109"/>
      <c r="ARS31" s="109"/>
      <c r="ART31" s="109"/>
      <c r="ARU31" s="109"/>
      <c r="ARV31" s="109"/>
      <c r="ARW31" s="109"/>
      <c r="ARX31" s="109"/>
      <c r="ARY31" s="109"/>
      <c r="ARZ31" s="109"/>
      <c r="ASA31" s="109"/>
      <c r="ASB31" s="109"/>
      <c r="ASC31" s="109"/>
      <c r="ASD31" s="109"/>
      <c r="ASE31" s="109"/>
      <c r="ASF31" s="109"/>
      <c r="ASG31" s="109"/>
      <c r="ASH31" s="109"/>
      <c r="ASI31" s="109"/>
      <c r="ASJ31" s="109"/>
      <c r="ASK31" s="109"/>
      <c r="ASL31" s="109"/>
      <c r="ASM31" s="109"/>
      <c r="ASN31" s="109"/>
      <c r="ASO31" s="109"/>
      <c r="ASP31" s="109"/>
      <c r="ASQ31" s="109"/>
      <c r="ASR31" s="109"/>
      <c r="ASS31" s="109"/>
      <c r="AST31" s="109"/>
      <c r="ASU31" s="109"/>
      <c r="ASV31" s="109"/>
      <c r="ASW31" s="109"/>
      <c r="ASX31" s="109"/>
      <c r="ASY31" s="109"/>
      <c r="ASZ31" s="109"/>
      <c r="ATA31" s="109"/>
      <c r="ATB31" s="109"/>
      <c r="ATC31" s="109"/>
      <c r="ATD31" s="109"/>
      <c r="ATE31" s="109"/>
      <c r="ATF31" s="109"/>
      <c r="ATG31" s="109"/>
      <c r="ATH31" s="109"/>
      <c r="ATI31" s="109"/>
      <c r="ATJ31" s="109"/>
      <c r="ATK31" s="109"/>
      <c r="ATL31" s="109"/>
      <c r="ATM31" s="109"/>
      <c r="ATN31" s="109"/>
      <c r="ATO31" s="109"/>
      <c r="ATP31" s="109"/>
      <c r="ATQ31" s="109"/>
      <c r="ATR31" s="109"/>
      <c r="ATS31" s="109"/>
      <c r="ATT31" s="109"/>
      <c r="ATU31" s="109"/>
      <c r="ATV31" s="109"/>
      <c r="ATW31" s="109"/>
      <c r="ATX31" s="109"/>
      <c r="ATY31" s="109"/>
      <c r="ATZ31" s="109"/>
      <c r="AUA31" s="109"/>
      <c r="AUB31" s="109"/>
      <c r="AUC31" s="109"/>
      <c r="AUD31" s="109"/>
      <c r="AUE31" s="109"/>
      <c r="AUF31" s="109"/>
      <c r="AUG31" s="109"/>
      <c r="AUH31" s="109"/>
      <c r="AUI31" s="109"/>
      <c r="AUJ31" s="109"/>
      <c r="AUK31" s="109"/>
      <c r="AUL31" s="109"/>
      <c r="AUM31" s="109"/>
      <c r="AUN31" s="109"/>
      <c r="AUO31" s="109"/>
      <c r="AUP31" s="109"/>
      <c r="AUQ31" s="109"/>
      <c r="AUR31" s="109"/>
      <c r="AUS31" s="109"/>
      <c r="AUT31" s="109"/>
      <c r="AUU31" s="109"/>
      <c r="AUV31" s="109"/>
      <c r="AUW31" s="109"/>
      <c r="AUX31" s="109"/>
      <c r="AUY31" s="109"/>
      <c r="AUZ31" s="109"/>
      <c r="AVA31" s="109"/>
      <c r="AVB31" s="109"/>
      <c r="AVC31" s="109"/>
      <c r="AVD31" s="109"/>
      <c r="AVE31" s="109"/>
      <c r="AVF31" s="109"/>
      <c r="AVG31" s="109"/>
      <c r="AVH31" s="109"/>
      <c r="AVI31" s="109"/>
      <c r="AVJ31" s="109"/>
      <c r="AVK31" s="109"/>
      <c r="AVL31" s="109"/>
      <c r="AVM31" s="109"/>
      <c r="AVN31" s="109"/>
      <c r="AVO31" s="109"/>
      <c r="AVP31" s="109"/>
      <c r="AVQ31" s="109"/>
      <c r="AVR31" s="109"/>
      <c r="AVS31" s="109"/>
      <c r="AVT31" s="109"/>
      <c r="AVU31" s="109"/>
      <c r="AVV31" s="109"/>
      <c r="AVW31" s="109"/>
      <c r="AVX31" s="109"/>
      <c r="AVY31" s="109"/>
      <c r="AVZ31" s="109"/>
      <c r="AWA31" s="109"/>
      <c r="AWB31" s="109"/>
      <c r="AWC31" s="109"/>
      <c r="AWD31" s="109"/>
      <c r="AWE31" s="109"/>
      <c r="AWF31" s="109"/>
      <c r="AWG31" s="109"/>
      <c r="AWH31" s="109"/>
      <c r="AWI31" s="109"/>
      <c r="AWJ31" s="109"/>
      <c r="AWK31" s="109"/>
      <c r="AWL31" s="109"/>
      <c r="AWM31" s="109"/>
      <c r="AWN31" s="109"/>
      <c r="AWO31" s="109"/>
      <c r="AWP31" s="109"/>
      <c r="AWQ31" s="109"/>
      <c r="AWR31" s="109"/>
      <c r="AWS31" s="109"/>
      <c r="AWT31" s="109"/>
      <c r="AWU31" s="109"/>
      <c r="AWV31" s="109"/>
      <c r="AWW31" s="109"/>
      <c r="AWX31" s="109"/>
      <c r="AWY31" s="109"/>
      <c r="AWZ31" s="109"/>
      <c r="AXA31" s="109"/>
      <c r="AXB31" s="109"/>
      <c r="AXC31" s="109"/>
      <c r="AXD31" s="109"/>
      <c r="AXE31" s="109"/>
      <c r="AXF31" s="109"/>
      <c r="AXG31" s="109"/>
      <c r="AXH31" s="109"/>
      <c r="AXI31" s="109"/>
      <c r="AXJ31" s="109"/>
      <c r="AXK31" s="109"/>
      <c r="AXL31" s="109"/>
      <c r="AXM31" s="109"/>
      <c r="AXN31" s="109"/>
      <c r="AXO31" s="109"/>
      <c r="AXP31" s="109"/>
      <c r="AXQ31" s="109"/>
      <c r="AXR31" s="109"/>
      <c r="AXS31" s="109"/>
      <c r="AXT31" s="109"/>
      <c r="AXU31" s="109"/>
      <c r="AXV31" s="109"/>
      <c r="AXW31" s="109"/>
      <c r="AXX31" s="109"/>
      <c r="AXY31" s="109"/>
      <c r="AXZ31" s="109"/>
      <c r="AYA31" s="109"/>
      <c r="AYB31" s="109"/>
      <c r="AYC31" s="109"/>
      <c r="AYD31" s="109"/>
      <c r="AYE31" s="109"/>
      <c r="AYF31" s="109"/>
      <c r="AYG31" s="109"/>
      <c r="AYH31" s="109"/>
      <c r="AYI31" s="109"/>
      <c r="AYJ31" s="109"/>
      <c r="AYK31" s="109"/>
      <c r="AYL31" s="109"/>
      <c r="AYM31" s="109"/>
      <c r="AYN31" s="109"/>
      <c r="AYO31" s="109"/>
      <c r="AYP31" s="109"/>
      <c r="AYQ31" s="109"/>
      <c r="AYR31" s="109"/>
      <c r="AYS31" s="109"/>
      <c r="AYT31" s="109"/>
      <c r="AYU31" s="109"/>
      <c r="AYV31" s="109"/>
      <c r="AYW31" s="109"/>
      <c r="AYX31" s="109"/>
      <c r="AYY31" s="109"/>
      <c r="AYZ31" s="109"/>
      <c r="AZA31" s="109"/>
      <c r="AZB31" s="109"/>
      <c r="AZC31" s="109"/>
      <c r="AZD31" s="109"/>
      <c r="AZE31" s="109"/>
      <c r="AZF31" s="109"/>
      <c r="AZG31" s="109"/>
      <c r="AZH31" s="109"/>
      <c r="AZI31" s="109"/>
      <c r="AZJ31" s="109"/>
      <c r="AZK31" s="109"/>
      <c r="AZL31" s="109"/>
      <c r="AZM31" s="109"/>
      <c r="AZN31" s="109"/>
      <c r="AZO31" s="109"/>
      <c r="AZP31" s="109"/>
      <c r="AZQ31" s="109"/>
      <c r="AZR31" s="109"/>
      <c r="AZS31" s="109"/>
      <c r="AZT31" s="109"/>
      <c r="AZU31" s="109"/>
      <c r="AZV31" s="109"/>
      <c r="AZW31" s="109"/>
      <c r="AZX31" s="109"/>
      <c r="AZY31" s="109"/>
      <c r="AZZ31" s="109"/>
      <c r="BAA31" s="109"/>
      <c r="BAB31" s="109"/>
      <c r="BAC31" s="109"/>
      <c r="BAD31" s="109"/>
      <c r="BAE31" s="109"/>
      <c r="BAF31" s="109"/>
      <c r="BAG31" s="109"/>
      <c r="BAH31" s="109"/>
      <c r="BAI31" s="109"/>
      <c r="BAJ31" s="109"/>
      <c r="BAK31" s="109"/>
      <c r="BAL31" s="109"/>
      <c r="BAM31" s="109"/>
      <c r="BAN31" s="109"/>
      <c r="BAO31" s="109"/>
      <c r="BAP31" s="109"/>
      <c r="BAQ31" s="109"/>
      <c r="BAR31" s="109"/>
      <c r="BAS31" s="109"/>
      <c r="BAT31" s="109"/>
      <c r="BAU31" s="109"/>
      <c r="BAV31" s="109"/>
      <c r="BAW31" s="109"/>
      <c r="BAX31" s="109"/>
      <c r="BAY31" s="109"/>
      <c r="BAZ31" s="109"/>
      <c r="BBA31" s="109"/>
      <c r="BBB31" s="109"/>
      <c r="BBC31" s="109"/>
      <c r="BBD31" s="109"/>
      <c r="BBE31" s="109"/>
      <c r="BBF31" s="109"/>
      <c r="BBG31" s="109"/>
      <c r="BBH31" s="109"/>
      <c r="BBI31" s="109"/>
      <c r="BBJ31" s="109"/>
      <c r="BBK31" s="109"/>
      <c r="BBL31" s="109"/>
      <c r="BBM31" s="109"/>
      <c r="BBN31" s="109"/>
      <c r="BBO31" s="109"/>
      <c r="BBP31" s="109"/>
      <c r="BBQ31" s="109"/>
      <c r="BBR31" s="109"/>
      <c r="BBS31" s="109"/>
      <c r="BBT31" s="109"/>
      <c r="BBU31" s="109"/>
      <c r="BBV31" s="109"/>
      <c r="BBW31" s="109"/>
      <c r="BBX31" s="109"/>
      <c r="BBY31" s="109"/>
      <c r="BBZ31" s="109"/>
      <c r="BCA31" s="109"/>
      <c r="BCB31" s="109"/>
      <c r="BCC31" s="109"/>
      <c r="BCD31" s="109"/>
      <c r="BCE31" s="109"/>
      <c r="BCF31" s="109"/>
      <c r="BCG31" s="109"/>
      <c r="BCH31" s="109"/>
      <c r="BCI31" s="109"/>
      <c r="BCJ31" s="109"/>
      <c r="BCK31" s="109"/>
      <c r="BCL31" s="109"/>
      <c r="BCM31" s="109"/>
      <c r="BCN31" s="109"/>
      <c r="BCO31" s="109"/>
      <c r="BCP31" s="109"/>
      <c r="BCQ31" s="109"/>
      <c r="BCR31" s="109"/>
      <c r="BCS31" s="109"/>
      <c r="BCT31" s="109"/>
      <c r="BCU31" s="109"/>
      <c r="BCV31" s="109"/>
      <c r="BCW31" s="109"/>
      <c r="BCX31" s="109"/>
      <c r="BCY31" s="109"/>
      <c r="BCZ31" s="109"/>
      <c r="BDA31" s="109"/>
      <c r="BDB31" s="109"/>
      <c r="BDC31" s="109"/>
      <c r="BDD31" s="109"/>
      <c r="BDE31" s="109"/>
      <c r="BDF31" s="109"/>
      <c r="BDG31" s="109"/>
      <c r="BDH31" s="109"/>
      <c r="BDI31" s="109"/>
      <c r="BDJ31" s="109"/>
      <c r="BDK31" s="109"/>
      <c r="BDL31" s="109"/>
      <c r="BDM31" s="109"/>
      <c r="BDN31" s="109"/>
      <c r="BDO31" s="109"/>
      <c r="BDP31" s="109"/>
      <c r="BDQ31" s="109"/>
      <c r="BDR31" s="109"/>
      <c r="BDS31" s="109"/>
      <c r="BDT31" s="109"/>
      <c r="BDU31" s="109"/>
      <c r="BDV31" s="109"/>
      <c r="BDW31" s="109"/>
      <c r="BDX31" s="109"/>
      <c r="BDY31" s="109"/>
      <c r="BDZ31" s="109"/>
      <c r="BEA31" s="109"/>
      <c r="BEB31" s="109"/>
      <c r="BEC31" s="109"/>
      <c r="BED31" s="109"/>
      <c r="BEE31" s="109"/>
      <c r="BEF31" s="109"/>
      <c r="BEG31" s="109"/>
      <c r="BEH31" s="109"/>
      <c r="BEI31" s="109"/>
      <c r="BEJ31" s="109"/>
      <c r="BEK31" s="109"/>
      <c r="BEL31" s="109"/>
      <c r="BEM31" s="109"/>
      <c r="BEN31" s="109"/>
      <c r="BEO31" s="109"/>
      <c r="BEP31" s="109"/>
      <c r="BEQ31" s="109"/>
      <c r="BER31" s="109"/>
      <c r="BES31" s="109"/>
      <c r="BET31" s="109"/>
      <c r="BEU31" s="109"/>
      <c r="BEV31" s="109"/>
      <c r="BEW31" s="109"/>
      <c r="BEX31" s="109"/>
      <c r="BEY31" s="109"/>
      <c r="BEZ31" s="109"/>
      <c r="BFA31" s="109"/>
      <c r="BFB31" s="109"/>
      <c r="BFC31" s="109"/>
      <c r="BFD31" s="109"/>
      <c r="BFE31" s="109"/>
      <c r="BFF31" s="109"/>
      <c r="BFG31" s="109"/>
      <c r="BFH31" s="109"/>
      <c r="BFI31" s="109"/>
      <c r="BFJ31" s="109"/>
      <c r="BFK31" s="109"/>
      <c r="BFL31" s="109"/>
      <c r="BFM31" s="109"/>
      <c r="BFN31" s="109"/>
      <c r="BFO31" s="109"/>
      <c r="BFP31" s="109"/>
      <c r="BFQ31" s="109"/>
      <c r="BFR31" s="109"/>
      <c r="BFS31" s="109"/>
      <c r="BFT31" s="109"/>
      <c r="BFU31" s="109"/>
      <c r="BFV31" s="109"/>
      <c r="BFW31" s="109"/>
      <c r="BFX31" s="109"/>
      <c r="BFY31" s="109"/>
      <c r="BFZ31" s="109"/>
      <c r="BGA31" s="109"/>
      <c r="BGB31" s="109"/>
      <c r="BGC31" s="109"/>
      <c r="BGD31" s="109"/>
      <c r="BGE31" s="109"/>
      <c r="BGF31" s="109"/>
      <c r="BGG31" s="109"/>
      <c r="BGH31" s="109"/>
      <c r="BGI31" s="109"/>
      <c r="BGJ31" s="109"/>
      <c r="BGK31" s="109"/>
      <c r="BGL31" s="109"/>
      <c r="BGM31" s="109"/>
      <c r="BGN31" s="109"/>
      <c r="BGO31" s="109"/>
      <c r="BGP31" s="109"/>
      <c r="BGQ31" s="109"/>
      <c r="BGR31" s="109"/>
      <c r="BGS31" s="109"/>
      <c r="BGT31" s="109"/>
      <c r="BGU31" s="109"/>
      <c r="BGV31" s="109"/>
      <c r="BGW31" s="109"/>
      <c r="BGX31" s="109"/>
      <c r="BGY31" s="109"/>
      <c r="BGZ31" s="109"/>
      <c r="BHA31" s="109"/>
      <c r="BHB31" s="109"/>
      <c r="BHC31" s="109"/>
      <c r="BHD31" s="109"/>
      <c r="BHE31" s="109"/>
      <c r="BHF31" s="109"/>
      <c r="BHG31" s="109"/>
      <c r="BHH31" s="109"/>
      <c r="BHI31" s="109"/>
      <c r="BHJ31" s="109"/>
      <c r="BHK31" s="109"/>
      <c r="BHL31" s="109"/>
      <c r="BHM31" s="109"/>
      <c r="BHN31" s="109"/>
      <c r="BHO31" s="109"/>
      <c r="BHP31" s="109"/>
      <c r="BHQ31" s="109"/>
      <c r="BHR31" s="109"/>
      <c r="BHS31" s="109"/>
      <c r="BHT31" s="109"/>
      <c r="BHU31" s="109"/>
      <c r="BHV31" s="109"/>
      <c r="BHW31" s="109"/>
      <c r="BHX31" s="109"/>
      <c r="BHY31" s="109"/>
      <c r="BHZ31" s="109"/>
      <c r="BIA31" s="109"/>
      <c r="BIB31" s="109"/>
      <c r="BIC31" s="109"/>
      <c r="BID31" s="109"/>
      <c r="BIE31" s="109"/>
      <c r="BIF31" s="109"/>
      <c r="BIG31" s="109"/>
      <c r="BIH31" s="109"/>
      <c r="BII31" s="109"/>
      <c r="BIJ31" s="109"/>
      <c r="BIK31" s="109"/>
      <c r="BIL31" s="109"/>
      <c r="BIM31" s="109"/>
      <c r="BIN31" s="109"/>
      <c r="BIO31" s="109"/>
      <c r="BIP31" s="109"/>
      <c r="BIQ31" s="109"/>
      <c r="BIR31" s="109"/>
      <c r="BIS31" s="109"/>
      <c r="BIT31" s="109"/>
      <c r="BIU31" s="109"/>
      <c r="BIV31" s="109"/>
      <c r="BIW31" s="109"/>
      <c r="BIX31" s="109"/>
      <c r="BIY31" s="109"/>
      <c r="BIZ31" s="109"/>
      <c r="BJA31" s="109"/>
      <c r="BJB31" s="109"/>
      <c r="BJC31" s="109"/>
      <c r="BJD31" s="109"/>
      <c r="BJE31" s="109"/>
      <c r="BJF31" s="109"/>
      <c r="BJG31" s="109"/>
      <c r="BJH31" s="109"/>
      <c r="BJI31" s="109"/>
      <c r="BJJ31" s="109"/>
      <c r="BJK31" s="109"/>
      <c r="BJL31" s="109"/>
      <c r="BJM31" s="109"/>
      <c r="BJN31" s="109"/>
      <c r="BJO31" s="109"/>
      <c r="BJP31" s="109"/>
      <c r="BJQ31" s="109"/>
      <c r="BJR31" s="109"/>
      <c r="BJS31" s="109"/>
      <c r="BJT31" s="109"/>
      <c r="BJU31" s="109"/>
      <c r="BJV31" s="109"/>
      <c r="BJW31" s="109"/>
      <c r="BJX31" s="109"/>
      <c r="BJY31" s="109"/>
      <c r="BJZ31" s="109"/>
      <c r="BKA31" s="109"/>
      <c r="BKB31" s="109"/>
      <c r="BKC31" s="109"/>
      <c r="BKD31" s="109"/>
      <c r="BKE31" s="109"/>
      <c r="BKF31" s="109"/>
      <c r="BKG31" s="109"/>
      <c r="BKH31" s="109"/>
      <c r="BKI31" s="109"/>
      <c r="BKJ31" s="109"/>
      <c r="BKK31" s="109"/>
      <c r="BKL31" s="109"/>
      <c r="BKM31" s="109"/>
      <c r="BKN31" s="109"/>
      <c r="BKO31" s="109"/>
      <c r="BKP31" s="109"/>
      <c r="BKQ31" s="109"/>
      <c r="BKR31" s="109"/>
      <c r="BKS31" s="109"/>
      <c r="BKT31" s="109"/>
      <c r="BKU31" s="109"/>
      <c r="BKV31" s="109"/>
      <c r="BKW31" s="109"/>
      <c r="BKX31" s="109"/>
      <c r="BKY31" s="109"/>
      <c r="BKZ31" s="109"/>
      <c r="BLA31" s="109"/>
      <c r="BLB31" s="109"/>
      <c r="BLC31" s="109"/>
      <c r="BLD31" s="109"/>
      <c r="BLE31" s="109"/>
      <c r="BLF31" s="109"/>
      <c r="BLG31" s="109"/>
      <c r="BLH31" s="109"/>
      <c r="BLI31" s="109"/>
      <c r="BLJ31" s="109"/>
      <c r="BLK31" s="109"/>
      <c r="BLL31" s="109"/>
      <c r="BLM31" s="109"/>
      <c r="BLN31" s="109"/>
      <c r="BLO31" s="109"/>
      <c r="BLP31" s="109"/>
      <c r="BLQ31" s="109"/>
      <c r="BLR31" s="109"/>
      <c r="BLS31" s="109"/>
      <c r="BLT31" s="109"/>
      <c r="BLU31" s="109"/>
      <c r="BLV31" s="109"/>
      <c r="BLW31" s="109"/>
      <c r="BLX31" s="109"/>
      <c r="BLY31" s="109"/>
      <c r="BLZ31" s="109"/>
      <c r="BMA31" s="109"/>
      <c r="BMB31" s="109"/>
      <c r="BMC31" s="109"/>
      <c r="BMD31" s="109"/>
      <c r="BME31" s="109"/>
      <c r="BMF31" s="109"/>
      <c r="BMG31" s="109"/>
      <c r="BMH31" s="109"/>
      <c r="BMI31" s="109"/>
      <c r="BMJ31" s="109"/>
      <c r="BMK31" s="109"/>
      <c r="BML31" s="109"/>
      <c r="BMM31" s="109"/>
      <c r="BMN31" s="109"/>
      <c r="BMO31" s="109"/>
      <c r="BMP31" s="109"/>
      <c r="BMQ31" s="109"/>
      <c r="BMR31" s="109"/>
      <c r="BMS31" s="109"/>
      <c r="BMT31" s="109"/>
      <c r="BMU31" s="109"/>
      <c r="BMV31" s="109"/>
      <c r="BMW31" s="109"/>
      <c r="BMX31" s="109"/>
      <c r="BMY31" s="109"/>
      <c r="BMZ31" s="109"/>
      <c r="BNA31" s="109"/>
      <c r="BNB31" s="109"/>
      <c r="BNC31" s="109"/>
      <c r="BND31" s="109"/>
      <c r="BNE31" s="109"/>
      <c r="BNF31" s="109"/>
      <c r="BNG31" s="109"/>
      <c r="BNH31" s="109"/>
      <c r="BNI31" s="109"/>
      <c r="BNJ31" s="109"/>
      <c r="BNK31" s="109"/>
      <c r="BNL31" s="109"/>
      <c r="BNM31" s="109"/>
      <c r="BNN31" s="109"/>
      <c r="BNO31" s="109"/>
      <c r="BNP31" s="109"/>
      <c r="BNQ31" s="109"/>
      <c r="BNR31" s="109"/>
      <c r="BNS31" s="109"/>
      <c r="BNT31" s="109"/>
      <c r="BNU31" s="109"/>
      <c r="BNV31" s="109"/>
      <c r="BNW31" s="109"/>
      <c r="BNX31" s="109"/>
      <c r="BNY31" s="109"/>
      <c r="BNZ31" s="109"/>
      <c r="BOA31" s="109"/>
      <c r="BOB31" s="109"/>
      <c r="BOC31" s="109"/>
      <c r="BOD31" s="109"/>
      <c r="BOE31" s="109"/>
      <c r="BOF31" s="109"/>
      <c r="BOG31" s="109"/>
      <c r="BOH31" s="109"/>
      <c r="BOI31" s="109"/>
      <c r="BOJ31" s="109"/>
      <c r="BOK31" s="109"/>
      <c r="BOL31" s="109"/>
      <c r="BOM31" s="109"/>
      <c r="BON31" s="109"/>
      <c r="BOO31" s="109"/>
      <c r="BOP31" s="109"/>
      <c r="BOQ31" s="109"/>
      <c r="BOR31" s="109"/>
      <c r="BOS31" s="109"/>
      <c r="BOT31" s="109"/>
      <c r="BOU31" s="109"/>
      <c r="BOV31" s="109"/>
      <c r="BOW31" s="109"/>
      <c r="BOX31" s="109"/>
      <c r="BOY31" s="109"/>
      <c r="BOZ31" s="109"/>
      <c r="BPA31" s="109"/>
      <c r="BPB31" s="109"/>
      <c r="BPC31" s="109"/>
      <c r="BPD31" s="109"/>
      <c r="BPE31" s="109"/>
      <c r="BPF31" s="109"/>
      <c r="BPG31" s="109"/>
      <c r="BPH31" s="109"/>
      <c r="BPI31" s="109"/>
      <c r="BPJ31" s="109"/>
      <c r="BPK31" s="109"/>
      <c r="BPL31" s="109"/>
      <c r="BPM31" s="109"/>
      <c r="BPN31" s="109"/>
      <c r="BPO31" s="109"/>
      <c r="BPP31" s="109"/>
      <c r="BPQ31" s="109"/>
      <c r="BPR31" s="109"/>
      <c r="BPS31" s="109"/>
      <c r="BPT31" s="109"/>
      <c r="BPU31" s="109"/>
      <c r="BPV31" s="109"/>
      <c r="BPW31" s="109"/>
      <c r="BPX31" s="109"/>
      <c r="BPY31" s="109"/>
      <c r="BPZ31" s="109"/>
      <c r="BQA31" s="109"/>
      <c r="BQB31" s="109"/>
      <c r="BQC31" s="109"/>
      <c r="BQD31" s="109"/>
      <c r="BQE31" s="109"/>
      <c r="BQF31" s="109"/>
      <c r="BQG31" s="109"/>
      <c r="BQH31" s="109"/>
      <c r="BQI31" s="109"/>
      <c r="BQJ31" s="109"/>
      <c r="BQK31" s="109"/>
      <c r="BQL31" s="109"/>
      <c r="BQM31" s="109"/>
      <c r="BQN31" s="109"/>
      <c r="BQO31" s="109"/>
      <c r="BQP31" s="109"/>
      <c r="BQQ31" s="109"/>
      <c r="BQR31" s="109"/>
      <c r="BQS31" s="109"/>
      <c r="BQT31" s="109"/>
      <c r="BQU31" s="109"/>
      <c r="BQV31" s="109"/>
      <c r="BQW31" s="109"/>
      <c r="BQX31" s="109"/>
      <c r="BQY31" s="109"/>
      <c r="BQZ31" s="109"/>
      <c r="BRA31" s="109"/>
      <c r="BRB31" s="109"/>
      <c r="BRC31" s="109"/>
      <c r="BRD31" s="109"/>
      <c r="BRE31" s="109"/>
      <c r="BRF31" s="109"/>
      <c r="BRG31" s="109"/>
      <c r="BRH31" s="109"/>
      <c r="BRI31" s="109"/>
      <c r="BRJ31" s="109"/>
      <c r="BRK31" s="109"/>
      <c r="BRL31" s="109"/>
      <c r="BRM31" s="109"/>
      <c r="BRN31" s="109"/>
      <c r="BRO31" s="109"/>
      <c r="BRP31" s="109"/>
      <c r="BRQ31" s="109"/>
      <c r="BRR31" s="109"/>
      <c r="BRS31" s="109"/>
      <c r="BRT31" s="109"/>
      <c r="BRU31" s="109"/>
      <c r="BRV31" s="109"/>
      <c r="BRW31" s="109"/>
      <c r="BRX31" s="109"/>
      <c r="BRY31" s="109"/>
      <c r="BRZ31" s="109"/>
      <c r="BSA31" s="109"/>
      <c r="BSB31" s="109"/>
      <c r="BSC31" s="109"/>
      <c r="BSD31" s="109"/>
      <c r="BSE31" s="109"/>
      <c r="BSF31" s="109"/>
      <c r="BSG31" s="109"/>
      <c r="BSH31" s="109"/>
      <c r="BSI31" s="109"/>
      <c r="BSJ31" s="109"/>
      <c r="BSK31" s="109"/>
      <c r="BSL31" s="109"/>
      <c r="BSM31" s="109"/>
      <c r="BSN31" s="109"/>
      <c r="BSO31" s="109"/>
      <c r="BSP31" s="109"/>
      <c r="BSQ31" s="109"/>
      <c r="BSR31" s="109"/>
      <c r="BSS31" s="109"/>
      <c r="BST31" s="109"/>
      <c r="BSU31" s="109"/>
      <c r="BSV31" s="109"/>
      <c r="BSW31" s="109"/>
      <c r="BSX31" s="109"/>
      <c r="BSY31" s="109"/>
      <c r="BSZ31" s="109"/>
      <c r="BTA31" s="109"/>
      <c r="BTB31" s="109"/>
      <c r="BTC31" s="109"/>
      <c r="BTD31" s="109"/>
      <c r="BTE31" s="109"/>
      <c r="BTF31" s="109"/>
      <c r="BTG31" s="109"/>
      <c r="BTH31" s="109"/>
      <c r="BTI31" s="109"/>
      <c r="BTJ31" s="109"/>
      <c r="BTK31" s="109"/>
      <c r="BTL31" s="109"/>
      <c r="BTM31" s="109"/>
      <c r="BTN31" s="109"/>
      <c r="BTO31" s="109"/>
      <c r="BTP31" s="109"/>
      <c r="BTQ31" s="109"/>
      <c r="BTR31" s="109"/>
      <c r="BTS31" s="109"/>
      <c r="BTT31" s="109"/>
      <c r="BTU31" s="109"/>
      <c r="BTV31" s="109"/>
      <c r="BTW31" s="109"/>
      <c r="BTX31" s="109"/>
      <c r="BTY31" s="109"/>
      <c r="BTZ31" s="109"/>
      <c r="BUA31" s="109"/>
      <c r="BUB31" s="109"/>
      <c r="BUC31" s="109"/>
      <c r="BUD31" s="109"/>
      <c r="BUE31" s="109"/>
      <c r="BUF31" s="109"/>
      <c r="BUG31" s="109"/>
      <c r="BUH31" s="109"/>
      <c r="BUI31" s="109"/>
      <c r="BUJ31" s="109"/>
      <c r="BUK31" s="109"/>
      <c r="BUL31" s="109"/>
      <c r="BUM31" s="109"/>
      <c r="BUN31" s="109"/>
      <c r="BUO31" s="109"/>
      <c r="BUP31" s="109"/>
      <c r="BUQ31" s="109"/>
      <c r="BUR31" s="109"/>
      <c r="BUS31" s="109"/>
      <c r="BUT31" s="109"/>
      <c r="BUU31" s="109"/>
      <c r="BUV31" s="109"/>
      <c r="BUW31" s="109"/>
      <c r="BUX31" s="109"/>
      <c r="BUY31" s="109"/>
      <c r="BUZ31" s="109"/>
      <c r="BVA31" s="109"/>
      <c r="BVB31" s="109"/>
      <c r="BVC31" s="109"/>
      <c r="BVD31" s="109"/>
      <c r="BVE31" s="109"/>
      <c r="BVF31" s="109"/>
      <c r="BVG31" s="109"/>
      <c r="BVH31" s="109"/>
      <c r="BVI31" s="109"/>
      <c r="BVJ31" s="109"/>
      <c r="BVK31" s="109"/>
      <c r="BVL31" s="109"/>
      <c r="BVM31" s="109"/>
      <c r="BVN31" s="109"/>
      <c r="BVO31" s="109"/>
      <c r="BVP31" s="109"/>
      <c r="BVQ31" s="109"/>
      <c r="BVR31" s="109"/>
      <c r="BVS31" s="109"/>
      <c r="BVT31" s="109"/>
      <c r="BVU31" s="109"/>
      <c r="BVV31" s="109"/>
      <c r="BVW31" s="109"/>
      <c r="BVX31" s="109"/>
      <c r="BVY31" s="109"/>
      <c r="BVZ31" s="109"/>
      <c r="BWA31" s="109"/>
      <c r="BWB31" s="109"/>
      <c r="BWC31" s="109"/>
      <c r="BWD31" s="109"/>
      <c r="BWE31" s="109"/>
      <c r="BWF31" s="109"/>
      <c r="BWG31" s="109"/>
      <c r="BWH31" s="109"/>
      <c r="BWI31" s="109"/>
      <c r="BWJ31" s="109"/>
      <c r="BWK31" s="109"/>
      <c r="BWL31" s="109"/>
      <c r="BWM31" s="109"/>
      <c r="BWN31" s="109"/>
      <c r="BWO31" s="109"/>
      <c r="BWP31" s="109"/>
      <c r="BWQ31" s="109"/>
      <c r="BWR31" s="109"/>
      <c r="BWS31" s="109"/>
      <c r="BWT31" s="109"/>
      <c r="BWU31" s="109"/>
      <c r="BWV31" s="109"/>
      <c r="BWW31" s="109"/>
      <c r="BWX31" s="109"/>
      <c r="BWY31" s="109"/>
      <c r="BWZ31" s="109"/>
      <c r="BXA31" s="109"/>
      <c r="BXB31" s="109"/>
      <c r="BXC31" s="109"/>
      <c r="BXD31" s="109"/>
      <c r="BXE31" s="109"/>
      <c r="BXF31" s="109"/>
      <c r="BXG31" s="109"/>
      <c r="BXH31" s="109"/>
      <c r="BXI31" s="109"/>
      <c r="BXJ31" s="109"/>
      <c r="BXK31" s="109"/>
      <c r="BXL31" s="109"/>
      <c r="BXM31" s="109"/>
      <c r="BXN31" s="109"/>
      <c r="BXO31" s="109"/>
      <c r="BXP31" s="109"/>
      <c r="BXQ31" s="109"/>
      <c r="BXR31" s="109"/>
      <c r="BXS31" s="109"/>
      <c r="BXT31" s="109"/>
      <c r="BXU31" s="109"/>
      <c r="BXV31" s="109"/>
      <c r="BXW31" s="109"/>
      <c r="BXX31" s="109"/>
      <c r="BXY31" s="109"/>
      <c r="BXZ31" s="109"/>
      <c r="BYA31" s="109"/>
      <c r="BYB31" s="109"/>
      <c r="BYC31" s="109"/>
      <c r="BYD31" s="109"/>
      <c r="BYE31" s="109"/>
      <c r="BYF31" s="109"/>
      <c r="BYG31" s="109"/>
      <c r="BYH31" s="109"/>
      <c r="BYI31" s="109"/>
      <c r="BYJ31" s="109"/>
      <c r="BYK31" s="109"/>
      <c r="BYL31" s="109"/>
      <c r="BYM31" s="109"/>
      <c r="BYN31" s="109"/>
      <c r="BYO31" s="109"/>
      <c r="BYP31" s="109"/>
      <c r="BYQ31" s="109"/>
      <c r="BYR31" s="109"/>
      <c r="BYS31" s="109"/>
      <c r="BYT31" s="109"/>
      <c r="BYU31" s="109"/>
      <c r="BYV31" s="109"/>
      <c r="BYW31" s="109"/>
      <c r="BYX31" s="109"/>
      <c r="BYY31" s="109"/>
      <c r="BYZ31" s="109"/>
      <c r="BZA31" s="109"/>
      <c r="BZB31" s="109"/>
      <c r="BZC31" s="109"/>
      <c r="BZD31" s="109"/>
      <c r="BZE31" s="109"/>
      <c r="BZF31" s="109"/>
      <c r="BZG31" s="109"/>
      <c r="BZH31" s="109"/>
      <c r="BZI31" s="109"/>
      <c r="BZJ31" s="109"/>
      <c r="BZK31" s="109"/>
      <c r="BZL31" s="109"/>
      <c r="BZM31" s="109"/>
      <c r="BZN31" s="109"/>
      <c r="BZO31" s="109"/>
      <c r="BZP31" s="109"/>
      <c r="BZQ31" s="109"/>
      <c r="BZR31" s="109"/>
      <c r="BZS31" s="109"/>
      <c r="BZT31" s="109"/>
      <c r="BZU31" s="109"/>
      <c r="BZV31" s="109"/>
      <c r="BZW31" s="109"/>
      <c r="BZX31" s="109"/>
      <c r="BZY31" s="109"/>
      <c r="BZZ31" s="109"/>
      <c r="CAA31" s="109"/>
      <c r="CAB31" s="109"/>
      <c r="CAC31" s="109"/>
      <c r="CAD31" s="109"/>
      <c r="CAE31" s="109"/>
      <c r="CAF31" s="109"/>
      <c r="CAG31" s="109"/>
      <c r="CAH31" s="109"/>
      <c r="CAI31" s="109"/>
      <c r="CAJ31" s="109"/>
      <c r="CAK31" s="109"/>
      <c r="CAL31" s="109"/>
      <c r="CAM31" s="109"/>
      <c r="CAN31" s="109"/>
      <c r="CAO31" s="109"/>
      <c r="CAP31" s="109"/>
      <c r="CAQ31" s="109"/>
      <c r="CAR31" s="109"/>
      <c r="CAS31" s="109"/>
      <c r="CAT31" s="109"/>
      <c r="CAU31" s="109"/>
      <c r="CAV31" s="109"/>
      <c r="CAW31" s="109"/>
      <c r="CAX31" s="109"/>
      <c r="CAY31" s="109"/>
      <c r="CAZ31" s="109"/>
      <c r="CBA31" s="109"/>
      <c r="CBB31" s="109"/>
      <c r="CBC31" s="109"/>
      <c r="CBD31" s="109"/>
      <c r="CBE31" s="109"/>
      <c r="CBF31" s="109"/>
      <c r="CBG31" s="109"/>
      <c r="CBH31" s="109"/>
      <c r="CBI31" s="109"/>
      <c r="CBJ31" s="109"/>
      <c r="CBK31" s="109"/>
      <c r="CBL31" s="109"/>
      <c r="CBM31" s="109"/>
      <c r="CBN31" s="109"/>
      <c r="CBO31" s="109"/>
      <c r="CBP31" s="109"/>
      <c r="CBQ31" s="109"/>
      <c r="CBR31" s="109"/>
      <c r="CBS31" s="109"/>
      <c r="CBT31" s="109"/>
      <c r="CBU31" s="109"/>
      <c r="CBV31" s="109"/>
      <c r="CBW31" s="109"/>
      <c r="CBX31" s="109"/>
      <c r="CBY31" s="109"/>
      <c r="CBZ31" s="109"/>
      <c r="CCA31" s="109"/>
      <c r="CCB31" s="109"/>
      <c r="CCC31" s="109"/>
      <c r="CCD31" s="109"/>
      <c r="CCE31" s="109"/>
      <c r="CCF31" s="109"/>
      <c r="CCG31" s="109"/>
      <c r="CCH31" s="109"/>
      <c r="CCI31" s="109"/>
      <c r="CCJ31" s="109"/>
      <c r="CCK31" s="109"/>
      <c r="CCL31" s="109"/>
      <c r="CCM31" s="109"/>
      <c r="CCN31" s="109"/>
      <c r="CCO31" s="109"/>
      <c r="CCP31" s="109"/>
      <c r="CCQ31" s="109"/>
      <c r="CCR31" s="109"/>
      <c r="CCS31" s="109"/>
      <c r="CCT31" s="109"/>
      <c r="CCU31" s="109"/>
      <c r="CCV31" s="109"/>
      <c r="CCW31" s="109"/>
      <c r="CCX31" s="109"/>
      <c r="CCY31" s="109"/>
      <c r="CCZ31" s="109"/>
      <c r="CDA31" s="109"/>
      <c r="CDB31" s="109"/>
      <c r="CDC31" s="109"/>
      <c r="CDD31" s="109"/>
      <c r="CDE31" s="109"/>
      <c r="CDF31" s="109"/>
      <c r="CDG31" s="109"/>
      <c r="CDH31" s="109"/>
      <c r="CDI31" s="109"/>
      <c r="CDJ31" s="109"/>
      <c r="CDK31" s="109"/>
      <c r="CDL31" s="109"/>
      <c r="CDM31" s="109"/>
      <c r="CDN31" s="109"/>
      <c r="CDO31" s="109"/>
      <c r="CDP31" s="109"/>
      <c r="CDQ31" s="109"/>
      <c r="CDR31" s="109"/>
      <c r="CDS31" s="109"/>
      <c r="CDT31" s="109"/>
      <c r="CDU31" s="109"/>
      <c r="CDV31" s="109"/>
      <c r="CDW31" s="109"/>
      <c r="CDX31" s="109"/>
      <c r="CDY31" s="109"/>
      <c r="CDZ31" s="109"/>
      <c r="CEA31" s="109"/>
      <c r="CEB31" s="109"/>
      <c r="CEC31" s="109"/>
      <c r="CED31" s="109"/>
      <c r="CEE31" s="109"/>
      <c r="CEF31" s="109"/>
      <c r="CEG31" s="109"/>
      <c r="CEH31" s="109"/>
      <c r="CEI31" s="109"/>
      <c r="CEJ31" s="109"/>
      <c r="CEK31" s="109"/>
      <c r="CEL31" s="109"/>
      <c r="CEM31" s="109"/>
      <c r="CEN31" s="109"/>
      <c r="CEO31" s="109"/>
      <c r="CEP31" s="109"/>
      <c r="CEQ31" s="109"/>
      <c r="CER31" s="109"/>
      <c r="CES31" s="109"/>
      <c r="CET31" s="109"/>
      <c r="CEU31" s="109"/>
      <c r="CEV31" s="109"/>
      <c r="CEW31" s="109"/>
      <c r="CEX31" s="109"/>
      <c r="CEY31" s="109"/>
      <c r="CEZ31" s="109"/>
      <c r="CFA31" s="109"/>
      <c r="CFB31" s="109"/>
      <c r="CFC31" s="109"/>
      <c r="CFD31" s="109"/>
      <c r="CFE31" s="109"/>
      <c r="CFF31" s="109"/>
      <c r="CFG31" s="109"/>
      <c r="CFH31" s="109"/>
      <c r="CFI31" s="109"/>
      <c r="CFJ31" s="109"/>
      <c r="CFK31" s="109"/>
      <c r="CFL31" s="109"/>
      <c r="CFM31" s="109"/>
      <c r="CFN31" s="109"/>
      <c r="CFO31" s="109"/>
      <c r="CFP31" s="109"/>
      <c r="CFQ31" s="109"/>
      <c r="CFR31" s="109"/>
      <c r="CFS31" s="109"/>
      <c r="CFT31" s="109"/>
      <c r="CFU31" s="109"/>
      <c r="CFV31" s="109"/>
      <c r="CFW31" s="109"/>
      <c r="CFX31" s="109"/>
      <c r="CFY31" s="109"/>
      <c r="CFZ31" s="109"/>
      <c r="CGA31" s="109"/>
      <c r="CGB31" s="109"/>
      <c r="CGC31" s="109"/>
      <c r="CGD31" s="109"/>
      <c r="CGE31" s="109"/>
      <c r="CGF31" s="109"/>
      <c r="CGG31" s="109"/>
      <c r="CGH31" s="109"/>
      <c r="CGI31" s="109"/>
      <c r="CGJ31" s="109"/>
      <c r="CGK31" s="109"/>
      <c r="CGL31" s="109"/>
      <c r="CGM31" s="109"/>
      <c r="CGN31" s="109"/>
      <c r="CGO31" s="109"/>
      <c r="CGP31" s="109"/>
      <c r="CGQ31" s="109"/>
      <c r="CGR31" s="109"/>
      <c r="CGS31" s="109"/>
      <c r="CGT31" s="109"/>
      <c r="CGU31" s="109"/>
      <c r="CGV31" s="109"/>
      <c r="CGW31" s="109"/>
      <c r="CGX31" s="109"/>
      <c r="CGY31" s="109"/>
      <c r="CGZ31" s="109"/>
      <c r="CHA31" s="109"/>
      <c r="CHB31" s="109"/>
      <c r="CHC31" s="109"/>
      <c r="CHD31" s="109"/>
      <c r="CHE31" s="109"/>
      <c r="CHF31" s="109"/>
      <c r="CHG31" s="109"/>
      <c r="CHH31" s="109"/>
      <c r="CHI31" s="109"/>
      <c r="CHJ31" s="109"/>
      <c r="CHK31" s="109"/>
      <c r="CHL31" s="109"/>
      <c r="CHM31" s="109"/>
      <c r="CHN31" s="109"/>
      <c r="CHO31" s="109"/>
      <c r="CHP31" s="109"/>
      <c r="CHQ31" s="109"/>
      <c r="CHR31" s="109"/>
      <c r="CHS31" s="109"/>
      <c r="CHT31" s="109"/>
      <c r="CHU31" s="109"/>
      <c r="CHV31" s="109"/>
      <c r="CHW31" s="109"/>
      <c r="CHX31" s="109"/>
      <c r="CHY31" s="109"/>
      <c r="CHZ31" s="109"/>
      <c r="CIA31" s="109"/>
      <c r="CIB31" s="109"/>
      <c r="CIC31" s="109"/>
      <c r="CID31" s="109"/>
      <c r="CIE31" s="109"/>
      <c r="CIF31" s="109"/>
      <c r="CIG31" s="109"/>
      <c r="CIH31" s="109"/>
      <c r="CII31" s="109"/>
      <c r="CIJ31" s="109"/>
      <c r="CIK31" s="109"/>
      <c r="CIL31" s="109"/>
      <c r="CIM31" s="109"/>
      <c r="CIN31" s="109"/>
      <c r="CIO31" s="109"/>
      <c r="CIP31" s="109"/>
      <c r="CIQ31" s="109"/>
      <c r="CIR31" s="109"/>
      <c r="CIS31" s="109"/>
      <c r="CIT31" s="109"/>
      <c r="CIU31" s="109"/>
      <c r="CIV31" s="109"/>
      <c r="CIW31" s="109"/>
      <c r="CIX31" s="109"/>
      <c r="CIY31" s="109"/>
      <c r="CIZ31" s="109"/>
      <c r="CJA31" s="109"/>
      <c r="CJB31" s="109"/>
      <c r="CJC31" s="109"/>
      <c r="CJD31" s="109"/>
      <c r="CJE31" s="109"/>
      <c r="CJF31" s="109"/>
      <c r="CJG31" s="109"/>
      <c r="CJH31" s="109"/>
      <c r="CJI31" s="109"/>
      <c r="CJJ31" s="109"/>
      <c r="CJK31" s="109"/>
      <c r="CJL31" s="109"/>
      <c r="CJM31" s="109"/>
      <c r="CJN31" s="109"/>
      <c r="CJO31" s="109"/>
      <c r="CJP31" s="109"/>
      <c r="CJQ31" s="109"/>
      <c r="CJR31" s="109"/>
      <c r="CJS31" s="109"/>
      <c r="CJT31" s="109"/>
      <c r="CJU31" s="109"/>
      <c r="CJV31" s="109"/>
      <c r="CJW31" s="109"/>
      <c r="CJX31" s="109"/>
      <c r="CJY31" s="109"/>
      <c r="CJZ31" s="109"/>
      <c r="CKA31" s="109"/>
      <c r="CKB31" s="109"/>
      <c r="CKC31" s="109"/>
      <c r="CKD31" s="109"/>
      <c r="CKE31" s="109"/>
      <c r="CKF31" s="109"/>
      <c r="CKG31" s="109"/>
      <c r="CKH31" s="109"/>
      <c r="CKI31" s="109"/>
      <c r="CKJ31" s="109"/>
      <c r="CKK31" s="109"/>
      <c r="CKL31" s="109"/>
      <c r="CKM31" s="109"/>
      <c r="CKN31" s="109"/>
      <c r="CKO31" s="109"/>
      <c r="CKP31" s="109"/>
      <c r="CKQ31" s="109"/>
      <c r="CKR31" s="109"/>
      <c r="CKS31" s="109"/>
      <c r="CKT31" s="109"/>
      <c r="CKU31" s="109"/>
      <c r="CKV31" s="109"/>
      <c r="CKW31" s="109"/>
      <c r="CKX31" s="109"/>
      <c r="CKY31" s="109"/>
      <c r="CKZ31" s="109"/>
      <c r="CLA31" s="109"/>
      <c r="CLB31" s="109"/>
      <c r="CLC31" s="109"/>
      <c r="CLD31" s="109"/>
      <c r="CLE31" s="109"/>
      <c r="CLF31" s="109"/>
      <c r="CLG31" s="109"/>
      <c r="CLH31" s="109"/>
      <c r="CLI31" s="109"/>
      <c r="CLJ31" s="109"/>
      <c r="CLK31" s="109"/>
      <c r="CLL31" s="109"/>
      <c r="CLM31" s="109"/>
      <c r="CLN31" s="109"/>
      <c r="CLO31" s="109"/>
      <c r="CLP31" s="109"/>
      <c r="CLQ31" s="109"/>
      <c r="CLR31" s="109"/>
      <c r="CLS31" s="109"/>
      <c r="CLT31" s="109"/>
      <c r="CLU31" s="109"/>
      <c r="CLV31" s="109"/>
      <c r="CLW31" s="109"/>
      <c r="CLX31" s="109"/>
      <c r="CLY31" s="109"/>
      <c r="CLZ31" s="109"/>
      <c r="CMA31" s="109"/>
      <c r="CMB31" s="109"/>
      <c r="CMC31" s="109"/>
      <c r="CMD31" s="109"/>
      <c r="CME31" s="109"/>
      <c r="CMF31" s="109"/>
      <c r="CMG31" s="109"/>
      <c r="CMH31" s="109"/>
      <c r="CMI31" s="109"/>
      <c r="CMJ31" s="109"/>
      <c r="CMK31" s="109"/>
      <c r="CML31" s="109"/>
      <c r="CMM31" s="109"/>
      <c r="CMN31" s="109"/>
      <c r="CMO31" s="109"/>
      <c r="CMP31" s="109"/>
      <c r="CMQ31" s="109"/>
      <c r="CMR31" s="109"/>
      <c r="CMS31" s="109"/>
      <c r="CMT31" s="109"/>
      <c r="CMU31" s="109"/>
      <c r="CMV31" s="109"/>
      <c r="CMW31" s="109"/>
      <c r="CMX31" s="109"/>
      <c r="CMY31" s="109"/>
      <c r="CMZ31" s="109"/>
      <c r="CNA31" s="109"/>
      <c r="CNB31" s="109"/>
      <c r="CNC31" s="109"/>
      <c r="CND31" s="109"/>
      <c r="CNE31" s="109"/>
      <c r="CNF31" s="109"/>
      <c r="CNG31" s="109"/>
      <c r="CNH31" s="109"/>
      <c r="CNI31" s="109"/>
      <c r="CNJ31" s="109"/>
      <c r="CNK31" s="109"/>
      <c r="CNL31" s="109"/>
      <c r="CNM31" s="109"/>
      <c r="CNN31" s="109"/>
      <c r="CNO31" s="109"/>
      <c r="CNP31" s="109"/>
      <c r="CNQ31" s="109"/>
      <c r="CNR31" s="109"/>
      <c r="CNS31" s="109"/>
      <c r="CNT31" s="109"/>
      <c r="CNU31" s="109"/>
      <c r="CNV31" s="109"/>
      <c r="CNW31" s="109"/>
      <c r="CNX31" s="109"/>
      <c r="CNY31" s="109"/>
      <c r="CNZ31" s="109"/>
      <c r="COA31" s="109"/>
      <c r="COB31" s="109"/>
      <c r="COC31" s="109"/>
      <c r="COD31" s="109"/>
      <c r="COE31" s="109"/>
      <c r="COF31" s="109"/>
      <c r="COG31" s="109"/>
      <c r="COH31" s="109"/>
      <c r="COI31" s="109"/>
      <c r="COJ31" s="109"/>
      <c r="COK31" s="109"/>
      <c r="COL31" s="109"/>
      <c r="COM31" s="109"/>
      <c r="CON31" s="109"/>
      <c r="COO31" s="109"/>
      <c r="COP31" s="109"/>
      <c r="COQ31" s="109"/>
      <c r="COR31" s="109"/>
      <c r="COS31" s="109"/>
      <c r="COT31" s="109"/>
      <c r="COU31" s="109"/>
      <c r="COV31" s="109"/>
      <c r="COW31" s="109"/>
      <c r="COX31" s="109"/>
      <c r="COY31" s="109"/>
      <c r="COZ31" s="109"/>
      <c r="CPA31" s="109"/>
      <c r="CPB31" s="109"/>
      <c r="CPC31" s="109"/>
      <c r="CPD31" s="109"/>
      <c r="CPE31" s="109"/>
      <c r="CPF31" s="109"/>
      <c r="CPG31" s="109"/>
      <c r="CPH31" s="109"/>
      <c r="CPI31" s="109"/>
      <c r="CPJ31" s="109"/>
      <c r="CPK31" s="109"/>
      <c r="CPL31" s="109"/>
      <c r="CPM31" s="109"/>
      <c r="CPN31" s="109"/>
      <c r="CPO31" s="109"/>
      <c r="CPP31" s="109"/>
      <c r="CPQ31" s="109"/>
      <c r="CPR31" s="109"/>
      <c r="CPS31" s="109"/>
      <c r="CPT31" s="109"/>
      <c r="CPU31" s="109"/>
      <c r="CPV31" s="109"/>
      <c r="CPW31" s="109"/>
      <c r="CPX31" s="109"/>
      <c r="CPY31" s="109"/>
      <c r="CPZ31" s="109"/>
      <c r="CQA31" s="109"/>
      <c r="CQB31" s="109"/>
      <c r="CQC31" s="109"/>
      <c r="CQD31" s="109"/>
      <c r="CQE31" s="109"/>
      <c r="CQF31" s="109"/>
      <c r="CQG31" s="109"/>
      <c r="CQH31" s="109"/>
      <c r="CQI31" s="109"/>
      <c r="CQJ31" s="109"/>
      <c r="CQK31" s="109"/>
      <c r="CQL31" s="109"/>
      <c r="CQM31" s="109"/>
      <c r="CQN31" s="109"/>
      <c r="CQO31" s="109"/>
      <c r="CQP31" s="109"/>
      <c r="CQQ31" s="109"/>
      <c r="CQR31" s="109"/>
      <c r="CQS31" s="109"/>
      <c r="CQT31" s="109"/>
      <c r="CQU31" s="109"/>
      <c r="CQV31" s="109"/>
      <c r="CQW31" s="109"/>
      <c r="CQX31" s="109"/>
      <c r="CQY31" s="109"/>
      <c r="CQZ31" s="109"/>
      <c r="CRA31" s="109"/>
      <c r="CRB31" s="109"/>
      <c r="CRC31" s="109"/>
      <c r="CRD31" s="109"/>
      <c r="CRE31" s="109"/>
      <c r="CRF31" s="109"/>
      <c r="CRG31" s="109"/>
      <c r="CRH31" s="109"/>
      <c r="CRI31" s="109"/>
      <c r="CRJ31" s="109"/>
      <c r="CRK31" s="109"/>
      <c r="CRL31" s="109"/>
      <c r="CRM31" s="109"/>
      <c r="CRN31" s="109"/>
      <c r="CRO31" s="109"/>
      <c r="CRP31" s="109"/>
      <c r="CRQ31" s="109"/>
      <c r="CRR31" s="109"/>
      <c r="CRS31" s="109"/>
      <c r="CRT31" s="109"/>
      <c r="CRU31" s="109"/>
      <c r="CRV31" s="109"/>
      <c r="CRW31" s="109"/>
      <c r="CRX31" s="109"/>
      <c r="CRY31" s="109"/>
      <c r="CRZ31" s="109"/>
      <c r="CSA31" s="109"/>
      <c r="CSB31" s="109"/>
      <c r="CSC31" s="109"/>
      <c r="CSD31" s="109"/>
      <c r="CSE31" s="109"/>
      <c r="CSF31" s="109"/>
      <c r="CSG31" s="109"/>
      <c r="CSH31" s="109"/>
      <c r="CSI31" s="109"/>
      <c r="CSJ31" s="109"/>
      <c r="CSK31" s="109"/>
      <c r="CSL31" s="109"/>
      <c r="CSM31" s="109"/>
      <c r="CSN31" s="109"/>
      <c r="CSO31" s="109"/>
      <c r="CSP31" s="109"/>
      <c r="CSQ31" s="109"/>
      <c r="CSR31" s="109"/>
      <c r="CSS31" s="109"/>
      <c r="CST31" s="109"/>
      <c r="CSU31" s="109"/>
      <c r="CSV31" s="109"/>
      <c r="CSW31" s="109"/>
      <c r="CSX31" s="109"/>
      <c r="CSY31" s="109"/>
      <c r="CSZ31" s="109"/>
      <c r="CTA31" s="109"/>
      <c r="CTB31" s="109"/>
      <c r="CTC31" s="109"/>
      <c r="CTD31" s="109"/>
      <c r="CTE31" s="109"/>
      <c r="CTF31" s="109"/>
      <c r="CTG31" s="109"/>
      <c r="CTH31" s="109"/>
      <c r="CTI31" s="109"/>
      <c r="CTJ31" s="109"/>
      <c r="CTK31" s="109"/>
      <c r="CTL31" s="109"/>
      <c r="CTM31" s="109"/>
      <c r="CTN31" s="109"/>
      <c r="CTO31" s="109"/>
      <c r="CTP31" s="109"/>
      <c r="CTQ31" s="109"/>
      <c r="CTR31" s="109"/>
      <c r="CTS31" s="109"/>
      <c r="CTT31" s="109"/>
      <c r="CTU31" s="109"/>
      <c r="CTV31" s="109"/>
      <c r="CTW31" s="109"/>
      <c r="CTX31" s="109"/>
      <c r="CTY31" s="109"/>
      <c r="CTZ31" s="109"/>
      <c r="CUA31" s="109"/>
      <c r="CUB31" s="109"/>
      <c r="CUC31" s="109"/>
      <c r="CUD31" s="109"/>
      <c r="CUE31" s="109"/>
      <c r="CUF31" s="109"/>
      <c r="CUG31" s="109"/>
      <c r="CUH31" s="109"/>
      <c r="CUI31" s="109"/>
      <c r="CUJ31" s="109"/>
      <c r="CUK31" s="109"/>
      <c r="CUL31" s="109"/>
      <c r="CUM31" s="109"/>
      <c r="CUN31" s="109"/>
      <c r="CUO31" s="109"/>
      <c r="CUP31" s="109"/>
      <c r="CUQ31" s="109"/>
      <c r="CUR31" s="109"/>
      <c r="CUS31" s="109"/>
      <c r="CUT31" s="109"/>
      <c r="CUU31" s="109"/>
      <c r="CUV31" s="109"/>
      <c r="CUW31" s="109"/>
      <c r="CUX31" s="109"/>
      <c r="CUY31" s="109"/>
      <c r="CUZ31" s="109"/>
      <c r="CVA31" s="109"/>
      <c r="CVB31" s="109"/>
      <c r="CVC31" s="109"/>
      <c r="CVD31" s="109"/>
      <c r="CVE31" s="109"/>
      <c r="CVF31" s="109"/>
      <c r="CVG31" s="109"/>
      <c r="CVH31" s="109"/>
      <c r="CVI31" s="109"/>
      <c r="CVJ31" s="109"/>
      <c r="CVK31" s="109"/>
      <c r="CVL31" s="109"/>
      <c r="CVM31" s="109"/>
      <c r="CVN31" s="109"/>
      <c r="CVO31" s="109"/>
      <c r="CVP31" s="109"/>
      <c r="CVQ31" s="109"/>
      <c r="CVR31" s="109"/>
      <c r="CVS31" s="109"/>
      <c r="CVT31" s="109"/>
      <c r="CVU31" s="109"/>
      <c r="CVV31" s="109"/>
      <c r="CVW31" s="109"/>
      <c r="CVX31" s="109"/>
      <c r="CVY31" s="109"/>
      <c r="CVZ31" s="109"/>
      <c r="CWA31" s="109"/>
      <c r="CWB31" s="109"/>
      <c r="CWC31" s="109"/>
      <c r="CWD31" s="109"/>
      <c r="CWE31" s="109"/>
      <c r="CWF31" s="109"/>
      <c r="CWG31" s="109"/>
      <c r="CWH31" s="109"/>
      <c r="CWI31" s="109"/>
      <c r="CWJ31" s="109"/>
      <c r="CWK31" s="109"/>
      <c r="CWL31" s="109"/>
      <c r="CWM31" s="109"/>
      <c r="CWN31" s="109"/>
      <c r="CWO31" s="109"/>
      <c r="CWP31" s="109"/>
      <c r="CWQ31" s="109"/>
      <c r="CWR31" s="109"/>
      <c r="CWS31" s="109"/>
      <c r="CWT31" s="109"/>
      <c r="CWU31" s="109"/>
      <c r="CWV31" s="109"/>
      <c r="CWW31" s="109"/>
      <c r="CWX31" s="109"/>
      <c r="CWY31" s="109"/>
      <c r="CWZ31" s="109"/>
      <c r="CXA31" s="109"/>
      <c r="CXB31" s="109"/>
      <c r="CXC31" s="109"/>
      <c r="CXD31" s="109"/>
      <c r="CXE31" s="109"/>
      <c r="CXF31" s="109"/>
      <c r="CXG31" s="109"/>
      <c r="CXH31" s="109"/>
      <c r="CXI31" s="109"/>
      <c r="CXJ31" s="109"/>
      <c r="CXK31" s="109"/>
      <c r="CXL31" s="109"/>
      <c r="CXM31" s="109"/>
      <c r="CXN31" s="109"/>
      <c r="CXO31" s="109"/>
      <c r="CXP31" s="109"/>
      <c r="CXQ31" s="109"/>
      <c r="CXR31" s="109"/>
      <c r="CXS31" s="109"/>
      <c r="CXT31" s="109"/>
      <c r="CXU31" s="109"/>
      <c r="CXV31" s="109"/>
      <c r="CXW31" s="109"/>
      <c r="CXX31" s="109"/>
      <c r="CXY31" s="109"/>
      <c r="CXZ31" s="109"/>
      <c r="CYA31" s="109"/>
      <c r="CYB31" s="109"/>
      <c r="CYC31" s="109"/>
      <c r="CYD31" s="109"/>
      <c r="CYE31" s="109"/>
      <c r="CYF31" s="109"/>
      <c r="CYG31" s="109"/>
      <c r="CYH31" s="109"/>
      <c r="CYI31" s="109"/>
      <c r="CYJ31" s="109"/>
      <c r="CYK31" s="109"/>
      <c r="CYL31" s="109"/>
      <c r="CYM31" s="109"/>
      <c r="CYN31" s="109"/>
      <c r="CYO31" s="109"/>
      <c r="CYP31" s="109"/>
      <c r="CYQ31" s="109"/>
      <c r="CYR31" s="109"/>
      <c r="CYS31" s="109"/>
      <c r="CYT31" s="109"/>
      <c r="CYU31" s="109"/>
      <c r="CYV31" s="109"/>
      <c r="CYW31" s="109"/>
      <c r="CYX31" s="109"/>
      <c r="CYY31" s="109"/>
      <c r="CYZ31" s="109"/>
      <c r="CZA31" s="109"/>
      <c r="CZB31" s="109"/>
      <c r="CZC31" s="109"/>
      <c r="CZD31" s="109"/>
      <c r="CZE31" s="109"/>
      <c r="CZF31" s="109"/>
      <c r="CZG31" s="109"/>
      <c r="CZH31" s="109"/>
      <c r="CZI31" s="109"/>
      <c r="CZJ31" s="109"/>
      <c r="CZK31" s="109"/>
      <c r="CZL31" s="109"/>
      <c r="CZM31" s="109"/>
      <c r="CZN31" s="109"/>
      <c r="CZO31" s="109"/>
      <c r="CZP31" s="109"/>
      <c r="CZQ31" s="109"/>
      <c r="CZR31" s="109"/>
      <c r="CZS31" s="109"/>
      <c r="CZT31" s="109"/>
      <c r="CZU31" s="109"/>
      <c r="CZV31" s="109"/>
      <c r="CZW31" s="109"/>
      <c r="CZX31" s="109"/>
      <c r="CZY31" s="109"/>
      <c r="CZZ31" s="109"/>
      <c r="DAA31" s="109"/>
      <c r="DAB31" s="109"/>
      <c r="DAC31" s="109"/>
      <c r="DAD31" s="109"/>
      <c r="DAE31" s="109"/>
      <c r="DAF31" s="109"/>
      <c r="DAG31" s="109"/>
      <c r="DAH31" s="109"/>
      <c r="DAI31" s="109"/>
      <c r="DAJ31" s="109"/>
      <c r="DAK31" s="109"/>
      <c r="DAL31" s="109"/>
      <c r="DAM31" s="109"/>
      <c r="DAN31" s="109"/>
      <c r="DAO31" s="109"/>
      <c r="DAP31" s="109"/>
      <c r="DAQ31" s="109"/>
      <c r="DAR31" s="109"/>
      <c r="DAS31" s="109"/>
      <c r="DAT31" s="109"/>
      <c r="DAU31" s="109"/>
      <c r="DAV31" s="109"/>
      <c r="DAW31" s="109"/>
      <c r="DAX31" s="109"/>
      <c r="DAY31" s="109"/>
      <c r="DAZ31" s="109"/>
      <c r="DBA31" s="109"/>
      <c r="DBB31" s="109"/>
      <c r="DBC31" s="109"/>
      <c r="DBD31" s="109"/>
      <c r="DBE31" s="109"/>
      <c r="DBF31" s="109"/>
      <c r="DBG31" s="109"/>
      <c r="DBH31" s="109"/>
      <c r="DBI31" s="109"/>
      <c r="DBJ31" s="109"/>
      <c r="DBK31" s="109"/>
      <c r="DBL31" s="109"/>
      <c r="DBM31" s="109"/>
      <c r="DBN31" s="109"/>
      <c r="DBO31" s="109"/>
      <c r="DBP31" s="109"/>
      <c r="DBQ31" s="109"/>
      <c r="DBR31" s="109"/>
      <c r="DBS31" s="109"/>
      <c r="DBT31" s="109"/>
      <c r="DBU31" s="109"/>
      <c r="DBV31" s="109"/>
      <c r="DBW31" s="109"/>
      <c r="DBX31" s="109"/>
      <c r="DBY31" s="109"/>
      <c r="DBZ31" s="109"/>
      <c r="DCA31" s="109"/>
      <c r="DCB31" s="109"/>
      <c r="DCC31" s="109"/>
      <c r="DCD31" s="109"/>
      <c r="DCE31" s="109"/>
      <c r="DCF31" s="109"/>
      <c r="DCG31" s="109"/>
      <c r="DCH31" s="109"/>
      <c r="DCI31" s="109"/>
      <c r="DCJ31" s="109"/>
      <c r="DCK31" s="109"/>
      <c r="DCL31" s="109"/>
      <c r="DCM31" s="109"/>
      <c r="DCN31" s="109"/>
      <c r="DCO31" s="109"/>
      <c r="DCP31" s="109"/>
      <c r="DCQ31" s="109"/>
      <c r="DCR31" s="109"/>
      <c r="DCS31" s="109"/>
      <c r="DCT31" s="109"/>
      <c r="DCU31" s="109"/>
      <c r="DCV31" s="109"/>
      <c r="DCW31" s="109"/>
      <c r="DCX31" s="109"/>
      <c r="DCY31" s="109"/>
      <c r="DCZ31" s="109"/>
      <c r="DDA31" s="109"/>
      <c r="DDB31" s="109"/>
      <c r="DDC31" s="109"/>
      <c r="DDD31" s="109"/>
      <c r="DDE31" s="109"/>
      <c r="DDF31" s="109"/>
      <c r="DDG31" s="109"/>
      <c r="DDH31" s="109"/>
      <c r="DDI31" s="109"/>
      <c r="DDJ31" s="109"/>
      <c r="DDK31" s="109"/>
      <c r="DDL31" s="109"/>
      <c r="DDM31" s="109"/>
      <c r="DDN31" s="109"/>
      <c r="DDO31" s="109"/>
      <c r="DDP31" s="109"/>
      <c r="DDQ31" s="109"/>
      <c r="DDR31" s="109"/>
      <c r="DDS31" s="109"/>
      <c r="DDT31" s="109"/>
      <c r="DDU31" s="109"/>
      <c r="DDV31" s="109"/>
      <c r="DDW31" s="109"/>
      <c r="DDX31" s="109"/>
      <c r="DDY31" s="109"/>
      <c r="DDZ31" s="109"/>
      <c r="DEA31" s="109"/>
      <c r="DEB31" s="109"/>
      <c r="DEC31" s="109"/>
      <c r="DED31" s="109"/>
      <c r="DEE31" s="109"/>
      <c r="DEF31" s="109"/>
      <c r="DEG31" s="109"/>
      <c r="DEH31" s="109"/>
      <c r="DEI31" s="109"/>
      <c r="DEJ31" s="109"/>
      <c r="DEK31" s="109"/>
      <c r="DEL31" s="109"/>
      <c r="DEM31" s="109"/>
      <c r="DEN31" s="109"/>
      <c r="DEO31" s="109"/>
      <c r="DEP31" s="109"/>
      <c r="DEQ31" s="109"/>
      <c r="DER31" s="109"/>
      <c r="DES31" s="109"/>
      <c r="DET31" s="109"/>
      <c r="DEU31" s="109"/>
      <c r="DEV31" s="109"/>
      <c r="DEW31" s="109"/>
      <c r="DEX31" s="109"/>
      <c r="DEY31" s="109"/>
      <c r="DEZ31" s="109"/>
      <c r="DFA31" s="109"/>
      <c r="DFB31" s="109"/>
      <c r="DFC31" s="109"/>
      <c r="DFD31" s="109"/>
      <c r="DFE31" s="109"/>
      <c r="DFF31" s="109"/>
      <c r="DFG31" s="109"/>
      <c r="DFH31" s="109"/>
      <c r="DFI31" s="109"/>
      <c r="DFJ31" s="109"/>
      <c r="DFK31" s="109"/>
      <c r="DFL31" s="109"/>
      <c r="DFM31" s="109"/>
      <c r="DFN31" s="109"/>
      <c r="DFO31" s="109"/>
      <c r="DFP31" s="109"/>
      <c r="DFQ31" s="109"/>
      <c r="DFR31" s="109"/>
      <c r="DFS31" s="109"/>
      <c r="DFT31" s="109"/>
      <c r="DFU31" s="109"/>
      <c r="DFV31" s="109"/>
      <c r="DFW31" s="109"/>
      <c r="DFX31" s="109"/>
      <c r="DFY31" s="109"/>
      <c r="DFZ31" s="109"/>
      <c r="DGA31" s="109"/>
      <c r="DGB31" s="109"/>
      <c r="DGC31" s="109"/>
      <c r="DGD31" s="109"/>
      <c r="DGE31" s="109"/>
      <c r="DGF31" s="109"/>
      <c r="DGG31" s="109"/>
      <c r="DGH31" s="109"/>
      <c r="DGI31" s="109"/>
      <c r="DGJ31" s="109"/>
      <c r="DGK31" s="109"/>
      <c r="DGL31" s="109"/>
      <c r="DGM31" s="109"/>
      <c r="DGN31" s="109"/>
      <c r="DGO31" s="109"/>
      <c r="DGP31" s="109"/>
      <c r="DGQ31" s="109"/>
      <c r="DGR31" s="109"/>
      <c r="DGS31" s="109"/>
      <c r="DGT31" s="109"/>
      <c r="DGU31" s="109"/>
      <c r="DGV31" s="109"/>
      <c r="DGW31" s="109"/>
      <c r="DGX31" s="109"/>
      <c r="DGY31" s="109"/>
      <c r="DGZ31" s="109"/>
      <c r="DHA31" s="109"/>
      <c r="DHB31" s="109"/>
      <c r="DHC31" s="109"/>
      <c r="DHD31" s="109"/>
      <c r="DHE31" s="109"/>
      <c r="DHF31" s="109"/>
      <c r="DHG31" s="109"/>
      <c r="DHH31" s="109"/>
      <c r="DHI31" s="109"/>
      <c r="DHJ31" s="109"/>
      <c r="DHK31" s="109"/>
      <c r="DHL31" s="109"/>
      <c r="DHM31" s="109"/>
      <c r="DHN31" s="109"/>
      <c r="DHO31" s="109"/>
      <c r="DHP31" s="109"/>
      <c r="DHQ31" s="109"/>
      <c r="DHR31" s="109"/>
      <c r="DHS31" s="109"/>
      <c r="DHT31" s="109"/>
      <c r="DHU31" s="109"/>
      <c r="DHV31" s="109"/>
      <c r="DHW31" s="109"/>
      <c r="DHX31" s="109"/>
      <c r="DHY31" s="109"/>
      <c r="DHZ31" s="109"/>
      <c r="DIA31" s="109"/>
      <c r="DIB31" s="109"/>
      <c r="DIC31" s="109"/>
      <c r="DID31" s="109"/>
      <c r="DIE31" s="109"/>
      <c r="DIF31" s="109"/>
      <c r="DIG31" s="109"/>
      <c r="DIH31" s="109"/>
      <c r="DII31" s="109"/>
      <c r="DIJ31" s="109"/>
      <c r="DIK31" s="109"/>
      <c r="DIL31" s="109"/>
      <c r="DIM31" s="109"/>
      <c r="DIN31" s="109"/>
      <c r="DIO31" s="109"/>
      <c r="DIP31" s="109"/>
      <c r="DIQ31" s="109"/>
      <c r="DIR31" s="109"/>
      <c r="DIS31" s="109"/>
      <c r="DIT31" s="109"/>
      <c r="DIU31" s="109"/>
      <c r="DIV31" s="109"/>
      <c r="DIW31" s="109"/>
      <c r="DIX31" s="109"/>
      <c r="DIY31" s="109"/>
      <c r="DIZ31" s="109"/>
      <c r="DJA31" s="109"/>
      <c r="DJB31" s="109"/>
      <c r="DJC31" s="109"/>
      <c r="DJD31" s="109"/>
      <c r="DJE31" s="109"/>
      <c r="DJF31" s="109"/>
      <c r="DJG31" s="109"/>
      <c r="DJH31" s="109"/>
      <c r="DJI31" s="109"/>
      <c r="DJJ31" s="109"/>
      <c r="DJK31" s="109"/>
      <c r="DJL31" s="109"/>
      <c r="DJM31" s="109"/>
      <c r="DJN31" s="109"/>
      <c r="DJO31" s="109"/>
      <c r="DJP31" s="109"/>
      <c r="DJQ31" s="109"/>
      <c r="DJR31" s="109"/>
      <c r="DJS31" s="109"/>
      <c r="DJT31" s="109"/>
      <c r="DJU31" s="109"/>
      <c r="DJV31" s="109"/>
      <c r="DJW31" s="109"/>
      <c r="DJX31" s="109"/>
      <c r="DJY31" s="109"/>
      <c r="DJZ31" s="109"/>
      <c r="DKA31" s="109"/>
      <c r="DKB31" s="109"/>
      <c r="DKC31" s="109"/>
      <c r="DKD31" s="109"/>
      <c r="DKE31" s="109"/>
      <c r="DKF31" s="109"/>
      <c r="DKG31" s="109"/>
      <c r="DKH31" s="109"/>
      <c r="DKI31" s="109"/>
      <c r="DKJ31" s="109"/>
      <c r="DKK31" s="109"/>
      <c r="DKL31" s="109"/>
      <c r="DKM31" s="109"/>
      <c r="DKN31" s="109"/>
      <c r="DKO31" s="109"/>
      <c r="DKP31" s="109"/>
      <c r="DKQ31" s="109"/>
      <c r="DKR31" s="109"/>
      <c r="DKS31" s="109"/>
      <c r="DKT31" s="109"/>
      <c r="DKU31" s="109"/>
      <c r="DKV31" s="109"/>
      <c r="DKW31" s="109"/>
      <c r="DKX31" s="109"/>
      <c r="DKY31" s="109"/>
      <c r="DKZ31" s="109"/>
      <c r="DLA31" s="109"/>
      <c r="DLB31" s="109"/>
      <c r="DLC31" s="109"/>
      <c r="DLD31" s="109"/>
      <c r="DLE31" s="109"/>
      <c r="DLF31" s="109"/>
      <c r="DLG31" s="109"/>
      <c r="DLH31" s="109"/>
      <c r="DLI31" s="109"/>
      <c r="DLJ31" s="109"/>
      <c r="DLK31" s="109"/>
      <c r="DLL31" s="109"/>
      <c r="DLM31" s="109"/>
      <c r="DLN31" s="109"/>
      <c r="DLO31" s="109"/>
      <c r="DLP31" s="109"/>
      <c r="DLQ31" s="109"/>
      <c r="DLR31" s="109"/>
      <c r="DLS31" s="109"/>
      <c r="DLT31" s="109"/>
      <c r="DLU31" s="109"/>
      <c r="DLV31" s="109"/>
      <c r="DLW31" s="109"/>
      <c r="DLX31" s="109"/>
      <c r="DLY31" s="109"/>
      <c r="DLZ31" s="109"/>
      <c r="DMA31" s="109"/>
      <c r="DMB31" s="109"/>
      <c r="DMC31" s="109"/>
      <c r="DMD31" s="109"/>
      <c r="DME31" s="109"/>
      <c r="DMF31" s="109"/>
      <c r="DMG31" s="109"/>
      <c r="DMH31" s="109"/>
      <c r="DMI31" s="109"/>
      <c r="DMJ31" s="109"/>
      <c r="DMK31" s="109"/>
      <c r="DML31" s="109"/>
      <c r="DMM31" s="109"/>
      <c r="DMN31" s="109"/>
      <c r="DMO31" s="109"/>
      <c r="DMP31" s="109"/>
      <c r="DMQ31" s="109"/>
      <c r="DMR31" s="109"/>
      <c r="DMS31" s="109"/>
      <c r="DMT31" s="109"/>
      <c r="DMU31" s="109"/>
      <c r="DMV31" s="109"/>
      <c r="DMW31" s="109"/>
      <c r="DMX31" s="109"/>
      <c r="DMY31" s="109"/>
      <c r="DMZ31" s="109"/>
      <c r="DNA31" s="109"/>
      <c r="DNB31" s="109"/>
      <c r="DNC31" s="109"/>
      <c r="DND31" s="109"/>
      <c r="DNE31" s="109"/>
      <c r="DNF31" s="109"/>
      <c r="DNG31" s="109"/>
      <c r="DNH31" s="109"/>
      <c r="DNI31" s="109"/>
      <c r="DNJ31" s="109"/>
      <c r="DNK31" s="109"/>
      <c r="DNL31" s="109"/>
      <c r="DNM31" s="109"/>
      <c r="DNN31" s="109"/>
      <c r="DNO31" s="109"/>
      <c r="DNP31" s="109"/>
      <c r="DNQ31" s="109"/>
      <c r="DNR31" s="109"/>
      <c r="DNS31" s="109"/>
      <c r="DNT31" s="109"/>
      <c r="DNU31" s="109"/>
      <c r="DNV31" s="109"/>
      <c r="DNW31" s="109"/>
      <c r="DNX31" s="109"/>
      <c r="DNY31" s="109"/>
      <c r="DNZ31" s="109"/>
      <c r="DOA31" s="109"/>
      <c r="DOB31" s="109"/>
      <c r="DOC31" s="109"/>
      <c r="DOD31" s="109"/>
      <c r="DOE31" s="109"/>
      <c r="DOF31" s="109"/>
      <c r="DOG31" s="109"/>
      <c r="DOH31" s="109"/>
      <c r="DOI31" s="109"/>
      <c r="DOJ31" s="109"/>
      <c r="DOK31" s="109"/>
      <c r="DOL31" s="109"/>
      <c r="DOM31" s="109"/>
      <c r="DON31" s="109"/>
      <c r="DOO31" s="109"/>
      <c r="DOP31" s="109"/>
      <c r="DOQ31" s="109"/>
      <c r="DOR31" s="109"/>
      <c r="DOS31" s="109"/>
      <c r="DOT31" s="109"/>
      <c r="DOU31" s="109"/>
      <c r="DOV31" s="109"/>
      <c r="DOW31" s="109"/>
      <c r="DOX31" s="109"/>
      <c r="DOY31" s="109"/>
      <c r="DOZ31" s="109"/>
      <c r="DPA31" s="109"/>
      <c r="DPB31" s="109"/>
      <c r="DPC31" s="109"/>
      <c r="DPD31" s="109"/>
      <c r="DPE31" s="109"/>
      <c r="DPF31" s="109"/>
      <c r="DPG31" s="109"/>
      <c r="DPH31" s="109"/>
      <c r="DPI31" s="109"/>
      <c r="DPJ31" s="109"/>
      <c r="DPK31" s="109"/>
      <c r="DPL31" s="109"/>
      <c r="DPM31" s="109"/>
      <c r="DPN31" s="109"/>
      <c r="DPO31" s="109"/>
      <c r="DPP31" s="109"/>
      <c r="DPQ31" s="109"/>
      <c r="DPR31" s="109"/>
      <c r="DPS31" s="109"/>
      <c r="DPT31" s="109"/>
      <c r="DPU31" s="109"/>
      <c r="DPV31" s="109"/>
      <c r="DPW31" s="109"/>
      <c r="DPX31" s="109"/>
      <c r="DPY31" s="109"/>
      <c r="DPZ31" s="109"/>
      <c r="DQA31" s="109"/>
      <c r="DQB31" s="109"/>
      <c r="DQC31" s="109"/>
      <c r="DQD31" s="109"/>
      <c r="DQE31" s="109"/>
      <c r="DQF31" s="109"/>
      <c r="DQG31" s="109"/>
      <c r="DQH31" s="109"/>
      <c r="DQI31" s="109"/>
      <c r="DQJ31" s="109"/>
      <c r="DQK31" s="109"/>
      <c r="DQL31" s="109"/>
      <c r="DQM31" s="109"/>
      <c r="DQN31" s="109"/>
      <c r="DQO31" s="109"/>
      <c r="DQP31" s="109"/>
      <c r="DQQ31" s="109"/>
      <c r="DQR31" s="109"/>
      <c r="DQS31" s="109"/>
      <c r="DQT31" s="109"/>
      <c r="DQU31" s="109"/>
      <c r="DQV31" s="109"/>
      <c r="DQW31" s="109"/>
      <c r="DQX31" s="109"/>
      <c r="DQY31" s="109"/>
      <c r="DQZ31" s="109"/>
      <c r="DRA31" s="109"/>
      <c r="DRB31" s="109"/>
      <c r="DRC31" s="109"/>
      <c r="DRD31" s="109"/>
      <c r="DRE31" s="109"/>
      <c r="DRF31" s="109"/>
      <c r="DRG31" s="109"/>
      <c r="DRH31" s="109"/>
      <c r="DRI31" s="109"/>
      <c r="DRJ31" s="109"/>
      <c r="DRK31" s="109"/>
      <c r="DRL31" s="109"/>
      <c r="DRM31" s="109"/>
      <c r="DRN31" s="109"/>
      <c r="DRO31" s="109"/>
      <c r="DRP31" s="109"/>
      <c r="DRQ31" s="109"/>
      <c r="DRR31" s="109"/>
      <c r="DRS31" s="109"/>
      <c r="DRT31" s="109"/>
      <c r="DRU31" s="109"/>
      <c r="DRV31" s="109"/>
      <c r="DRW31" s="109"/>
      <c r="DRX31" s="109"/>
      <c r="DRY31" s="109"/>
      <c r="DRZ31" s="109"/>
      <c r="DSA31" s="109"/>
      <c r="DSB31" s="109"/>
      <c r="DSC31" s="109"/>
      <c r="DSD31" s="109"/>
      <c r="DSE31" s="109"/>
      <c r="DSF31" s="109"/>
      <c r="DSG31" s="109"/>
      <c r="DSH31" s="109"/>
      <c r="DSI31" s="109"/>
      <c r="DSJ31" s="109"/>
      <c r="DSK31" s="109"/>
      <c r="DSL31" s="109"/>
      <c r="DSM31" s="109"/>
      <c r="DSN31" s="109"/>
      <c r="DSO31" s="109"/>
      <c r="DSP31" s="109"/>
      <c r="DSQ31" s="109"/>
      <c r="DSR31" s="109"/>
      <c r="DSS31" s="109"/>
      <c r="DST31" s="109"/>
      <c r="DSU31" s="109"/>
      <c r="DSV31" s="109"/>
      <c r="DSW31" s="109"/>
      <c r="DSX31" s="109"/>
      <c r="DSY31" s="109"/>
      <c r="DSZ31" s="109"/>
      <c r="DTA31" s="109"/>
      <c r="DTB31" s="109"/>
      <c r="DTC31" s="109"/>
      <c r="DTD31" s="109"/>
      <c r="DTE31" s="109"/>
      <c r="DTF31" s="109"/>
      <c r="DTG31" s="109"/>
      <c r="DTH31" s="109"/>
      <c r="DTI31" s="109"/>
      <c r="DTJ31" s="109"/>
      <c r="DTK31" s="109"/>
      <c r="DTL31" s="109"/>
      <c r="DTM31" s="109"/>
      <c r="DTN31" s="109"/>
      <c r="DTO31" s="109"/>
      <c r="DTP31" s="109"/>
      <c r="DTQ31" s="109"/>
      <c r="DTR31" s="109"/>
      <c r="DTS31" s="109"/>
      <c r="DTT31" s="109"/>
      <c r="DTU31" s="109"/>
      <c r="DTV31" s="109"/>
      <c r="DTW31" s="109"/>
      <c r="DTX31" s="109"/>
      <c r="DTY31" s="109"/>
      <c r="DTZ31" s="109"/>
      <c r="DUA31" s="109"/>
      <c r="DUB31" s="109"/>
      <c r="DUC31" s="109"/>
      <c r="DUD31" s="109"/>
      <c r="DUE31" s="109"/>
      <c r="DUF31" s="109"/>
      <c r="DUG31" s="109"/>
      <c r="DUH31" s="109"/>
      <c r="DUI31" s="109"/>
      <c r="DUJ31" s="109"/>
      <c r="DUK31" s="109"/>
      <c r="DUL31" s="109"/>
      <c r="DUM31" s="109"/>
      <c r="DUN31" s="109"/>
      <c r="DUO31" s="109"/>
      <c r="DUP31" s="109"/>
      <c r="DUQ31" s="109"/>
      <c r="DUR31" s="109"/>
      <c r="DUS31" s="109"/>
      <c r="DUT31" s="109"/>
      <c r="DUU31" s="109"/>
      <c r="DUV31" s="109"/>
      <c r="DUW31" s="109"/>
      <c r="DUX31" s="109"/>
      <c r="DUY31" s="109"/>
      <c r="DUZ31" s="109"/>
      <c r="DVA31" s="109"/>
      <c r="DVB31" s="109"/>
      <c r="DVC31" s="109"/>
      <c r="DVD31" s="109"/>
      <c r="DVE31" s="109"/>
      <c r="DVF31" s="109"/>
      <c r="DVG31" s="109"/>
      <c r="DVH31" s="109"/>
      <c r="DVI31" s="109"/>
      <c r="DVJ31" s="109"/>
      <c r="DVK31" s="109"/>
      <c r="DVL31" s="109"/>
      <c r="DVM31" s="109"/>
      <c r="DVN31" s="109"/>
      <c r="DVO31" s="109"/>
      <c r="DVP31" s="109"/>
      <c r="DVQ31" s="109"/>
      <c r="DVR31" s="109"/>
      <c r="DVS31" s="109"/>
      <c r="DVT31" s="109"/>
      <c r="DVU31" s="109"/>
      <c r="DVV31" s="109"/>
      <c r="DVW31" s="109"/>
      <c r="DVX31" s="109"/>
      <c r="DVY31" s="109"/>
      <c r="DVZ31" s="109"/>
      <c r="DWA31" s="109"/>
      <c r="DWB31" s="109"/>
      <c r="DWC31" s="109"/>
      <c r="DWD31" s="109"/>
      <c r="DWE31" s="109"/>
      <c r="DWF31" s="109"/>
      <c r="DWG31" s="109"/>
      <c r="DWH31" s="109"/>
      <c r="DWI31" s="109"/>
      <c r="DWJ31" s="109"/>
      <c r="DWK31" s="109"/>
      <c r="DWL31" s="109"/>
      <c r="DWM31" s="109"/>
      <c r="DWN31" s="109"/>
      <c r="DWO31" s="109"/>
      <c r="DWP31" s="109"/>
      <c r="DWQ31" s="109"/>
      <c r="DWR31" s="109"/>
      <c r="DWS31" s="109"/>
      <c r="DWT31" s="109"/>
      <c r="DWU31" s="109"/>
      <c r="DWV31" s="109"/>
      <c r="DWW31" s="109"/>
      <c r="DWX31" s="109"/>
      <c r="DWY31" s="109"/>
      <c r="DWZ31" s="109"/>
      <c r="DXA31" s="109"/>
      <c r="DXB31" s="109"/>
      <c r="DXC31" s="109"/>
      <c r="DXD31" s="109"/>
      <c r="DXE31" s="109"/>
      <c r="DXF31" s="109"/>
      <c r="DXG31" s="109"/>
      <c r="DXH31" s="109"/>
      <c r="DXI31" s="109"/>
      <c r="DXJ31" s="109"/>
      <c r="DXK31" s="109"/>
      <c r="DXL31" s="109"/>
      <c r="DXM31" s="109"/>
      <c r="DXN31" s="109"/>
      <c r="DXO31" s="109"/>
      <c r="DXP31" s="109"/>
      <c r="DXQ31" s="109"/>
      <c r="DXR31" s="109"/>
      <c r="DXS31" s="109"/>
      <c r="DXT31" s="109"/>
      <c r="DXU31" s="109"/>
      <c r="DXV31" s="109"/>
      <c r="DXW31" s="109"/>
      <c r="DXX31" s="109"/>
      <c r="DXY31" s="109"/>
      <c r="DXZ31" s="109"/>
      <c r="DYA31" s="109"/>
      <c r="DYB31" s="109"/>
      <c r="DYC31" s="109"/>
      <c r="DYD31" s="109"/>
      <c r="DYE31" s="109"/>
      <c r="DYF31" s="109"/>
      <c r="DYG31" s="109"/>
      <c r="DYH31" s="109"/>
      <c r="DYI31" s="109"/>
      <c r="DYJ31" s="109"/>
      <c r="DYK31" s="109"/>
      <c r="DYL31" s="109"/>
      <c r="DYM31" s="109"/>
      <c r="DYN31" s="109"/>
      <c r="DYO31" s="109"/>
      <c r="DYP31" s="109"/>
      <c r="DYQ31" s="109"/>
      <c r="DYR31" s="109"/>
      <c r="DYS31" s="109"/>
      <c r="DYT31" s="109"/>
      <c r="DYU31" s="109"/>
      <c r="DYV31" s="109"/>
      <c r="DYW31" s="109"/>
      <c r="DYX31" s="109"/>
      <c r="DYY31" s="109"/>
      <c r="DYZ31" s="109"/>
      <c r="DZA31" s="109"/>
      <c r="DZB31" s="109"/>
      <c r="DZC31" s="109"/>
      <c r="DZD31" s="109"/>
      <c r="DZE31" s="109"/>
      <c r="DZF31" s="109"/>
      <c r="DZG31" s="109"/>
      <c r="DZH31" s="109"/>
      <c r="DZI31" s="109"/>
      <c r="DZJ31" s="109"/>
      <c r="DZK31" s="109"/>
      <c r="DZL31" s="109"/>
      <c r="DZM31" s="109"/>
      <c r="DZN31" s="109"/>
      <c r="DZO31" s="109"/>
      <c r="DZP31" s="109"/>
      <c r="DZQ31" s="109"/>
      <c r="DZR31" s="109"/>
      <c r="DZS31" s="109"/>
      <c r="DZT31" s="109"/>
      <c r="DZU31" s="109"/>
      <c r="DZV31" s="109"/>
      <c r="DZW31" s="109"/>
      <c r="DZX31" s="109"/>
      <c r="DZY31" s="109"/>
      <c r="DZZ31" s="109"/>
      <c r="EAA31" s="109"/>
      <c r="EAB31" s="109"/>
      <c r="EAC31" s="109"/>
      <c r="EAD31" s="109"/>
      <c r="EAE31" s="109"/>
      <c r="EAF31" s="109"/>
      <c r="EAG31" s="109"/>
      <c r="EAH31" s="109"/>
      <c r="EAI31" s="109"/>
      <c r="EAJ31" s="109"/>
      <c r="EAK31" s="109"/>
      <c r="EAL31" s="109"/>
      <c r="EAM31" s="109"/>
      <c r="EAN31" s="109"/>
      <c r="EAO31" s="109"/>
      <c r="EAP31" s="109"/>
      <c r="EAQ31" s="109"/>
      <c r="EAR31" s="109"/>
      <c r="EAS31" s="109"/>
      <c r="EAT31" s="109"/>
      <c r="EAU31" s="109"/>
      <c r="EAV31" s="109"/>
      <c r="EAW31" s="109"/>
      <c r="EAX31" s="109"/>
      <c r="EAY31" s="109"/>
      <c r="EAZ31" s="109"/>
      <c r="EBA31" s="109"/>
      <c r="EBB31" s="109"/>
      <c r="EBC31" s="109"/>
      <c r="EBD31" s="109"/>
      <c r="EBE31" s="109"/>
      <c r="EBF31" s="109"/>
      <c r="EBG31" s="109"/>
      <c r="EBH31" s="109"/>
      <c r="EBI31" s="109"/>
      <c r="EBJ31" s="109"/>
      <c r="EBK31" s="109"/>
      <c r="EBL31" s="109"/>
      <c r="EBM31" s="109"/>
      <c r="EBN31" s="109"/>
      <c r="EBO31" s="109"/>
      <c r="EBP31" s="109"/>
      <c r="EBQ31" s="109"/>
      <c r="EBR31" s="109"/>
      <c r="EBS31" s="109"/>
      <c r="EBT31" s="109"/>
      <c r="EBU31" s="109"/>
      <c r="EBV31" s="109"/>
      <c r="EBW31" s="109"/>
      <c r="EBX31" s="109"/>
      <c r="EBY31" s="109"/>
      <c r="EBZ31" s="109"/>
      <c r="ECA31" s="109"/>
      <c r="ECB31" s="109"/>
      <c r="ECC31" s="109"/>
      <c r="ECD31" s="109"/>
      <c r="ECE31" s="109"/>
      <c r="ECF31" s="109"/>
      <c r="ECG31" s="109"/>
      <c r="ECH31" s="109"/>
      <c r="ECI31" s="109"/>
      <c r="ECJ31" s="109"/>
      <c r="ECK31" s="109"/>
      <c r="ECL31" s="109"/>
      <c r="ECM31" s="109"/>
      <c r="ECN31" s="109"/>
      <c r="ECO31" s="109"/>
      <c r="ECP31" s="109"/>
      <c r="ECQ31" s="109"/>
      <c r="ECR31" s="109"/>
      <c r="ECS31" s="109"/>
      <c r="ECT31" s="109"/>
      <c r="ECU31" s="109"/>
      <c r="ECV31" s="109"/>
      <c r="ECW31" s="109"/>
      <c r="ECX31" s="109"/>
      <c r="ECY31" s="109"/>
      <c r="ECZ31" s="109"/>
      <c r="EDA31" s="109"/>
      <c r="EDB31" s="109"/>
      <c r="EDC31" s="109"/>
      <c r="EDD31" s="109"/>
      <c r="EDE31" s="109"/>
      <c r="EDF31" s="109"/>
      <c r="EDG31" s="109"/>
      <c r="EDH31" s="109"/>
      <c r="EDI31" s="109"/>
      <c r="EDJ31" s="109"/>
      <c r="EDK31" s="109"/>
      <c r="EDL31" s="109"/>
      <c r="EDM31" s="109"/>
      <c r="EDN31" s="109"/>
      <c r="EDO31" s="109"/>
      <c r="EDP31" s="109"/>
      <c r="EDQ31" s="109"/>
      <c r="EDR31" s="109"/>
      <c r="EDS31" s="109"/>
      <c r="EDT31" s="109"/>
      <c r="EDU31" s="109"/>
      <c r="EDV31" s="109"/>
      <c r="EDW31" s="109"/>
      <c r="EDX31" s="109"/>
      <c r="EDY31" s="109"/>
      <c r="EDZ31" s="109"/>
      <c r="EEA31" s="109"/>
      <c r="EEB31" s="109"/>
      <c r="EEC31" s="109"/>
      <c r="EED31" s="109"/>
      <c r="EEE31" s="109"/>
      <c r="EEF31" s="109"/>
      <c r="EEG31" s="109"/>
      <c r="EEH31" s="109"/>
      <c r="EEI31" s="109"/>
      <c r="EEJ31" s="109"/>
      <c r="EEK31" s="109"/>
      <c r="EEL31" s="109"/>
      <c r="EEM31" s="109"/>
      <c r="EEN31" s="109"/>
      <c r="EEO31" s="109"/>
      <c r="EEP31" s="109"/>
      <c r="EEQ31" s="109"/>
      <c r="EER31" s="109"/>
      <c r="EES31" s="109"/>
      <c r="EET31" s="109"/>
      <c r="EEU31" s="109"/>
      <c r="EEV31" s="109"/>
      <c r="EEW31" s="109"/>
      <c r="EEX31" s="109"/>
      <c r="EEY31" s="109"/>
      <c r="EEZ31" s="109"/>
      <c r="EFA31" s="109"/>
      <c r="EFB31" s="109"/>
      <c r="EFC31" s="109"/>
      <c r="EFD31" s="109"/>
      <c r="EFE31" s="109"/>
      <c r="EFF31" s="109"/>
      <c r="EFG31" s="109"/>
      <c r="EFH31" s="109"/>
      <c r="EFI31" s="109"/>
      <c r="EFJ31" s="109"/>
      <c r="EFK31" s="109"/>
      <c r="EFL31" s="109"/>
      <c r="EFM31" s="109"/>
      <c r="EFN31" s="109"/>
      <c r="EFO31" s="109"/>
      <c r="EFP31" s="109"/>
      <c r="EFQ31" s="109"/>
      <c r="EFR31" s="109"/>
      <c r="EFS31" s="109"/>
      <c r="EFT31" s="109"/>
      <c r="EFU31" s="109"/>
      <c r="EFV31" s="109"/>
      <c r="EFW31" s="109"/>
      <c r="EFX31" s="109"/>
      <c r="EFY31" s="109"/>
      <c r="EFZ31" s="109"/>
      <c r="EGA31" s="109"/>
      <c r="EGB31" s="109"/>
      <c r="EGC31" s="109"/>
      <c r="EGD31" s="109"/>
      <c r="EGE31" s="109"/>
      <c r="EGF31" s="109"/>
      <c r="EGG31" s="109"/>
      <c r="EGH31" s="109"/>
      <c r="EGI31" s="109"/>
      <c r="EGJ31" s="109"/>
      <c r="EGK31" s="109"/>
      <c r="EGL31" s="109"/>
      <c r="EGM31" s="109"/>
      <c r="EGN31" s="109"/>
      <c r="EGO31" s="109"/>
      <c r="EGP31" s="109"/>
      <c r="EGQ31" s="109"/>
      <c r="EGR31" s="109"/>
      <c r="EGS31" s="109"/>
      <c r="EGT31" s="109"/>
      <c r="EGU31" s="109"/>
      <c r="EGV31" s="109"/>
      <c r="EGW31" s="109"/>
      <c r="EGX31" s="109"/>
      <c r="EGY31" s="109"/>
      <c r="EGZ31" s="109"/>
      <c r="EHA31" s="109"/>
      <c r="EHB31" s="109"/>
      <c r="EHC31" s="109"/>
      <c r="EHD31" s="109"/>
      <c r="EHE31" s="109"/>
      <c r="EHF31" s="109"/>
      <c r="EHG31" s="109"/>
      <c r="EHH31" s="109"/>
      <c r="EHI31" s="109"/>
      <c r="EHJ31" s="109"/>
      <c r="EHK31" s="109"/>
      <c r="EHL31" s="109"/>
      <c r="EHM31" s="109"/>
      <c r="EHN31" s="109"/>
      <c r="EHO31" s="109"/>
      <c r="EHP31" s="109"/>
      <c r="EHQ31" s="109"/>
      <c r="EHR31" s="109"/>
      <c r="EHS31" s="109"/>
      <c r="EHT31" s="109"/>
      <c r="EHU31" s="109"/>
      <c r="EHV31" s="109"/>
      <c r="EHW31" s="109"/>
      <c r="EHX31" s="109"/>
      <c r="EHY31" s="109"/>
      <c r="EHZ31" s="109"/>
      <c r="EIA31" s="109"/>
      <c r="EIB31" s="109"/>
      <c r="EIC31" s="109"/>
      <c r="EID31" s="109"/>
      <c r="EIE31" s="109"/>
      <c r="EIF31" s="109"/>
      <c r="EIG31" s="109"/>
      <c r="EIH31" s="109"/>
      <c r="EII31" s="109"/>
      <c r="EIJ31" s="109"/>
      <c r="EIK31" s="109"/>
      <c r="EIL31" s="109"/>
      <c r="EIM31" s="109"/>
      <c r="EIN31" s="109"/>
      <c r="EIO31" s="109"/>
      <c r="EIP31" s="109"/>
      <c r="EIQ31" s="109"/>
      <c r="EIR31" s="109"/>
      <c r="EIS31" s="109"/>
      <c r="EIT31" s="109"/>
      <c r="EIU31" s="109"/>
      <c r="EIV31" s="109"/>
      <c r="EIW31" s="109"/>
      <c r="EIX31" s="109"/>
      <c r="EIY31" s="109"/>
      <c r="EIZ31" s="109"/>
      <c r="EJA31" s="109"/>
      <c r="EJB31" s="109"/>
      <c r="EJC31" s="109"/>
      <c r="EJD31" s="109"/>
      <c r="EJE31" s="109"/>
      <c r="EJF31" s="109"/>
      <c r="EJG31" s="109"/>
      <c r="EJH31" s="109"/>
      <c r="EJI31" s="109"/>
      <c r="EJJ31" s="109"/>
      <c r="EJK31" s="109"/>
      <c r="EJL31" s="109"/>
      <c r="EJM31" s="109"/>
      <c r="EJN31" s="109"/>
      <c r="EJO31" s="109"/>
      <c r="EJP31" s="109"/>
      <c r="EJQ31" s="109"/>
      <c r="EJR31" s="109"/>
      <c r="EJS31" s="109"/>
      <c r="EJT31" s="109"/>
      <c r="EJU31" s="109"/>
      <c r="EJV31" s="109"/>
      <c r="EJW31" s="109"/>
      <c r="EJX31" s="109"/>
      <c r="EJY31" s="109"/>
      <c r="EJZ31" s="109"/>
      <c r="EKA31" s="109"/>
      <c r="EKB31" s="109"/>
      <c r="EKC31" s="109"/>
      <c r="EKD31" s="109"/>
      <c r="EKE31" s="109"/>
      <c r="EKF31" s="109"/>
      <c r="EKG31" s="109"/>
      <c r="EKH31" s="109"/>
      <c r="EKI31" s="109"/>
      <c r="EKJ31" s="109"/>
      <c r="EKK31" s="109"/>
      <c r="EKL31" s="109"/>
      <c r="EKM31" s="109"/>
      <c r="EKN31" s="109"/>
      <c r="EKO31" s="109"/>
      <c r="EKP31" s="109"/>
      <c r="EKQ31" s="109"/>
      <c r="EKR31" s="109"/>
      <c r="EKS31" s="109"/>
      <c r="EKT31" s="109"/>
      <c r="EKU31" s="109"/>
      <c r="EKV31" s="109"/>
      <c r="EKW31" s="109"/>
      <c r="EKX31" s="109"/>
      <c r="EKY31" s="109"/>
      <c r="EKZ31" s="109"/>
      <c r="ELA31" s="109"/>
      <c r="ELB31" s="109"/>
      <c r="ELC31" s="109"/>
      <c r="ELD31" s="109"/>
      <c r="ELE31" s="109"/>
      <c r="ELF31" s="109"/>
      <c r="ELG31" s="109"/>
      <c r="ELH31" s="109"/>
      <c r="ELI31" s="109"/>
      <c r="ELJ31" s="109"/>
      <c r="ELK31" s="109"/>
      <c r="ELL31" s="109"/>
      <c r="ELM31" s="109"/>
      <c r="ELN31" s="109"/>
      <c r="ELO31" s="109"/>
      <c r="ELP31" s="109"/>
      <c r="ELQ31" s="109"/>
      <c r="ELR31" s="109"/>
      <c r="ELS31" s="109"/>
      <c r="ELT31" s="109"/>
      <c r="ELU31" s="109"/>
      <c r="ELV31" s="109"/>
      <c r="ELW31" s="109"/>
      <c r="ELX31" s="109"/>
      <c r="ELY31" s="109"/>
      <c r="ELZ31" s="109"/>
      <c r="EMA31" s="109"/>
      <c r="EMB31" s="109"/>
      <c r="EMC31" s="109"/>
      <c r="EMD31" s="109"/>
      <c r="EME31" s="109"/>
      <c r="EMF31" s="109"/>
      <c r="EMG31" s="109"/>
      <c r="EMH31" s="109"/>
      <c r="EMI31" s="109"/>
      <c r="EMJ31" s="109"/>
      <c r="EMK31" s="109"/>
      <c r="EML31" s="109"/>
      <c r="EMM31" s="109"/>
      <c r="EMN31" s="109"/>
      <c r="EMO31" s="109"/>
      <c r="EMP31" s="109"/>
      <c r="EMQ31" s="109"/>
      <c r="EMR31" s="109"/>
      <c r="EMS31" s="109"/>
      <c r="EMT31" s="109"/>
      <c r="EMU31" s="109"/>
      <c r="EMV31" s="109"/>
      <c r="EMW31" s="109"/>
      <c r="EMX31" s="109"/>
      <c r="EMY31" s="109"/>
      <c r="EMZ31" s="109"/>
      <c r="ENA31" s="109"/>
      <c r="ENB31" s="109"/>
      <c r="ENC31" s="109"/>
      <c r="END31" s="109"/>
      <c r="ENE31" s="109"/>
      <c r="ENF31" s="109"/>
      <c r="ENG31" s="109"/>
      <c r="ENH31" s="109"/>
      <c r="ENI31" s="109"/>
      <c r="ENJ31" s="109"/>
      <c r="ENK31" s="109"/>
      <c r="ENL31" s="109"/>
      <c r="ENM31" s="109"/>
      <c r="ENN31" s="109"/>
      <c r="ENO31" s="109"/>
      <c r="ENP31" s="109"/>
      <c r="ENQ31" s="109"/>
      <c r="ENR31" s="109"/>
      <c r="ENS31" s="109"/>
      <c r="ENT31" s="109"/>
      <c r="ENU31" s="109"/>
      <c r="ENV31" s="109"/>
      <c r="ENW31" s="109"/>
      <c r="ENX31" s="109"/>
      <c r="ENY31" s="109"/>
      <c r="ENZ31" s="109"/>
      <c r="EOA31" s="109"/>
      <c r="EOB31" s="109"/>
      <c r="EOC31" s="109"/>
      <c r="EOD31" s="109"/>
      <c r="EOE31" s="109"/>
      <c r="EOF31" s="109"/>
      <c r="EOG31" s="109"/>
      <c r="EOH31" s="109"/>
      <c r="EOI31" s="109"/>
      <c r="EOJ31" s="109"/>
      <c r="EOK31" s="109"/>
      <c r="EOL31" s="109"/>
      <c r="EOM31" s="109"/>
      <c r="EON31" s="109"/>
      <c r="EOO31" s="109"/>
      <c r="EOP31" s="109"/>
      <c r="EOQ31" s="109"/>
      <c r="EOR31" s="109"/>
      <c r="EOS31" s="109"/>
      <c r="EOT31" s="109"/>
      <c r="EOU31" s="109"/>
      <c r="EOV31" s="109"/>
      <c r="EOW31" s="109"/>
      <c r="EOX31" s="109"/>
      <c r="EOY31" s="109"/>
      <c r="EOZ31" s="109"/>
      <c r="EPA31" s="109"/>
      <c r="EPB31" s="109"/>
      <c r="EPC31" s="109"/>
      <c r="EPD31" s="109"/>
      <c r="EPE31" s="109"/>
      <c r="EPF31" s="109"/>
      <c r="EPG31" s="109"/>
      <c r="EPH31" s="109"/>
      <c r="EPI31" s="109"/>
      <c r="EPJ31" s="109"/>
      <c r="EPK31" s="109"/>
      <c r="EPL31" s="109"/>
      <c r="EPM31" s="109"/>
      <c r="EPN31" s="109"/>
      <c r="EPO31" s="109"/>
      <c r="EPP31" s="109"/>
      <c r="EPQ31" s="109"/>
      <c r="EPR31" s="109"/>
      <c r="EPS31" s="109"/>
      <c r="EPT31" s="109"/>
      <c r="EPU31" s="109"/>
      <c r="EPV31" s="109"/>
      <c r="EPW31" s="109"/>
      <c r="EPX31" s="109"/>
      <c r="EPY31" s="109"/>
      <c r="EPZ31" s="109"/>
      <c r="EQA31" s="109"/>
      <c r="EQB31" s="109"/>
      <c r="EQC31" s="109"/>
      <c r="EQD31" s="109"/>
      <c r="EQE31" s="109"/>
      <c r="EQF31" s="109"/>
      <c r="EQG31" s="109"/>
      <c r="EQH31" s="109"/>
      <c r="EQI31" s="109"/>
      <c r="EQJ31" s="109"/>
      <c r="EQK31" s="109"/>
      <c r="EQL31" s="109"/>
      <c r="EQM31" s="109"/>
      <c r="EQN31" s="109"/>
      <c r="EQO31" s="109"/>
      <c r="EQP31" s="109"/>
      <c r="EQQ31" s="109"/>
      <c r="EQR31" s="109"/>
      <c r="EQS31" s="109"/>
      <c r="EQT31" s="109"/>
      <c r="EQU31" s="109"/>
      <c r="EQV31" s="109"/>
      <c r="EQW31" s="109"/>
      <c r="EQX31" s="109"/>
      <c r="EQY31" s="109"/>
      <c r="EQZ31" s="109"/>
      <c r="ERA31" s="109"/>
      <c r="ERB31" s="109"/>
      <c r="ERC31" s="109"/>
      <c r="ERD31" s="109"/>
      <c r="ERE31" s="109"/>
      <c r="ERF31" s="109"/>
      <c r="ERG31" s="109"/>
      <c r="ERH31" s="109"/>
      <c r="ERI31" s="109"/>
      <c r="ERJ31" s="109"/>
      <c r="ERK31" s="109"/>
      <c r="ERL31" s="109"/>
      <c r="ERM31" s="109"/>
      <c r="ERN31" s="109"/>
      <c r="ERO31" s="109"/>
      <c r="ERP31" s="109"/>
      <c r="ERQ31" s="109"/>
      <c r="ERR31" s="109"/>
      <c r="ERS31" s="109"/>
      <c r="ERT31" s="109"/>
      <c r="ERU31" s="109"/>
      <c r="ERV31" s="109"/>
      <c r="ERW31" s="109"/>
      <c r="ERX31" s="109"/>
      <c r="ERY31" s="109"/>
      <c r="ERZ31" s="109"/>
      <c r="ESA31" s="109"/>
      <c r="ESB31" s="109"/>
      <c r="ESC31" s="109"/>
      <c r="ESD31" s="109"/>
      <c r="ESE31" s="109"/>
      <c r="ESF31" s="109"/>
      <c r="ESG31" s="109"/>
      <c r="ESH31" s="109"/>
      <c r="ESI31" s="109"/>
      <c r="ESJ31" s="109"/>
      <c r="ESK31" s="109"/>
      <c r="ESL31" s="109"/>
      <c r="ESM31" s="109"/>
      <c r="ESN31" s="109"/>
      <c r="ESO31" s="109"/>
      <c r="ESP31" s="109"/>
      <c r="ESQ31" s="109"/>
      <c r="ESR31" s="109"/>
      <c r="ESS31" s="109"/>
      <c r="EST31" s="109"/>
      <c r="ESU31" s="109"/>
      <c r="ESV31" s="109"/>
      <c r="ESW31" s="109"/>
      <c r="ESX31" s="109"/>
      <c r="ESY31" s="109"/>
      <c r="ESZ31" s="109"/>
      <c r="ETA31" s="109"/>
      <c r="ETB31" s="109"/>
      <c r="ETC31" s="109"/>
      <c r="ETD31" s="109"/>
      <c r="ETE31" s="109"/>
      <c r="ETF31" s="109"/>
      <c r="ETG31" s="109"/>
      <c r="ETH31" s="109"/>
      <c r="ETI31" s="109"/>
      <c r="ETJ31" s="109"/>
      <c r="ETK31" s="109"/>
      <c r="ETL31" s="109"/>
      <c r="ETM31" s="109"/>
      <c r="ETN31" s="109"/>
      <c r="ETO31" s="109"/>
      <c r="ETP31" s="109"/>
      <c r="ETQ31" s="109"/>
      <c r="ETR31" s="109"/>
      <c r="ETS31" s="109"/>
      <c r="ETT31" s="109"/>
      <c r="ETU31" s="109"/>
      <c r="ETV31" s="109"/>
      <c r="ETW31" s="109"/>
      <c r="ETX31" s="109"/>
      <c r="ETY31" s="109"/>
      <c r="ETZ31" s="109"/>
      <c r="EUA31" s="109"/>
      <c r="EUB31" s="109"/>
      <c r="EUC31" s="109"/>
      <c r="EUD31" s="109"/>
      <c r="EUE31" s="109"/>
      <c r="EUF31" s="109"/>
      <c r="EUG31" s="109"/>
      <c r="EUH31" s="109"/>
      <c r="EUI31" s="109"/>
      <c r="EUJ31" s="109"/>
      <c r="EUK31" s="109"/>
      <c r="EUL31" s="109"/>
      <c r="EUM31" s="109"/>
      <c r="EUN31" s="109"/>
      <c r="EUO31" s="109"/>
      <c r="EUP31" s="109"/>
      <c r="EUQ31" s="109"/>
      <c r="EUR31" s="109"/>
      <c r="EUS31" s="109"/>
      <c r="EUT31" s="109"/>
      <c r="EUU31" s="109"/>
      <c r="EUV31" s="109"/>
      <c r="EUW31" s="109"/>
      <c r="EUX31" s="109"/>
      <c r="EUY31" s="109"/>
      <c r="EUZ31" s="109"/>
      <c r="EVA31" s="109"/>
      <c r="EVB31" s="109"/>
      <c r="EVC31" s="109"/>
      <c r="EVD31" s="109"/>
      <c r="EVE31" s="109"/>
      <c r="EVF31" s="109"/>
      <c r="EVG31" s="109"/>
      <c r="EVH31" s="109"/>
      <c r="EVI31" s="109"/>
      <c r="EVJ31" s="109"/>
      <c r="EVK31" s="109"/>
      <c r="EVL31" s="109"/>
      <c r="EVM31" s="109"/>
      <c r="EVN31" s="109"/>
      <c r="EVO31" s="109"/>
      <c r="EVP31" s="109"/>
      <c r="EVQ31" s="109"/>
      <c r="EVR31" s="109"/>
      <c r="EVS31" s="109"/>
      <c r="EVT31" s="109"/>
      <c r="EVU31" s="109"/>
      <c r="EVV31" s="109"/>
      <c r="EVW31" s="109"/>
      <c r="EVX31" s="109"/>
      <c r="EVY31" s="109"/>
      <c r="EVZ31" s="109"/>
      <c r="EWA31" s="109"/>
      <c r="EWB31" s="109"/>
      <c r="EWC31" s="109"/>
      <c r="EWD31" s="109"/>
      <c r="EWE31" s="109"/>
      <c r="EWF31" s="109"/>
      <c r="EWG31" s="109"/>
      <c r="EWH31" s="109"/>
      <c r="EWI31" s="109"/>
      <c r="EWJ31" s="109"/>
      <c r="EWK31" s="109"/>
      <c r="EWL31" s="109"/>
      <c r="EWM31" s="109"/>
      <c r="EWN31" s="109"/>
      <c r="EWO31" s="109"/>
      <c r="EWP31" s="109"/>
      <c r="EWQ31" s="109"/>
      <c r="EWR31" s="109"/>
      <c r="EWS31" s="109"/>
      <c r="EWT31" s="109"/>
      <c r="EWU31" s="109"/>
      <c r="EWV31" s="109"/>
      <c r="EWW31" s="109"/>
      <c r="EWX31" s="109"/>
      <c r="EWY31" s="109"/>
      <c r="EWZ31" s="109"/>
      <c r="EXA31" s="109"/>
      <c r="EXB31" s="109"/>
      <c r="EXC31" s="109"/>
      <c r="EXD31" s="109"/>
      <c r="EXE31" s="109"/>
      <c r="EXF31" s="109"/>
      <c r="EXG31" s="109"/>
      <c r="EXH31" s="109"/>
      <c r="EXI31" s="109"/>
      <c r="EXJ31" s="109"/>
      <c r="EXK31" s="109"/>
      <c r="EXL31" s="109"/>
      <c r="EXM31" s="109"/>
      <c r="EXN31" s="109"/>
      <c r="EXO31" s="109"/>
      <c r="EXP31" s="109"/>
      <c r="EXQ31" s="109"/>
      <c r="EXR31" s="109"/>
      <c r="EXS31" s="109"/>
      <c r="EXT31" s="109"/>
      <c r="EXU31" s="109"/>
      <c r="EXV31" s="109"/>
      <c r="EXW31" s="109"/>
      <c r="EXX31" s="109"/>
      <c r="EXY31" s="109"/>
      <c r="EXZ31" s="109"/>
      <c r="EYA31" s="109"/>
      <c r="EYB31" s="109"/>
      <c r="EYC31" s="109"/>
      <c r="EYD31" s="109"/>
      <c r="EYE31" s="109"/>
      <c r="EYF31" s="109"/>
      <c r="EYG31" s="109"/>
      <c r="EYH31" s="109"/>
      <c r="EYI31" s="109"/>
      <c r="EYJ31" s="109"/>
      <c r="EYK31" s="109"/>
      <c r="EYL31" s="109"/>
      <c r="EYM31" s="109"/>
      <c r="EYN31" s="109"/>
      <c r="EYO31" s="109"/>
      <c r="EYP31" s="109"/>
      <c r="EYQ31" s="109"/>
      <c r="EYR31" s="109"/>
      <c r="EYS31" s="109"/>
      <c r="EYT31" s="109"/>
      <c r="EYU31" s="109"/>
      <c r="EYV31" s="109"/>
      <c r="EYW31" s="109"/>
      <c r="EYX31" s="109"/>
      <c r="EYY31" s="109"/>
      <c r="EYZ31" s="109"/>
      <c r="EZA31" s="109"/>
      <c r="EZB31" s="109"/>
      <c r="EZC31" s="109"/>
      <c r="EZD31" s="109"/>
      <c r="EZE31" s="109"/>
      <c r="EZF31" s="109"/>
      <c r="EZG31" s="109"/>
      <c r="EZH31" s="109"/>
      <c r="EZI31" s="109"/>
      <c r="EZJ31" s="109"/>
      <c r="EZK31" s="109"/>
      <c r="EZL31" s="109"/>
      <c r="EZM31" s="109"/>
      <c r="EZN31" s="109"/>
      <c r="EZO31" s="109"/>
      <c r="EZP31" s="109"/>
      <c r="EZQ31" s="109"/>
      <c r="EZR31" s="109"/>
      <c r="EZS31" s="109"/>
      <c r="EZT31" s="109"/>
      <c r="EZU31" s="109"/>
      <c r="EZV31" s="109"/>
      <c r="EZW31" s="109"/>
      <c r="EZX31" s="109"/>
      <c r="EZY31" s="109"/>
      <c r="EZZ31" s="109"/>
      <c r="FAA31" s="109"/>
      <c r="FAB31" s="109"/>
      <c r="FAC31" s="109"/>
      <c r="FAD31" s="109"/>
      <c r="FAE31" s="109"/>
      <c r="FAF31" s="109"/>
      <c r="FAG31" s="109"/>
      <c r="FAH31" s="109"/>
      <c r="FAI31" s="109"/>
      <c r="FAJ31" s="109"/>
      <c r="FAK31" s="109"/>
      <c r="FAL31" s="109"/>
      <c r="FAM31" s="109"/>
      <c r="FAN31" s="109"/>
      <c r="FAO31" s="109"/>
      <c r="FAP31" s="109"/>
      <c r="FAQ31" s="109"/>
      <c r="FAR31" s="109"/>
      <c r="FAS31" s="109"/>
      <c r="FAT31" s="109"/>
      <c r="FAU31" s="109"/>
      <c r="FAV31" s="109"/>
      <c r="FAW31" s="109"/>
      <c r="FAX31" s="109"/>
      <c r="FAY31" s="109"/>
      <c r="FAZ31" s="109"/>
      <c r="FBA31" s="109"/>
      <c r="FBB31" s="109"/>
      <c r="FBC31" s="109"/>
      <c r="FBD31" s="109"/>
      <c r="FBE31" s="109"/>
      <c r="FBF31" s="109"/>
      <c r="FBG31" s="109"/>
      <c r="FBH31" s="109"/>
      <c r="FBI31" s="109"/>
      <c r="FBJ31" s="109"/>
      <c r="FBK31" s="109"/>
      <c r="FBL31" s="109"/>
      <c r="FBM31" s="109"/>
      <c r="FBN31" s="109"/>
      <c r="FBO31" s="109"/>
      <c r="FBP31" s="109"/>
      <c r="FBQ31" s="109"/>
      <c r="FBR31" s="109"/>
      <c r="FBS31" s="109"/>
      <c r="FBT31" s="109"/>
      <c r="FBU31" s="109"/>
      <c r="FBV31" s="109"/>
      <c r="FBW31" s="109"/>
      <c r="FBX31" s="109"/>
      <c r="FBY31" s="109"/>
      <c r="FBZ31" s="109"/>
      <c r="FCA31" s="109"/>
      <c r="FCB31" s="109"/>
      <c r="FCC31" s="109"/>
      <c r="FCD31" s="109"/>
      <c r="FCE31" s="109"/>
      <c r="FCF31" s="109"/>
      <c r="FCG31" s="109"/>
      <c r="FCH31" s="109"/>
      <c r="FCI31" s="109"/>
      <c r="FCJ31" s="109"/>
      <c r="FCK31" s="109"/>
      <c r="FCL31" s="109"/>
      <c r="FCM31" s="109"/>
      <c r="FCN31" s="109"/>
      <c r="FCO31" s="109"/>
      <c r="FCP31" s="109"/>
      <c r="FCQ31" s="109"/>
      <c r="FCR31" s="109"/>
      <c r="FCS31" s="109"/>
      <c r="FCT31" s="109"/>
      <c r="FCU31" s="109"/>
      <c r="FCV31" s="109"/>
      <c r="FCW31" s="109"/>
      <c r="FCX31" s="109"/>
      <c r="FCY31" s="109"/>
      <c r="FCZ31" s="109"/>
      <c r="FDA31" s="109"/>
      <c r="FDB31" s="109"/>
      <c r="FDC31" s="109"/>
      <c r="FDD31" s="109"/>
      <c r="FDE31" s="109"/>
      <c r="FDF31" s="109"/>
      <c r="FDG31" s="109"/>
      <c r="FDH31" s="109"/>
      <c r="FDI31" s="109"/>
      <c r="FDJ31" s="109"/>
      <c r="FDK31" s="109"/>
      <c r="FDL31" s="109"/>
      <c r="FDM31" s="109"/>
      <c r="FDN31" s="109"/>
      <c r="FDO31" s="109"/>
      <c r="FDP31" s="109"/>
      <c r="FDQ31" s="109"/>
      <c r="FDR31" s="109"/>
      <c r="FDS31" s="109"/>
      <c r="FDT31" s="109"/>
      <c r="FDU31" s="109"/>
      <c r="FDV31" s="109"/>
      <c r="FDW31" s="109"/>
      <c r="FDX31" s="109"/>
      <c r="FDY31" s="109"/>
      <c r="FDZ31" s="109"/>
      <c r="FEA31" s="109"/>
      <c r="FEB31" s="109"/>
      <c r="FEC31" s="109"/>
      <c r="FED31" s="109"/>
      <c r="FEE31" s="109"/>
      <c r="FEF31" s="109"/>
      <c r="FEG31" s="109"/>
      <c r="FEH31" s="109"/>
      <c r="FEI31" s="109"/>
      <c r="FEJ31" s="109"/>
      <c r="FEK31" s="109"/>
      <c r="FEL31" s="109"/>
      <c r="FEM31" s="109"/>
      <c r="FEN31" s="109"/>
      <c r="FEO31" s="109"/>
      <c r="FEP31" s="109"/>
      <c r="FEQ31" s="109"/>
      <c r="FER31" s="109"/>
      <c r="FES31" s="109"/>
      <c r="FET31" s="109"/>
      <c r="FEU31" s="109"/>
      <c r="FEV31" s="109"/>
      <c r="FEW31" s="109"/>
      <c r="FEX31" s="109"/>
      <c r="FEY31" s="109"/>
      <c r="FEZ31" s="109"/>
      <c r="FFA31" s="109"/>
      <c r="FFB31" s="109"/>
      <c r="FFC31" s="109"/>
      <c r="FFD31" s="109"/>
      <c r="FFE31" s="109"/>
      <c r="FFF31" s="109"/>
      <c r="FFG31" s="109"/>
      <c r="FFH31" s="109"/>
      <c r="FFI31" s="109"/>
      <c r="FFJ31" s="109"/>
      <c r="FFK31" s="109"/>
      <c r="FFL31" s="109"/>
      <c r="FFM31" s="109"/>
      <c r="FFN31" s="109"/>
      <c r="FFO31" s="109"/>
      <c r="FFP31" s="109"/>
      <c r="FFQ31" s="109"/>
      <c r="FFR31" s="109"/>
      <c r="FFS31" s="109"/>
      <c r="FFT31" s="109"/>
      <c r="FFU31" s="109"/>
      <c r="FFV31" s="109"/>
      <c r="FFW31" s="109"/>
      <c r="FFX31" s="109"/>
      <c r="FFY31" s="109"/>
      <c r="FFZ31" s="109"/>
      <c r="FGA31" s="109"/>
      <c r="FGB31" s="109"/>
      <c r="FGC31" s="109"/>
      <c r="FGD31" s="109"/>
      <c r="FGE31" s="109"/>
      <c r="FGF31" s="109"/>
      <c r="FGG31" s="109"/>
      <c r="FGH31" s="109"/>
      <c r="FGI31" s="109"/>
      <c r="FGJ31" s="109"/>
      <c r="FGK31" s="109"/>
      <c r="FGL31" s="109"/>
      <c r="FGM31" s="109"/>
      <c r="FGN31" s="109"/>
      <c r="FGO31" s="109"/>
      <c r="FGP31" s="109"/>
      <c r="FGQ31" s="109"/>
      <c r="FGR31" s="109"/>
      <c r="FGS31" s="109"/>
      <c r="FGT31" s="109"/>
      <c r="FGU31" s="109"/>
      <c r="FGV31" s="109"/>
      <c r="FGW31" s="109"/>
      <c r="FGX31" s="109"/>
      <c r="FGY31" s="109"/>
      <c r="FGZ31" s="109"/>
      <c r="FHA31" s="109"/>
      <c r="FHB31" s="109"/>
      <c r="FHC31" s="109"/>
      <c r="FHD31" s="109"/>
      <c r="FHE31" s="109"/>
      <c r="FHF31" s="109"/>
      <c r="FHG31" s="109"/>
      <c r="FHH31" s="109"/>
      <c r="FHI31" s="109"/>
      <c r="FHJ31" s="109"/>
      <c r="FHK31" s="109"/>
      <c r="FHL31" s="109"/>
      <c r="FHM31" s="109"/>
      <c r="FHN31" s="109"/>
      <c r="FHO31" s="109"/>
      <c r="FHP31" s="109"/>
      <c r="FHQ31" s="109"/>
      <c r="FHR31" s="109"/>
      <c r="FHS31" s="109"/>
      <c r="FHT31" s="109"/>
      <c r="FHU31" s="109"/>
      <c r="FHV31" s="109"/>
      <c r="FHW31" s="109"/>
      <c r="FHX31" s="109"/>
      <c r="FHY31" s="109"/>
      <c r="FHZ31" s="109"/>
      <c r="FIA31" s="109"/>
      <c r="FIB31" s="109"/>
      <c r="FIC31" s="109"/>
      <c r="FID31" s="109"/>
      <c r="FIE31" s="109"/>
      <c r="FIF31" s="109"/>
      <c r="FIG31" s="109"/>
      <c r="FIH31" s="109"/>
      <c r="FII31" s="109"/>
      <c r="FIJ31" s="109"/>
      <c r="FIK31" s="109"/>
      <c r="FIL31" s="109"/>
      <c r="FIM31" s="109"/>
      <c r="FIN31" s="109"/>
      <c r="FIO31" s="109"/>
      <c r="FIP31" s="109"/>
      <c r="FIQ31" s="109"/>
      <c r="FIR31" s="109"/>
      <c r="FIS31" s="109"/>
      <c r="FIT31" s="109"/>
      <c r="FIU31" s="109"/>
      <c r="FIV31" s="109"/>
      <c r="FIW31" s="109"/>
      <c r="FIX31" s="109"/>
      <c r="FIY31" s="109"/>
      <c r="FIZ31" s="109"/>
      <c r="FJA31" s="109"/>
      <c r="FJB31" s="109"/>
      <c r="FJC31" s="109"/>
      <c r="FJD31" s="109"/>
      <c r="FJE31" s="109"/>
      <c r="FJF31" s="109"/>
      <c r="FJG31" s="109"/>
      <c r="FJH31" s="109"/>
      <c r="FJI31" s="109"/>
      <c r="FJJ31" s="109"/>
      <c r="FJK31" s="109"/>
      <c r="FJL31" s="109"/>
      <c r="FJM31" s="109"/>
      <c r="FJN31" s="109"/>
      <c r="FJO31" s="109"/>
      <c r="FJP31" s="109"/>
      <c r="FJQ31" s="109"/>
      <c r="FJR31" s="109"/>
      <c r="FJS31" s="109"/>
      <c r="FJT31" s="109"/>
      <c r="FJU31" s="109"/>
      <c r="FJV31" s="109"/>
      <c r="FJW31" s="109"/>
      <c r="FJX31" s="109"/>
      <c r="FJY31" s="109"/>
      <c r="FJZ31" s="109"/>
      <c r="FKA31" s="109"/>
      <c r="FKB31" s="109"/>
      <c r="FKC31" s="109"/>
      <c r="FKD31" s="109"/>
      <c r="FKE31" s="109"/>
      <c r="FKF31" s="109"/>
      <c r="FKG31" s="109"/>
      <c r="FKH31" s="109"/>
      <c r="FKI31" s="109"/>
      <c r="FKJ31" s="109"/>
      <c r="FKK31" s="109"/>
      <c r="FKL31" s="109"/>
      <c r="FKM31" s="109"/>
      <c r="FKN31" s="109"/>
      <c r="FKO31" s="109"/>
      <c r="FKP31" s="109"/>
      <c r="FKQ31" s="109"/>
      <c r="FKR31" s="109"/>
      <c r="FKS31" s="109"/>
      <c r="FKT31" s="109"/>
      <c r="FKU31" s="109"/>
      <c r="FKV31" s="109"/>
      <c r="FKW31" s="109"/>
      <c r="FKX31" s="109"/>
      <c r="FKY31" s="109"/>
      <c r="FKZ31" s="109"/>
      <c r="FLA31" s="109"/>
      <c r="FLB31" s="109"/>
      <c r="FLC31" s="109"/>
      <c r="FLD31" s="109"/>
      <c r="FLE31" s="109"/>
      <c r="FLF31" s="109"/>
      <c r="FLG31" s="109"/>
      <c r="FLH31" s="109"/>
      <c r="FLI31" s="109"/>
      <c r="FLJ31" s="109"/>
      <c r="FLK31" s="109"/>
      <c r="FLL31" s="109"/>
      <c r="FLM31" s="109"/>
      <c r="FLN31" s="109"/>
      <c r="FLO31" s="109"/>
      <c r="FLP31" s="109"/>
      <c r="FLQ31" s="109"/>
      <c r="FLR31" s="109"/>
      <c r="FLS31" s="109"/>
      <c r="FLT31" s="109"/>
      <c r="FLU31" s="109"/>
      <c r="FLV31" s="109"/>
      <c r="FLW31" s="109"/>
      <c r="FLX31" s="109"/>
      <c r="FLY31" s="109"/>
      <c r="FLZ31" s="109"/>
      <c r="FMA31" s="109"/>
      <c r="FMB31" s="109"/>
      <c r="FMC31" s="109"/>
      <c r="FMD31" s="109"/>
      <c r="FME31" s="109"/>
      <c r="FMF31" s="109"/>
      <c r="FMG31" s="109"/>
      <c r="FMH31" s="109"/>
      <c r="FMI31" s="109"/>
      <c r="FMJ31" s="109"/>
      <c r="FMK31" s="109"/>
      <c r="FML31" s="109"/>
      <c r="FMM31" s="109"/>
      <c r="FMN31" s="109"/>
      <c r="FMO31" s="109"/>
      <c r="FMP31" s="109"/>
      <c r="FMQ31" s="109"/>
      <c r="FMR31" s="109"/>
      <c r="FMS31" s="109"/>
      <c r="FMT31" s="109"/>
      <c r="FMU31" s="109"/>
      <c r="FMV31" s="109"/>
      <c r="FMW31" s="109"/>
      <c r="FMX31" s="109"/>
      <c r="FMY31" s="109"/>
      <c r="FMZ31" s="109"/>
      <c r="FNA31" s="109"/>
      <c r="FNB31" s="109"/>
      <c r="FNC31" s="109"/>
      <c r="FND31" s="109"/>
      <c r="FNE31" s="109"/>
      <c r="FNF31" s="109"/>
      <c r="FNG31" s="109"/>
      <c r="FNH31" s="109"/>
      <c r="FNI31" s="109"/>
      <c r="FNJ31" s="109"/>
      <c r="FNK31" s="109"/>
      <c r="FNL31" s="109"/>
      <c r="FNM31" s="109"/>
      <c r="FNN31" s="109"/>
      <c r="FNO31" s="109"/>
      <c r="FNP31" s="109"/>
      <c r="FNQ31" s="109"/>
      <c r="FNR31" s="109"/>
      <c r="FNS31" s="109"/>
      <c r="FNT31" s="109"/>
      <c r="FNU31" s="109"/>
      <c r="FNV31" s="109"/>
      <c r="FNW31" s="109"/>
      <c r="FNX31" s="109"/>
      <c r="FNY31" s="109"/>
      <c r="FNZ31" s="109"/>
      <c r="FOA31" s="109"/>
      <c r="FOB31" s="109"/>
      <c r="FOC31" s="109"/>
      <c r="FOD31" s="109"/>
      <c r="FOE31" s="109"/>
      <c r="FOF31" s="109"/>
      <c r="FOG31" s="109"/>
      <c r="FOH31" s="109"/>
      <c r="FOI31" s="109"/>
      <c r="FOJ31" s="109"/>
      <c r="FOK31" s="109"/>
      <c r="FOL31" s="109"/>
      <c r="FOM31" s="109"/>
      <c r="FON31" s="109"/>
      <c r="FOO31" s="109"/>
      <c r="FOP31" s="109"/>
      <c r="FOQ31" s="109"/>
      <c r="FOR31" s="109"/>
      <c r="FOS31" s="109"/>
      <c r="FOT31" s="109"/>
      <c r="FOU31" s="109"/>
      <c r="FOV31" s="109"/>
      <c r="FOW31" s="109"/>
      <c r="FOX31" s="109"/>
      <c r="FOY31" s="109"/>
      <c r="FOZ31" s="109"/>
      <c r="FPA31" s="109"/>
      <c r="FPB31" s="109"/>
      <c r="FPC31" s="109"/>
      <c r="FPD31" s="109"/>
      <c r="FPE31" s="109"/>
      <c r="FPF31" s="109"/>
      <c r="FPG31" s="109"/>
      <c r="FPH31" s="109"/>
      <c r="FPI31" s="109"/>
      <c r="FPJ31" s="109"/>
      <c r="FPK31" s="109"/>
      <c r="FPL31" s="109"/>
      <c r="FPM31" s="109"/>
      <c r="FPN31" s="109"/>
      <c r="FPO31" s="109"/>
      <c r="FPP31" s="109"/>
      <c r="FPQ31" s="109"/>
      <c r="FPR31" s="109"/>
      <c r="FPS31" s="109"/>
      <c r="FPT31" s="109"/>
      <c r="FPU31" s="109"/>
      <c r="FPV31" s="109"/>
      <c r="FPW31" s="109"/>
      <c r="FPX31" s="109"/>
      <c r="FPY31" s="109"/>
      <c r="FPZ31" s="109"/>
      <c r="FQA31" s="109"/>
      <c r="FQB31" s="109"/>
      <c r="FQC31" s="109"/>
      <c r="FQD31" s="109"/>
      <c r="FQE31" s="109"/>
      <c r="FQF31" s="109"/>
      <c r="FQG31" s="109"/>
      <c r="FQH31" s="109"/>
      <c r="FQI31" s="109"/>
      <c r="FQJ31" s="109"/>
      <c r="FQK31" s="109"/>
      <c r="FQL31" s="109"/>
      <c r="FQM31" s="109"/>
      <c r="FQN31" s="109"/>
      <c r="FQO31" s="109"/>
      <c r="FQP31" s="109"/>
      <c r="FQQ31" s="109"/>
      <c r="FQR31" s="109"/>
      <c r="FQS31" s="109"/>
      <c r="FQT31" s="109"/>
      <c r="FQU31" s="109"/>
      <c r="FQV31" s="109"/>
      <c r="FQW31" s="109"/>
      <c r="FQX31" s="109"/>
      <c r="FQY31" s="109"/>
      <c r="FQZ31" s="109"/>
      <c r="FRA31" s="109"/>
      <c r="FRB31" s="109"/>
      <c r="FRC31" s="109"/>
      <c r="FRD31" s="109"/>
      <c r="FRE31" s="109"/>
      <c r="FRF31" s="109"/>
      <c r="FRG31" s="109"/>
      <c r="FRH31" s="109"/>
      <c r="FRI31" s="109"/>
      <c r="FRJ31" s="109"/>
      <c r="FRK31" s="109"/>
      <c r="FRL31" s="109"/>
      <c r="FRM31" s="109"/>
      <c r="FRN31" s="109"/>
      <c r="FRO31" s="109"/>
      <c r="FRP31" s="109"/>
      <c r="FRQ31" s="109"/>
      <c r="FRR31" s="109"/>
      <c r="FRS31" s="109"/>
      <c r="FRT31" s="109"/>
      <c r="FRU31" s="109"/>
      <c r="FRV31" s="109"/>
      <c r="FRW31" s="109"/>
      <c r="FRX31" s="109"/>
      <c r="FRY31" s="109"/>
      <c r="FRZ31" s="109"/>
      <c r="FSA31" s="109"/>
      <c r="FSB31" s="109"/>
      <c r="FSC31" s="109"/>
      <c r="FSD31" s="109"/>
      <c r="FSE31" s="109"/>
      <c r="FSF31" s="109"/>
      <c r="FSG31" s="109"/>
      <c r="FSH31" s="109"/>
      <c r="FSI31" s="109"/>
      <c r="FSJ31" s="109"/>
      <c r="FSK31" s="109"/>
      <c r="FSL31" s="109"/>
      <c r="FSM31" s="109"/>
      <c r="FSN31" s="109"/>
      <c r="FSO31" s="109"/>
      <c r="FSP31" s="109"/>
      <c r="FSQ31" s="109"/>
      <c r="FSR31" s="109"/>
      <c r="FSS31" s="109"/>
      <c r="FST31" s="109"/>
      <c r="FSU31" s="109"/>
      <c r="FSV31" s="109"/>
      <c r="FSW31" s="109"/>
      <c r="FSX31" s="109"/>
      <c r="FSY31" s="109"/>
      <c r="FSZ31" s="109"/>
      <c r="FTA31" s="109"/>
      <c r="FTB31" s="109"/>
      <c r="FTC31" s="109"/>
      <c r="FTD31" s="109"/>
      <c r="FTE31" s="109"/>
      <c r="FTF31" s="109"/>
      <c r="FTG31" s="109"/>
      <c r="FTH31" s="109"/>
      <c r="FTI31" s="109"/>
      <c r="FTJ31" s="109"/>
      <c r="FTK31" s="109"/>
      <c r="FTL31" s="109"/>
      <c r="FTM31" s="109"/>
      <c r="FTN31" s="109"/>
      <c r="FTO31" s="109"/>
      <c r="FTP31" s="109"/>
      <c r="FTQ31" s="109"/>
      <c r="FTR31" s="109"/>
      <c r="FTS31" s="109"/>
      <c r="FTT31" s="109"/>
      <c r="FTU31" s="109"/>
      <c r="FTV31" s="109"/>
      <c r="FTW31" s="109"/>
      <c r="FTX31" s="109"/>
      <c r="FTY31" s="109"/>
      <c r="FTZ31" s="109"/>
      <c r="FUA31" s="109"/>
      <c r="FUB31" s="109"/>
      <c r="FUC31" s="109"/>
      <c r="FUD31" s="109"/>
      <c r="FUE31" s="109"/>
      <c r="FUF31" s="109"/>
      <c r="FUG31" s="109"/>
      <c r="FUH31" s="109"/>
      <c r="FUI31" s="109"/>
      <c r="FUJ31" s="109"/>
      <c r="FUK31" s="109"/>
      <c r="FUL31" s="109"/>
      <c r="FUM31" s="109"/>
      <c r="FUN31" s="109"/>
      <c r="FUO31" s="109"/>
      <c r="FUP31" s="109"/>
      <c r="FUQ31" s="109"/>
      <c r="FUR31" s="109"/>
      <c r="FUS31" s="109"/>
      <c r="FUT31" s="109"/>
      <c r="FUU31" s="109"/>
      <c r="FUV31" s="109"/>
      <c r="FUW31" s="109"/>
      <c r="FUX31" s="109"/>
      <c r="FUY31" s="109"/>
      <c r="FUZ31" s="109"/>
      <c r="FVA31" s="109"/>
      <c r="FVB31" s="109"/>
      <c r="FVC31" s="109"/>
      <c r="FVD31" s="109"/>
      <c r="FVE31" s="109"/>
      <c r="FVF31" s="109"/>
      <c r="FVG31" s="109"/>
      <c r="FVH31" s="109"/>
      <c r="FVI31" s="109"/>
      <c r="FVJ31" s="109"/>
      <c r="FVK31" s="109"/>
      <c r="FVL31" s="109"/>
      <c r="FVM31" s="109"/>
      <c r="FVN31" s="109"/>
      <c r="FVO31" s="109"/>
      <c r="FVP31" s="109"/>
      <c r="FVQ31" s="109"/>
      <c r="FVR31" s="109"/>
      <c r="FVS31" s="109"/>
      <c r="FVT31" s="109"/>
      <c r="FVU31" s="109"/>
      <c r="FVV31" s="109"/>
      <c r="FVW31" s="109"/>
      <c r="FVX31" s="109"/>
      <c r="FVY31" s="109"/>
      <c r="FVZ31" s="109"/>
      <c r="FWA31" s="109"/>
      <c r="FWB31" s="109"/>
      <c r="FWC31" s="109"/>
      <c r="FWD31" s="109"/>
      <c r="FWE31" s="109"/>
      <c r="FWF31" s="109"/>
      <c r="FWG31" s="109"/>
      <c r="FWH31" s="109"/>
      <c r="FWI31" s="109"/>
      <c r="FWJ31" s="109"/>
      <c r="FWK31" s="109"/>
      <c r="FWL31" s="109"/>
      <c r="FWM31" s="109"/>
      <c r="FWN31" s="109"/>
      <c r="FWO31" s="109"/>
      <c r="FWP31" s="109"/>
      <c r="FWQ31" s="109"/>
      <c r="FWR31" s="109"/>
      <c r="FWS31" s="109"/>
      <c r="FWT31" s="109"/>
      <c r="FWU31" s="109"/>
      <c r="FWV31" s="109"/>
      <c r="FWW31" s="109"/>
      <c r="FWX31" s="109"/>
      <c r="FWY31" s="109"/>
      <c r="FWZ31" s="109"/>
      <c r="FXA31" s="109"/>
      <c r="FXB31" s="109"/>
      <c r="FXC31" s="109"/>
      <c r="FXD31" s="109"/>
      <c r="FXE31" s="109"/>
      <c r="FXF31" s="109"/>
      <c r="FXG31" s="109"/>
      <c r="FXH31" s="109"/>
      <c r="FXI31" s="109"/>
      <c r="FXJ31" s="109"/>
      <c r="FXK31" s="109"/>
      <c r="FXL31" s="109"/>
      <c r="FXM31" s="109"/>
      <c r="FXN31" s="109"/>
      <c r="FXO31" s="109"/>
      <c r="FXP31" s="109"/>
      <c r="FXQ31" s="109"/>
      <c r="FXR31" s="109"/>
      <c r="FXS31" s="109"/>
      <c r="FXT31" s="109"/>
      <c r="FXU31" s="109"/>
      <c r="FXV31" s="109"/>
      <c r="FXW31" s="109"/>
      <c r="FXX31" s="109"/>
      <c r="FXY31" s="109"/>
      <c r="FXZ31" s="109"/>
      <c r="FYA31" s="109"/>
      <c r="FYB31" s="109"/>
      <c r="FYC31" s="109"/>
      <c r="FYD31" s="109"/>
      <c r="FYE31" s="109"/>
      <c r="FYF31" s="109"/>
      <c r="FYG31" s="109"/>
      <c r="FYH31" s="109"/>
      <c r="FYI31" s="109"/>
      <c r="FYJ31" s="109"/>
      <c r="FYK31" s="109"/>
      <c r="FYL31" s="109"/>
      <c r="FYM31" s="109"/>
      <c r="FYN31" s="109"/>
      <c r="FYO31" s="109"/>
      <c r="FYP31" s="109"/>
      <c r="FYQ31" s="109"/>
      <c r="FYR31" s="109"/>
      <c r="FYS31" s="109"/>
      <c r="FYT31" s="109"/>
      <c r="FYU31" s="109"/>
      <c r="FYV31" s="109"/>
      <c r="FYW31" s="109"/>
      <c r="FYX31" s="109"/>
      <c r="FYY31" s="109"/>
      <c r="FYZ31" s="109"/>
      <c r="FZA31" s="109"/>
      <c r="FZB31" s="109"/>
      <c r="FZC31" s="109"/>
      <c r="FZD31" s="109"/>
      <c r="FZE31" s="109"/>
      <c r="FZF31" s="109"/>
      <c r="FZG31" s="109"/>
      <c r="FZH31" s="109"/>
      <c r="FZI31" s="109"/>
      <c r="FZJ31" s="109"/>
      <c r="FZK31" s="109"/>
      <c r="FZL31" s="109"/>
      <c r="FZM31" s="109"/>
      <c r="FZN31" s="109"/>
      <c r="FZO31" s="109"/>
      <c r="FZP31" s="109"/>
      <c r="FZQ31" s="109"/>
      <c r="FZR31" s="109"/>
      <c r="FZS31" s="109"/>
      <c r="FZT31" s="109"/>
      <c r="FZU31" s="109"/>
      <c r="FZV31" s="109"/>
      <c r="FZW31" s="109"/>
      <c r="FZX31" s="109"/>
      <c r="FZY31" s="109"/>
      <c r="FZZ31" s="109"/>
      <c r="GAA31" s="109"/>
      <c r="GAB31" s="109"/>
      <c r="GAC31" s="109"/>
      <c r="GAD31" s="109"/>
      <c r="GAE31" s="109"/>
      <c r="GAF31" s="109"/>
      <c r="GAG31" s="109"/>
      <c r="GAH31" s="109"/>
      <c r="GAI31" s="109"/>
      <c r="GAJ31" s="109"/>
      <c r="GAK31" s="109"/>
      <c r="GAL31" s="109"/>
      <c r="GAM31" s="109"/>
      <c r="GAN31" s="109"/>
      <c r="GAO31" s="109"/>
      <c r="GAP31" s="109"/>
      <c r="GAQ31" s="109"/>
      <c r="GAR31" s="109"/>
      <c r="GAS31" s="109"/>
      <c r="GAT31" s="109"/>
      <c r="GAU31" s="109"/>
      <c r="GAV31" s="109"/>
      <c r="GAW31" s="109"/>
      <c r="GAX31" s="109"/>
      <c r="GAY31" s="109"/>
      <c r="GAZ31" s="109"/>
      <c r="GBA31" s="109"/>
      <c r="GBB31" s="109"/>
      <c r="GBC31" s="109"/>
      <c r="GBD31" s="109"/>
      <c r="GBE31" s="109"/>
      <c r="GBF31" s="109"/>
      <c r="GBG31" s="109"/>
      <c r="GBH31" s="109"/>
      <c r="GBI31" s="109"/>
      <c r="GBJ31" s="109"/>
      <c r="GBK31" s="109"/>
      <c r="GBL31" s="109"/>
      <c r="GBM31" s="109"/>
      <c r="GBN31" s="109"/>
      <c r="GBO31" s="109"/>
      <c r="GBP31" s="109"/>
      <c r="GBQ31" s="109"/>
      <c r="GBR31" s="109"/>
      <c r="GBS31" s="109"/>
      <c r="GBT31" s="109"/>
      <c r="GBU31" s="109"/>
      <c r="GBV31" s="109"/>
      <c r="GBW31" s="109"/>
      <c r="GBX31" s="109"/>
      <c r="GBY31" s="109"/>
      <c r="GBZ31" s="109"/>
      <c r="GCA31" s="109"/>
      <c r="GCB31" s="109"/>
      <c r="GCC31" s="109"/>
      <c r="GCD31" s="109"/>
      <c r="GCE31" s="109"/>
      <c r="GCF31" s="109"/>
      <c r="GCG31" s="109"/>
      <c r="GCH31" s="109"/>
      <c r="GCI31" s="109"/>
      <c r="GCJ31" s="109"/>
      <c r="GCK31" s="109"/>
      <c r="GCL31" s="109"/>
      <c r="GCM31" s="109"/>
      <c r="GCN31" s="109"/>
      <c r="GCO31" s="109"/>
      <c r="GCP31" s="109"/>
      <c r="GCQ31" s="109"/>
      <c r="GCR31" s="109"/>
      <c r="GCS31" s="109"/>
      <c r="GCT31" s="109"/>
      <c r="GCU31" s="109"/>
      <c r="GCV31" s="109"/>
      <c r="GCW31" s="109"/>
      <c r="GCX31" s="109"/>
      <c r="GCY31" s="109"/>
      <c r="GCZ31" s="109"/>
      <c r="GDA31" s="109"/>
      <c r="GDB31" s="109"/>
      <c r="GDC31" s="109"/>
      <c r="GDD31" s="109"/>
      <c r="GDE31" s="109"/>
      <c r="GDF31" s="109"/>
      <c r="GDG31" s="109"/>
      <c r="GDH31" s="109"/>
      <c r="GDI31" s="109"/>
      <c r="GDJ31" s="109"/>
      <c r="GDK31" s="109"/>
      <c r="GDL31" s="109"/>
      <c r="GDM31" s="109"/>
      <c r="GDN31" s="109"/>
      <c r="GDO31" s="109"/>
      <c r="GDP31" s="109"/>
      <c r="GDQ31" s="109"/>
      <c r="GDR31" s="109"/>
      <c r="GDS31" s="109"/>
      <c r="GDT31" s="109"/>
      <c r="GDU31" s="109"/>
      <c r="GDV31" s="109"/>
      <c r="GDW31" s="109"/>
      <c r="GDX31" s="109"/>
      <c r="GDY31" s="109"/>
      <c r="GDZ31" s="109"/>
      <c r="GEA31" s="109"/>
      <c r="GEB31" s="109"/>
      <c r="GEC31" s="109"/>
      <c r="GED31" s="109"/>
      <c r="GEE31" s="109"/>
      <c r="GEF31" s="109"/>
      <c r="GEG31" s="109"/>
      <c r="GEH31" s="109"/>
      <c r="GEI31" s="109"/>
      <c r="GEJ31" s="109"/>
      <c r="GEK31" s="109"/>
      <c r="GEL31" s="109"/>
      <c r="GEM31" s="109"/>
      <c r="GEN31" s="109"/>
      <c r="GEO31" s="109"/>
      <c r="GEP31" s="109"/>
      <c r="GEQ31" s="109"/>
      <c r="GER31" s="109"/>
      <c r="GES31" s="109"/>
      <c r="GET31" s="109"/>
      <c r="GEU31" s="109"/>
      <c r="GEV31" s="109"/>
      <c r="GEW31" s="109"/>
      <c r="GEX31" s="109"/>
      <c r="GEY31" s="109"/>
      <c r="GEZ31" s="109"/>
      <c r="GFA31" s="109"/>
      <c r="GFB31" s="109"/>
      <c r="GFC31" s="109"/>
      <c r="GFD31" s="109"/>
      <c r="GFE31" s="109"/>
      <c r="GFF31" s="109"/>
      <c r="GFG31" s="109"/>
      <c r="GFH31" s="109"/>
      <c r="GFI31" s="109"/>
      <c r="GFJ31" s="109"/>
      <c r="GFK31" s="109"/>
      <c r="GFL31" s="109"/>
      <c r="GFM31" s="109"/>
      <c r="GFN31" s="109"/>
      <c r="GFO31" s="109"/>
      <c r="GFP31" s="109"/>
      <c r="GFQ31" s="109"/>
      <c r="GFR31" s="109"/>
      <c r="GFS31" s="109"/>
      <c r="GFT31" s="109"/>
      <c r="GFU31" s="109"/>
      <c r="GFV31" s="109"/>
      <c r="GFW31" s="109"/>
      <c r="GFX31" s="109"/>
      <c r="GFY31" s="109"/>
      <c r="GFZ31" s="109"/>
      <c r="GGA31" s="109"/>
      <c r="GGB31" s="109"/>
      <c r="GGC31" s="109"/>
      <c r="GGD31" s="109"/>
      <c r="GGE31" s="109"/>
      <c r="GGF31" s="109"/>
      <c r="GGG31" s="109"/>
      <c r="GGH31" s="109"/>
      <c r="GGI31" s="109"/>
      <c r="GGJ31" s="109"/>
      <c r="GGK31" s="109"/>
      <c r="GGL31" s="109"/>
      <c r="GGM31" s="109"/>
      <c r="GGN31" s="109"/>
      <c r="GGO31" s="109"/>
      <c r="GGP31" s="109"/>
      <c r="GGQ31" s="109"/>
      <c r="GGR31" s="109"/>
      <c r="GGS31" s="109"/>
      <c r="GGT31" s="109"/>
      <c r="GGU31" s="109"/>
      <c r="GGV31" s="109"/>
      <c r="GGW31" s="109"/>
      <c r="GGX31" s="109"/>
      <c r="GGY31" s="109"/>
      <c r="GGZ31" s="109"/>
      <c r="GHA31" s="109"/>
      <c r="GHB31" s="109"/>
      <c r="GHC31" s="109"/>
      <c r="GHD31" s="109"/>
      <c r="GHE31" s="109"/>
      <c r="GHF31" s="109"/>
      <c r="GHG31" s="109"/>
      <c r="GHH31" s="109"/>
      <c r="GHI31" s="109"/>
      <c r="GHJ31" s="109"/>
      <c r="GHK31" s="109"/>
      <c r="GHL31" s="109"/>
      <c r="GHM31" s="109"/>
      <c r="GHN31" s="109"/>
      <c r="GHO31" s="109"/>
      <c r="GHP31" s="109"/>
      <c r="GHQ31" s="109"/>
      <c r="GHR31" s="109"/>
      <c r="GHS31" s="109"/>
      <c r="GHT31" s="109"/>
      <c r="GHU31" s="109"/>
      <c r="GHV31" s="109"/>
      <c r="GHW31" s="109"/>
      <c r="GHX31" s="109"/>
      <c r="GHY31" s="109"/>
      <c r="GHZ31" s="109"/>
      <c r="GIA31" s="109"/>
      <c r="GIB31" s="109"/>
      <c r="GIC31" s="109"/>
      <c r="GID31" s="109"/>
      <c r="GIE31" s="109"/>
      <c r="GIF31" s="109"/>
      <c r="GIG31" s="109"/>
      <c r="GIH31" s="109"/>
      <c r="GII31" s="109"/>
      <c r="GIJ31" s="109"/>
      <c r="GIK31" s="109"/>
      <c r="GIL31" s="109"/>
      <c r="GIM31" s="109"/>
      <c r="GIN31" s="109"/>
      <c r="GIO31" s="109"/>
      <c r="GIP31" s="109"/>
      <c r="GIQ31" s="109"/>
      <c r="GIR31" s="109"/>
      <c r="GIS31" s="109"/>
      <c r="GIT31" s="109"/>
      <c r="GIU31" s="109"/>
      <c r="GIV31" s="109"/>
      <c r="GIW31" s="109"/>
      <c r="GIX31" s="109"/>
      <c r="GIY31" s="109"/>
      <c r="GIZ31" s="109"/>
      <c r="GJA31" s="109"/>
      <c r="GJB31" s="109"/>
      <c r="GJC31" s="109"/>
      <c r="GJD31" s="109"/>
      <c r="GJE31" s="109"/>
      <c r="GJF31" s="109"/>
      <c r="GJG31" s="109"/>
      <c r="GJH31" s="109"/>
      <c r="GJI31" s="109"/>
      <c r="GJJ31" s="109"/>
      <c r="GJK31" s="109"/>
      <c r="GJL31" s="109"/>
      <c r="GJM31" s="109"/>
      <c r="GJN31" s="109"/>
      <c r="GJO31" s="109"/>
      <c r="GJP31" s="109"/>
      <c r="GJQ31" s="109"/>
      <c r="GJR31" s="109"/>
      <c r="GJS31" s="109"/>
      <c r="GJT31" s="109"/>
      <c r="GJU31" s="109"/>
      <c r="GJV31" s="109"/>
      <c r="GJW31" s="109"/>
      <c r="GJX31" s="109"/>
      <c r="GJY31" s="109"/>
      <c r="GJZ31" s="109"/>
      <c r="GKA31" s="109"/>
      <c r="GKB31" s="109"/>
      <c r="GKC31" s="109"/>
      <c r="GKD31" s="109"/>
      <c r="GKE31" s="109"/>
      <c r="GKF31" s="109"/>
      <c r="GKG31" s="109"/>
      <c r="GKH31" s="109"/>
      <c r="GKI31" s="109"/>
      <c r="GKJ31" s="109"/>
      <c r="GKK31" s="109"/>
      <c r="GKL31" s="109"/>
      <c r="GKM31" s="109"/>
      <c r="GKN31" s="109"/>
      <c r="GKO31" s="109"/>
      <c r="GKP31" s="109"/>
      <c r="GKQ31" s="109"/>
      <c r="GKR31" s="109"/>
      <c r="GKS31" s="109"/>
      <c r="GKT31" s="109"/>
      <c r="GKU31" s="109"/>
      <c r="GKV31" s="109"/>
      <c r="GKW31" s="109"/>
      <c r="GKX31" s="109"/>
      <c r="GKY31" s="109"/>
      <c r="GKZ31" s="109"/>
      <c r="GLA31" s="109"/>
      <c r="GLB31" s="109"/>
      <c r="GLC31" s="109"/>
      <c r="GLD31" s="109"/>
      <c r="GLE31" s="109"/>
      <c r="GLF31" s="109"/>
      <c r="GLG31" s="109"/>
      <c r="GLH31" s="109"/>
      <c r="GLI31" s="109"/>
      <c r="GLJ31" s="109"/>
      <c r="GLK31" s="109"/>
      <c r="GLL31" s="109"/>
      <c r="GLM31" s="109"/>
      <c r="GLN31" s="109"/>
      <c r="GLO31" s="109"/>
      <c r="GLP31" s="109"/>
      <c r="GLQ31" s="109"/>
      <c r="GLR31" s="109"/>
      <c r="GLS31" s="109"/>
      <c r="GLT31" s="109"/>
      <c r="GLU31" s="109"/>
      <c r="GLV31" s="109"/>
      <c r="GLW31" s="109"/>
      <c r="GLX31" s="109"/>
      <c r="GLY31" s="109"/>
      <c r="GLZ31" s="109"/>
      <c r="GMA31" s="109"/>
      <c r="GMB31" s="109"/>
      <c r="GMC31" s="109"/>
      <c r="GMD31" s="109"/>
      <c r="GME31" s="109"/>
      <c r="GMF31" s="109"/>
      <c r="GMG31" s="109"/>
      <c r="GMH31" s="109"/>
      <c r="GMI31" s="109"/>
      <c r="GMJ31" s="109"/>
      <c r="GMK31" s="109"/>
      <c r="GML31" s="109"/>
      <c r="GMM31" s="109"/>
      <c r="GMN31" s="109"/>
      <c r="GMO31" s="109"/>
      <c r="GMP31" s="109"/>
      <c r="GMQ31" s="109"/>
      <c r="GMR31" s="109"/>
      <c r="GMS31" s="109"/>
      <c r="GMT31" s="109"/>
      <c r="GMU31" s="109"/>
      <c r="GMV31" s="109"/>
      <c r="GMW31" s="109"/>
      <c r="GMX31" s="109"/>
      <c r="GMY31" s="109"/>
      <c r="GMZ31" s="109"/>
      <c r="GNA31" s="109"/>
      <c r="GNB31" s="109"/>
      <c r="GNC31" s="109"/>
      <c r="GND31" s="109"/>
      <c r="GNE31" s="109"/>
      <c r="GNF31" s="109"/>
      <c r="GNG31" s="109"/>
      <c r="GNH31" s="109"/>
      <c r="GNI31" s="109"/>
      <c r="GNJ31" s="109"/>
      <c r="GNK31" s="109"/>
      <c r="GNL31" s="109"/>
      <c r="GNM31" s="109"/>
      <c r="GNN31" s="109"/>
      <c r="GNO31" s="109"/>
      <c r="GNP31" s="109"/>
      <c r="GNQ31" s="109"/>
      <c r="GNR31" s="109"/>
      <c r="GNS31" s="109"/>
      <c r="GNT31" s="109"/>
      <c r="GNU31" s="109"/>
      <c r="GNV31" s="109"/>
      <c r="GNW31" s="109"/>
      <c r="GNX31" s="109"/>
      <c r="GNY31" s="109"/>
      <c r="GNZ31" s="109"/>
      <c r="GOA31" s="109"/>
      <c r="GOB31" s="109"/>
      <c r="GOC31" s="109"/>
      <c r="GOD31" s="109"/>
      <c r="GOE31" s="109"/>
      <c r="GOF31" s="109"/>
      <c r="GOG31" s="109"/>
      <c r="GOH31" s="109"/>
      <c r="GOI31" s="109"/>
      <c r="GOJ31" s="109"/>
      <c r="GOK31" s="109"/>
      <c r="GOL31" s="109"/>
      <c r="GOM31" s="109"/>
      <c r="GON31" s="109"/>
      <c r="GOO31" s="109"/>
      <c r="GOP31" s="109"/>
      <c r="GOQ31" s="109"/>
      <c r="GOR31" s="109"/>
      <c r="GOS31" s="109"/>
      <c r="GOT31" s="109"/>
      <c r="GOU31" s="109"/>
      <c r="GOV31" s="109"/>
      <c r="GOW31" s="109"/>
      <c r="GOX31" s="109"/>
      <c r="GOY31" s="109"/>
      <c r="GOZ31" s="109"/>
      <c r="GPA31" s="109"/>
      <c r="GPB31" s="109"/>
      <c r="GPC31" s="109"/>
      <c r="GPD31" s="109"/>
      <c r="GPE31" s="109"/>
      <c r="GPF31" s="109"/>
      <c r="GPG31" s="109"/>
      <c r="GPH31" s="109"/>
      <c r="GPI31" s="109"/>
      <c r="GPJ31" s="109"/>
      <c r="GPK31" s="109"/>
      <c r="GPL31" s="109"/>
      <c r="GPM31" s="109"/>
      <c r="GPN31" s="109"/>
      <c r="GPO31" s="109"/>
      <c r="GPP31" s="109"/>
      <c r="GPQ31" s="109"/>
      <c r="GPR31" s="109"/>
      <c r="GPS31" s="109"/>
      <c r="GPT31" s="109"/>
      <c r="GPU31" s="109"/>
      <c r="GPV31" s="109"/>
      <c r="GPW31" s="109"/>
      <c r="GPX31" s="109"/>
      <c r="GPY31" s="109"/>
      <c r="GPZ31" s="109"/>
      <c r="GQA31" s="109"/>
      <c r="GQB31" s="109"/>
      <c r="GQC31" s="109"/>
      <c r="GQD31" s="109"/>
      <c r="GQE31" s="109"/>
      <c r="GQF31" s="109"/>
      <c r="GQG31" s="109"/>
      <c r="GQH31" s="109"/>
      <c r="GQI31" s="109"/>
      <c r="GQJ31" s="109"/>
      <c r="GQK31" s="109"/>
      <c r="GQL31" s="109"/>
      <c r="GQM31" s="109"/>
      <c r="GQN31" s="109"/>
      <c r="GQO31" s="109"/>
      <c r="GQP31" s="109"/>
      <c r="GQQ31" s="109"/>
      <c r="GQR31" s="109"/>
      <c r="GQS31" s="109"/>
      <c r="GQT31" s="109"/>
      <c r="GQU31" s="109"/>
      <c r="GQV31" s="109"/>
      <c r="GQW31" s="109"/>
      <c r="GQX31" s="109"/>
      <c r="GQY31" s="109"/>
      <c r="GQZ31" s="109"/>
      <c r="GRA31" s="109"/>
      <c r="GRB31" s="109"/>
      <c r="GRC31" s="109"/>
      <c r="GRD31" s="109"/>
      <c r="GRE31" s="109"/>
      <c r="GRF31" s="109"/>
      <c r="GRG31" s="109"/>
      <c r="GRH31" s="109"/>
      <c r="GRI31" s="109"/>
      <c r="GRJ31" s="109"/>
      <c r="GRK31" s="109"/>
      <c r="GRL31" s="109"/>
      <c r="GRM31" s="109"/>
      <c r="GRN31" s="109"/>
      <c r="GRO31" s="109"/>
      <c r="GRP31" s="109"/>
      <c r="GRQ31" s="109"/>
      <c r="GRR31" s="109"/>
      <c r="GRS31" s="109"/>
      <c r="GRT31" s="109"/>
      <c r="GRU31" s="109"/>
      <c r="GRV31" s="109"/>
      <c r="GRW31" s="109"/>
      <c r="GRX31" s="109"/>
      <c r="GRY31" s="109"/>
      <c r="GRZ31" s="109"/>
      <c r="GSA31" s="109"/>
      <c r="GSB31" s="109"/>
      <c r="GSC31" s="109"/>
      <c r="GSD31" s="109"/>
      <c r="GSE31" s="109"/>
      <c r="GSF31" s="109"/>
      <c r="GSG31" s="109"/>
      <c r="GSH31" s="109"/>
      <c r="GSI31" s="109"/>
      <c r="GSJ31" s="109"/>
      <c r="GSK31" s="109"/>
      <c r="GSL31" s="109"/>
      <c r="GSM31" s="109"/>
      <c r="GSN31" s="109"/>
      <c r="GSO31" s="109"/>
      <c r="GSP31" s="109"/>
      <c r="GSQ31" s="109"/>
      <c r="GSR31" s="109"/>
      <c r="GSS31" s="109"/>
      <c r="GST31" s="109"/>
      <c r="GSU31" s="109"/>
      <c r="GSV31" s="109"/>
      <c r="GSW31" s="109"/>
      <c r="GSX31" s="109"/>
      <c r="GSY31" s="109"/>
      <c r="GSZ31" s="109"/>
      <c r="GTA31" s="109"/>
      <c r="GTB31" s="109"/>
      <c r="GTC31" s="109"/>
      <c r="GTD31" s="109"/>
      <c r="GTE31" s="109"/>
      <c r="GTF31" s="109"/>
      <c r="GTG31" s="109"/>
      <c r="GTH31" s="109"/>
      <c r="GTI31" s="109"/>
      <c r="GTJ31" s="109"/>
      <c r="GTK31" s="109"/>
      <c r="GTL31" s="109"/>
      <c r="GTM31" s="109"/>
      <c r="GTN31" s="109"/>
      <c r="GTO31" s="109"/>
      <c r="GTP31" s="109"/>
      <c r="GTQ31" s="109"/>
      <c r="GTR31" s="109"/>
      <c r="GTS31" s="109"/>
      <c r="GTT31" s="109"/>
      <c r="GTU31" s="109"/>
      <c r="GTV31" s="109"/>
      <c r="GTW31" s="109"/>
      <c r="GTX31" s="109"/>
      <c r="GTY31" s="109"/>
      <c r="GTZ31" s="109"/>
      <c r="GUA31" s="109"/>
      <c r="GUB31" s="109"/>
      <c r="GUC31" s="109"/>
      <c r="GUD31" s="109"/>
      <c r="GUE31" s="109"/>
      <c r="GUF31" s="109"/>
      <c r="GUG31" s="109"/>
      <c r="GUH31" s="109"/>
      <c r="GUI31" s="109"/>
      <c r="GUJ31" s="109"/>
      <c r="GUK31" s="109"/>
      <c r="GUL31" s="109"/>
      <c r="GUM31" s="109"/>
      <c r="GUN31" s="109"/>
      <c r="GUO31" s="109"/>
      <c r="GUP31" s="109"/>
      <c r="GUQ31" s="109"/>
      <c r="GUR31" s="109"/>
      <c r="GUS31" s="109"/>
      <c r="GUT31" s="109"/>
      <c r="GUU31" s="109"/>
      <c r="GUV31" s="109"/>
      <c r="GUW31" s="109"/>
      <c r="GUX31" s="109"/>
      <c r="GUY31" s="109"/>
      <c r="GUZ31" s="109"/>
      <c r="GVA31" s="109"/>
      <c r="GVB31" s="109"/>
      <c r="GVC31" s="109"/>
      <c r="GVD31" s="109"/>
      <c r="GVE31" s="109"/>
      <c r="GVF31" s="109"/>
      <c r="GVG31" s="109"/>
      <c r="GVH31" s="109"/>
      <c r="GVI31" s="109"/>
      <c r="GVJ31" s="109"/>
      <c r="GVK31" s="109"/>
      <c r="GVL31" s="109"/>
      <c r="GVM31" s="109"/>
      <c r="GVN31" s="109"/>
      <c r="GVO31" s="109"/>
      <c r="GVP31" s="109"/>
      <c r="GVQ31" s="109"/>
      <c r="GVR31" s="109"/>
      <c r="GVS31" s="109"/>
      <c r="GVT31" s="109"/>
      <c r="GVU31" s="109"/>
      <c r="GVV31" s="109"/>
      <c r="GVW31" s="109"/>
      <c r="GVX31" s="109"/>
      <c r="GVY31" s="109"/>
      <c r="GVZ31" s="109"/>
      <c r="GWA31" s="109"/>
      <c r="GWB31" s="109"/>
      <c r="GWC31" s="109"/>
      <c r="GWD31" s="109"/>
      <c r="GWE31" s="109"/>
      <c r="GWF31" s="109"/>
      <c r="GWG31" s="109"/>
      <c r="GWH31" s="109"/>
      <c r="GWI31" s="109"/>
      <c r="GWJ31" s="109"/>
      <c r="GWK31" s="109"/>
      <c r="GWL31" s="109"/>
      <c r="GWM31" s="109"/>
      <c r="GWN31" s="109"/>
      <c r="GWO31" s="109"/>
      <c r="GWP31" s="109"/>
      <c r="GWQ31" s="109"/>
      <c r="GWR31" s="109"/>
      <c r="GWS31" s="109"/>
      <c r="GWT31" s="109"/>
      <c r="GWU31" s="109"/>
      <c r="GWV31" s="109"/>
      <c r="GWW31" s="109"/>
      <c r="GWX31" s="109"/>
      <c r="GWY31" s="109"/>
      <c r="GWZ31" s="109"/>
      <c r="GXA31" s="109"/>
      <c r="GXB31" s="109"/>
      <c r="GXC31" s="109"/>
      <c r="GXD31" s="109"/>
      <c r="GXE31" s="109"/>
      <c r="GXF31" s="109"/>
      <c r="GXG31" s="109"/>
      <c r="GXH31" s="109"/>
      <c r="GXI31" s="109"/>
      <c r="GXJ31" s="109"/>
      <c r="GXK31" s="109"/>
      <c r="GXL31" s="109"/>
      <c r="GXM31" s="109"/>
      <c r="GXN31" s="109"/>
      <c r="GXO31" s="109"/>
      <c r="GXP31" s="109"/>
      <c r="GXQ31" s="109"/>
      <c r="GXR31" s="109"/>
      <c r="GXS31" s="109"/>
      <c r="GXT31" s="109"/>
      <c r="GXU31" s="109"/>
      <c r="GXV31" s="109"/>
      <c r="GXW31" s="109"/>
      <c r="GXX31" s="109"/>
      <c r="GXY31" s="109"/>
      <c r="GXZ31" s="109"/>
      <c r="GYA31" s="109"/>
      <c r="GYB31" s="109"/>
      <c r="GYC31" s="109"/>
      <c r="GYD31" s="109"/>
      <c r="GYE31" s="109"/>
      <c r="GYF31" s="109"/>
      <c r="GYG31" s="109"/>
      <c r="GYH31" s="109"/>
      <c r="GYI31" s="109"/>
      <c r="GYJ31" s="109"/>
      <c r="GYK31" s="109"/>
      <c r="GYL31" s="109"/>
      <c r="GYM31" s="109"/>
      <c r="GYN31" s="109"/>
      <c r="GYO31" s="109"/>
      <c r="GYP31" s="109"/>
      <c r="GYQ31" s="109"/>
      <c r="GYR31" s="109"/>
      <c r="GYS31" s="109"/>
      <c r="GYT31" s="109"/>
      <c r="GYU31" s="109"/>
      <c r="GYV31" s="109"/>
      <c r="GYW31" s="109"/>
      <c r="GYX31" s="109"/>
      <c r="GYY31" s="109"/>
      <c r="GYZ31" s="109"/>
      <c r="GZA31" s="109"/>
      <c r="GZB31" s="109"/>
      <c r="GZC31" s="109"/>
      <c r="GZD31" s="109"/>
      <c r="GZE31" s="109"/>
      <c r="GZF31" s="109"/>
      <c r="GZG31" s="109"/>
      <c r="GZH31" s="109"/>
      <c r="GZI31" s="109"/>
      <c r="GZJ31" s="109"/>
      <c r="GZK31" s="109"/>
      <c r="GZL31" s="109"/>
      <c r="GZM31" s="109"/>
      <c r="GZN31" s="109"/>
      <c r="GZO31" s="109"/>
      <c r="GZP31" s="109"/>
      <c r="GZQ31" s="109"/>
      <c r="GZR31" s="109"/>
      <c r="GZS31" s="109"/>
      <c r="GZT31" s="109"/>
      <c r="GZU31" s="109"/>
      <c r="GZV31" s="109"/>
      <c r="GZW31" s="109"/>
      <c r="GZX31" s="109"/>
      <c r="GZY31" s="109"/>
      <c r="GZZ31" s="109"/>
      <c r="HAA31" s="109"/>
      <c r="HAB31" s="109"/>
      <c r="HAC31" s="109"/>
      <c r="HAD31" s="109"/>
      <c r="HAE31" s="109"/>
      <c r="HAF31" s="109"/>
      <c r="HAG31" s="109"/>
      <c r="HAH31" s="109"/>
      <c r="HAI31" s="109"/>
      <c r="HAJ31" s="109"/>
      <c r="HAK31" s="109"/>
      <c r="HAL31" s="109"/>
      <c r="HAM31" s="109"/>
      <c r="HAN31" s="109"/>
      <c r="HAO31" s="109"/>
      <c r="HAP31" s="109"/>
      <c r="HAQ31" s="109"/>
      <c r="HAR31" s="109"/>
      <c r="HAS31" s="109"/>
      <c r="HAT31" s="109"/>
      <c r="HAU31" s="109"/>
      <c r="HAV31" s="109"/>
      <c r="HAW31" s="109"/>
      <c r="HAX31" s="109"/>
      <c r="HAY31" s="109"/>
      <c r="HAZ31" s="109"/>
      <c r="HBA31" s="109"/>
      <c r="HBB31" s="109"/>
      <c r="HBC31" s="109"/>
      <c r="HBD31" s="109"/>
      <c r="HBE31" s="109"/>
      <c r="HBF31" s="109"/>
      <c r="HBG31" s="109"/>
      <c r="HBH31" s="109"/>
      <c r="HBI31" s="109"/>
      <c r="HBJ31" s="109"/>
      <c r="HBK31" s="109"/>
      <c r="HBL31" s="109"/>
      <c r="HBM31" s="109"/>
      <c r="HBN31" s="109"/>
      <c r="HBO31" s="109"/>
      <c r="HBP31" s="109"/>
      <c r="HBQ31" s="109"/>
      <c r="HBR31" s="109"/>
      <c r="HBS31" s="109"/>
      <c r="HBT31" s="109"/>
      <c r="HBU31" s="109"/>
      <c r="HBV31" s="109"/>
      <c r="HBW31" s="109"/>
      <c r="HBX31" s="109"/>
      <c r="HBY31" s="109"/>
      <c r="HBZ31" s="109"/>
      <c r="HCA31" s="109"/>
      <c r="HCB31" s="109"/>
      <c r="HCC31" s="109"/>
      <c r="HCD31" s="109"/>
      <c r="HCE31" s="109"/>
      <c r="HCF31" s="109"/>
      <c r="HCG31" s="109"/>
      <c r="HCH31" s="109"/>
      <c r="HCI31" s="109"/>
      <c r="HCJ31" s="109"/>
      <c r="HCK31" s="109"/>
      <c r="HCL31" s="109"/>
      <c r="HCM31" s="109"/>
      <c r="HCN31" s="109"/>
      <c r="HCO31" s="109"/>
      <c r="HCP31" s="109"/>
      <c r="HCQ31" s="109"/>
      <c r="HCR31" s="109"/>
      <c r="HCS31" s="109"/>
      <c r="HCT31" s="109"/>
      <c r="HCU31" s="109"/>
      <c r="HCV31" s="109"/>
      <c r="HCW31" s="109"/>
      <c r="HCX31" s="109"/>
      <c r="HCY31" s="109"/>
      <c r="HCZ31" s="109"/>
      <c r="HDA31" s="109"/>
      <c r="HDB31" s="109"/>
      <c r="HDC31" s="109"/>
      <c r="HDD31" s="109"/>
      <c r="HDE31" s="109"/>
      <c r="HDF31" s="109"/>
      <c r="HDG31" s="109"/>
      <c r="HDH31" s="109"/>
      <c r="HDI31" s="109"/>
      <c r="HDJ31" s="109"/>
      <c r="HDK31" s="109"/>
      <c r="HDL31" s="109"/>
      <c r="HDM31" s="109"/>
      <c r="HDN31" s="109"/>
      <c r="HDO31" s="109"/>
      <c r="HDP31" s="109"/>
      <c r="HDQ31" s="109"/>
      <c r="HDR31" s="109"/>
      <c r="HDS31" s="109"/>
      <c r="HDT31" s="109"/>
      <c r="HDU31" s="109"/>
      <c r="HDV31" s="109"/>
      <c r="HDW31" s="109"/>
      <c r="HDX31" s="109"/>
      <c r="HDY31" s="109"/>
      <c r="HDZ31" s="109"/>
      <c r="HEA31" s="109"/>
      <c r="HEB31" s="109"/>
      <c r="HEC31" s="109"/>
      <c r="HED31" s="109"/>
      <c r="HEE31" s="109"/>
      <c r="HEF31" s="109"/>
      <c r="HEG31" s="109"/>
      <c r="HEH31" s="109"/>
      <c r="HEI31" s="109"/>
      <c r="HEJ31" s="109"/>
      <c r="HEK31" s="109"/>
      <c r="HEL31" s="109"/>
      <c r="HEM31" s="109"/>
      <c r="HEN31" s="109"/>
      <c r="HEO31" s="109"/>
      <c r="HEP31" s="109"/>
      <c r="HEQ31" s="109"/>
      <c r="HER31" s="109"/>
      <c r="HES31" s="109"/>
      <c r="HET31" s="109"/>
      <c r="HEU31" s="109"/>
      <c r="HEV31" s="109"/>
      <c r="HEW31" s="109"/>
      <c r="HEX31" s="109"/>
      <c r="HEY31" s="109"/>
      <c r="HEZ31" s="109"/>
      <c r="HFA31" s="109"/>
      <c r="HFB31" s="109"/>
      <c r="HFC31" s="109"/>
      <c r="HFD31" s="109"/>
      <c r="HFE31" s="109"/>
      <c r="HFF31" s="109"/>
      <c r="HFG31" s="109"/>
      <c r="HFH31" s="109"/>
      <c r="HFI31" s="109"/>
      <c r="HFJ31" s="109"/>
      <c r="HFK31" s="109"/>
      <c r="HFL31" s="109"/>
      <c r="HFM31" s="109"/>
      <c r="HFN31" s="109"/>
      <c r="HFO31" s="109"/>
      <c r="HFP31" s="109"/>
      <c r="HFQ31" s="109"/>
      <c r="HFR31" s="109"/>
      <c r="HFS31" s="109"/>
      <c r="HFT31" s="109"/>
      <c r="HFU31" s="109"/>
      <c r="HFV31" s="109"/>
      <c r="HFW31" s="109"/>
      <c r="HFX31" s="109"/>
      <c r="HFY31" s="109"/>
      <c r="HFZ31" s="109"/>
      <c r="HGA31" s="109"/>
      <c r="HGB31" s="109"/>
      <c r="HGC31" s="109"/>
      <c r="HGD31" s="109"/>
      <c r="HGE31" s="109"/>
      <c r="HGF31" s="109"/>
      <c r="HGG31" s="109"/>
      <c r="HGH31" s="109"/>
      <c r="HGI31" s="109"/>
      <c r="HGJ31" s="109"/>
      <c r="HGK31" s="109"/>
      <c r="HGL31" s="109"/>
      <c r="HGM31" s="109"/>
      <c r="HGN31" s="109"/>
      <c r="HGO31" s="109"/>
      <c r="HGP31" s="109"/>
      <c r="HGQ31" s="109"/>
      <c r="HGR31" s="109"/>
      <c r="HGS31" s="109"/>
      <c r="HGT31" s="109"/>
      <c r="HGU31" s="109"/>
      <c r="HGV31" s="109"/>
      <c r="HGW31" s="109"/>
      <c r="HGX31" s="109"/>
      <c r="HGY31" s="109"/>
      <c r="HGZ31" s="109"/>
      <c r="HHA31" s="109"/>
      <c r="HHB31" s="109"/>
      <c r="HHC31" s="109"/>
      <c r="HHD31" s="109"/>
      <c r="HHE31" s="109"/>
      <c r="HHF31" s="109"/>
      <c r="HHG31" s="109"/>
      <c r="HHH31" s="109"/>
      <c r="HHI31" s="109"/>
      <c r="HHJ31" s="109"/>
      <c r="HHK31" s="109"/>
      <c r="HHL31" s="109"/>
      <c r="HHM31" s="109"/>
      <c r="HHN31" s="109"/>
      <c r="HHO31" s="109"/>
      <c r="HHP31" s="109"/>
      <c r="HHQ31" s="109"/>
      <c r="HHR31" s="109"/>
      <c r="HHS31" s="109"/>
      <c r="HHT31" s="109"/>
      <c r="HHU31" s="109"/>
      <c r="HHV31" s="109"/>
      <c r="HHW31" s="109"/>
      <c r="HHX31" s="109"/>
      <c r="HHY31" s="109"/>
      <c r="HHZ31" s="109"/>
      <c r="HIA31" s="109"/>
      <c r="HIB31" s="109"/>
      <c r="HIC31" s="109"/>
      <c r="HID31" s="109"/>
      <c r="HIE31" s="109"/>
      <c r="HIF31" s="109"/>
      <c r="HIG31" s="109"/>
      <c r="HIH31" s="109"/>
      <c r="HII31" s="109"/>
      <c r="HIJ31" s="109"/>
      <c r="HIK31" s="109"/>
      <c r="HIL31" s="109"/>
      <c r="HIM31" s="109"/>
      <c r="HIN31" s="109"/>
      <c r="HIO31" s="109"/>
      <c r="HIP31" s="109"/>
      <c r="HIQ31" s="109"/>
      <c r="HIR31" s="109"/>
      <c r="HIS31" s="109"/>
      <c r="HIT31" s="109"/>
      <c r="HIU31" s="109"/>
      <c r="HIV31" s="109"/>
      <c r="HIW31" s="109"/>
      <c r="HIX31" s="109"/>
      <c r="HIY31" s="109"/>
      <c r="HIZ31" s="109"/>
      <c r="HJA31" s="109"/>
      <c r="HJB31" s="109"/>
      <c r="HJC31" s="109"/>
      <c r="HJD31" s="109"/>
      <c r="HJE31" s="109"/>
      <c r="HJF31" s="109"/>
      <c r="HJG31" s="109"/>
      <c r="HJH31" s="109"/>
      <c r="HJI31" s="109"/>
      <c r="HJJ31" s="109"/>
      <c r="HJK31" s="109"/>
      <c r="HJL31" s="109"/>
      <c r="HJM31" s="109"/>
      <c r="HJN31" s="109"/>
      <c r="HJO31" s="109"/>
      <c r="HJP31" s="109"/>
      <c r="HJQ31" s="109"/>
      <c r="HJR31" s="109"/>
      <c r="HJS31" s="109"/>
      <c r="HJT31" s="109"/>
      <c r="HJU31" s="109"/>
      <c r="HJV31" s="109"/>
      <c r="HJW31" s="109"/>
      <c r="HJX31" s="109"/>
      <c r="HJY31" s="109"/>
      <c r="HJZ31" s="109"/>
      <c r="HKA31" s="109"/>
      <c r="HKB31" s="109"/>
      <c r="HKC31" s="109"/>
      <c r="HKD31" s="109"/>
      <c r="HKE31" s="109"/>
      <c r="HKF31" s="109"/>
      <c r="HKG31" s="109"/>
      <c r="HKH31" s="109"/>
      <c r="HKI31" s="109"/>
      <c r="HKJ31" s="109"/>
      <c r="HKK31" s="109"/>
      <c r="HKL31" s="109"/>
      <c r="HKM31" s="109"/>
      <c r="HKN31" s="109"/>
      <c r="HKO31" s="109"/>
      <c r="HKP31" s="109"/>
      <c r="HKQ31" s="109"/>
      <c r="HKR31" s="109"/>
      <c r="HKS31" s="109"/>
      <c r="HKT31" s="109"/>
      <c r="HKU31" s="109"/>
      <c r="HKV31" s="109"/>
      <c r="HKW31" s="109"/>
      <c r="HKX31" s="109"/>
      <c r="HKY31" s="109"/>
      <c r="HKZ31" s="109"/>
      <c r="HLA31" s="109"/>
      <c r="HLB31" s="109"/>
      <c r="HLC31" s="109"/>
      <c r="HLD31" s="109"/>
      <c r="HLE31" s="109"/>
      <c r="HLF31" s="109"/>
      <c r="HLG31" s="109"/>
      <c r="HLH31" s="109"/>
      <c r="HLI31" s="109"/>
      <c r="HLJ31" s="109"/>
      <c r="HLK31" s="109"/>
      <c r="HLL31" s="109"/>
      <c r="HLM31" s="109"/>
      <c r="HLN31" s="109"/>
      <c r="HLO31" s="109"/>
      <c r="HLP31" s="109"/>
      <c r="HLQ31" s="109"/>
      <c r="HLR31" s="109"/>
      <c r="HLS31" s="109"/>
      <c r="HLT31" s="109"/>
      <c r="HLU31" s="109"/>
      <c r="HLV31" s="109"/>
      <c r="HLW31" s="109"/>
      <c r="HLX31" s="109"/>
      <c r="HLY31" s="109"/>
      <c r="HLZ31" s="109"/>
      <c r="HMA31" s="109"/>
      <c r="HMB31" s="109"/>
      <c r="HMC31" s="109"/>
      <c r="HMD31" s="109"/>
      <c r="HME31" s="109"/>
      <c r="HMF31" s="109"/>
      <c r="HMG31" s="109"/>
      <c r="HMH31" s="109"/>
      <c r="HMI31" s="109"/>
      <c r="HMJ31" s="109"/>
      <c r="HMK31" s="109"/>
      <c r="HML31" s="109"/>
      <c r="HMM31" s="109"/>
      <c r="HMN31" s="109"/>
      <c r="HMO31" s="109"/>
      <c r="HMP31" s="109"/>
      <c r="HMQ31" s="109"/>
      <c r="HMR31" s="109"/>
      <c r="HMS31" s="109"/>
      <c r="HMT31" s="109"/>
      <c r="HMU31" s="109"/>
      <c r="HMV31" s="109"/>
      <c r="HMW31" s="109"/>
      <c r="HMX31" s="109"/>
      <c r="HMY31" s="109"/>
      <c r="HMZ31" s="109"/>
      <c r="HNA31" s="109"/>
      <c r="HNB31" s="109"/>
      <c r="HNC31" s="109"/>
      <c r="HND31" s="109"/>
      <c r="HNE31" s="109"/>
      <c r="HNF31" s="109"/>
      <c r="HNG31" s="109"/>
      <c r="HNH31" s="109"/>
      <c r="HNI31" s="109"/>
      <c r="HNJ31" s="109"/>
      <c r="HNK31" s="109"/>
      <c r="HNL31" s="109"/>
      <c r="HNM31" s="109"/>
      <c r="HNN31" s="109"/>
      <c r="HNO31" s="109"/>
      <c r="HNP31" s="109"/>
      <c r="HNQ31" s="109"/>
      <c r="HNR31" s="109"/>
      <c r="HNS31" s="109"/>
      <c r="HNT31" s="109"/>
      <c r="HNU31" s="109"/>
      <c r="HNV31" s="109"/>
      <c r="HNW31" s="109"/>
      <c r="HNX31" s="109"/>
      <c r="HNY31" s="109"/>
      <c r="HNZ31" s="109"/>
      <c r="HOA31" s="109"/>
      <c r="HOB31" s="109"/>
      <c r="HOC31" s="109"/>
      <c r="HOD31" s="109"/>
      <c r="HOE31" s="109"/>
      <c r="HOF31" s="109"/>
      <c r="HOG31" s="109"/>
      <c r="HOH31" s="109"/>
      <c r="HOI31" s="109"/>
      <c r="HOJ31" s="109"/>
      <c r="HOK31" s="109"/>
      <c r="HOL31" s="109"/>
      <c r="HOM31" s="109"/>
      <c r="HON31" s="109"/>
      <c r="HOO31" s="109"/>
      <c r="HOP31" s="109"/>
      <c r="HOQ31" s="109"/>
      <c r="HOR31" s="109"/>
      <c r="HOS31" s="109"/>
      <c r="HOT31" s="109"/>
      <c r="HOU31" s="109"/>
      <c r="HOV31" s="109"/>
      <c r="HOW31" s="109"/>
      <c r="HOX31" s="109"/>
      <c r="HOY31" s="109"/>
      <c r="HOZ31" s="109"/>
      <c r="HPA31" s="109"/>
      <c r="HPB31" s="109"/>
      <c r="HPC31" s="109"/>
      <c r="HPD31" s="109"/>
      <c r="HPE31" s="109"/>
      <c r="HPF31" s="109"/>
      <c r="HPG31" s="109"/>
      <c r="HPH31" s="109"/>
      <c r="HPI31" s="109"/>
      <c r="HPJ31" s="109"/>
      <c r="HPK31" s="109"/>
      <c r="HPL31" s="109"/>
      <c r="HPM31" s="109"/>
      <c r="HPN31" s="109"/>
      <c r="HPO31" s="109"/>
      <c r="HPP31" s="109"/>
      <c r="HPQ31" s="109"/>
      <c r="HPR31" s="109"/>
      <c r="HPS31" s="109"/>
      <c r="HPT31" s="109"/>
      <c r="HPU31" s="109"/>
      <c r="HPV31" s="109"/>
      <c r="HPW31" s="109"/>
      <c r="HPX31" s="109"/>
      <c r="HPY31" s="109"/>
      <c r="HPZ31" s="109"/>
      <c r="HQA31" s="109"/>
      <c r="HQB31" s="109"/>
      <c r="HQC31" s="109"/>
      <c r="HQD31" s="109"/>
      <c r="HQE31" s="109"/>
      <c r="HQF31" s="109"/>
      <c r="HQG31" s="109"/>
      <c r="HQH31" s="109"/>
      <c r="HQI31" s="109"/>
      <c r="HQJ31" s="109"/>
      <c r="HQK31" s="109"/>
      <c r="HQL31" s="109"/>
      <c r="HQM31" s="109"/>
      <c r="HQN31" s="109"/>
      <c r="HQO31" s="109"/>
      <c r="HQP31" s="109"/>
      <c r="HQQ31" s="109"/>
      <c r="HQR31" s="109"/>
      <c r="HQS31" s="109"/>
      <c r="HQT31" s="109"/>
      <c r="HQU31" s="109"/>
      <c r="HQV31" s="109"/>
      <c r="HQW31" s="109"/>
      <c r="HQX31" s="109"/>
      <c r="HQY31" s="109"/>
      <c r="HQZ31" s="109"/>
      <c r="HRA31" s="109"/>
      <c r="HRB31" s="109"/>
      <c r="HRC31" s="109"/>
      <c r="HRD31" s="109"/>
      <c r="HRE31" s="109"/>
      <c r="HRF31" s="109"/>
      <c r="HRG31" s="109"/>
      <c r="HRH31" s="109"/>
      <c r="HRI31" s="109"/>
      <c r="HRJ31" s="109"/>
      <c r="HRK31" s="109"/>
      <c r="HRL31" s="109"/>
      <c r="HRM31" s="109"/>
      <c r="HRN31" s="109"/>
      <c r="HRO31" s="109"/>
      <c r="HRP31" s="109"/>
      <c r="HRQ31" s="109"/>
      <c r="HRR31" s="109"/>
      <c r="HRS31" s="109"/>
      <c r="HRT31" s="109"/>
      <c r="HRU31" s="109"/>
      <c r="HRV31" s="109"/>
      <c r="HRW31" s="109"/>
      <c r="HRX31" s="109"/>
      <c r="HRY31" s="109"/>
      <c r="HRZ31" s="109"/>
      <c r="HSA31" s="109"/>
      <c r="HSB31" s="109"/>
      <c r="HSC31" s="109"/>
      <c r="HSD31" s="109"/>
      <c r="HSE31" s="109"/>
      <c r="HSF31" s="109"/>
      <c r="HSG31" s="109"/>
      <c r="HSH31" s="109"/>
      <c r="HSI31" s="109"/>
      <c r="HSJ31" s="109"/>
      <c r="HSK31" s="109"/>
      <c r="HSL31" s="109"/>
      <c r="HSM31" s="109"/>
      <c r="HSN31" s="109"/>
      <c r="HSO31" s="109"/>
      <c r="HSP31" s="109"/>
      <c r="HSQ31" s="109"/>
      <c r="HSR31" s="109"/>
      <c r="HSS31" s="109"/>
      <c r="HST31" s="109"/>
      <c r="HSU31" s="109"/>
      <c r="HSV31" s="109"/>
      <c r="HSW31" s="109"/>
      <c r="HSX31" s="109"/>
      <c r="HSY31" s="109"/>
      <c r="HSZ31" s="109"/>
      <c r="HTA31" s="109"/>
      <c r="HTB31" s="109"/>
      <c r="HTC31" s="109"/>
      <c r="HTD31" s="109"/>
      <c r="HTE31" s="109"/>
      <c r="HTF31" s="109"/>
      <c r="HTG31" s="109"/>
      <c r="HTH31" s="109"/>
      <c r="HTI31" s="109"/>
      <c r="HTJ31" s="109"/>
      <c r="HTK31" s="109"/>
      <c r="HTL31" s="109"/>
      <c r="HTM31" s="109"/>
      <c r="HTN31" s="109"/>
      <c r="HTO31" s="109"/>
      <c r="HTP31" s="109"/>
      <c r="HTQ31" s="109"/>
      <c r="HTR31" s="109"/>
      <c r="HTS31" s="109"/>
      <c r="HTT31" s="109"/>
      <c r="HTU31" s="109"/>
      <c r="HTV31" s="109"/>
      <c r="HTW31" s="109"/>
      <c r="HTX31" s="109"/>
      <c r="HTY31" s="109"/>
      <c r="HTZ31" s="109"/>
      <c r="HUA31" s="109"/>
      <c r="HUB31" s="109"/>
      <c r="HUC31" s="109"/>
      <c r="HUD31" s="109"/>
      <c r="HUE31" s="109"/>
      <c r="HUF31" s="109"/>
      <c r="HUG31" s="109"/>
      <c r="HUH31" s="109"/>
      <c r="HUI31" s="109"/>
      <c r="HUJ31" s="109"/>
      <c r="HUK31" s="109"/>
      <c r="HUL31" s="109"/>
      <c r="HUM31" s="109"/>
      <c r="HUN31" s="109"/>
      <c r="HUO31" s="109"/>
      <c r="HUP31" s="109"/>
      <c r="HUQ31" s="109"/>
      <c r="HUR31" s="109"/>
      <c r="HUS31" s="109"/>
      <c r="HUT31" s="109"/>
      <c r="HUU31" s="109"/>
      <c r="HUV31" s="109"/>
      <c r="HUW31" s="109"/>
      <c r="HUX31" s="109"/>
      <c r="HUY31" s="109"/>
      <c r="HUZ31" s="109"/>
      <c r="HVA31" s="109"/>
      <c r="HVB31" s="109"/>
      <c r="HVC31" s="109"/>
      <c r="HVD31" s="109"/>
      <c r="HVE31" s="109"/>
      <c r="HVF31" s="109"/>
      <c r="HVG31" s="109"/>
      <c r="HVH31" s="109"/>
      <c r="HVI31" s="109"/>
      <c r="HVJ31" s="109"/>
      <c r="HVK31" s="109"/>
      <c r="HVL31" s="109"/>
      <c r="HVM31" s="109"/>
      <c r="HVN31" s="109"/>
      <c r="HVO31" s="109"/>
      <c r="HVP31" s="109"/>
      <c r="HVQ31" s="109"/>
      <c r="HVR31" s="109"/>
      <c r="HVS31" s="109"/>
      <c r="HVT31" s="109"/>
      <c r="HVU31" s="109"/>
      <c r="HVV31" s="109"/>
      <c r="HVW31" s="109"/>
      <c r="HVX31" s="109"/>
      <c r="HVY31" s="109"/>
      <c r="HVZ31" s="109"/>
      <c r="HWA31" s="109"/>
      <c r="HWB31" s="109"/>
      <c r="HWC31" s="109"/>
      <c r="HWD31" s="109"/>
      <c r="HWE31" s="109"/>
      <c r="HWF31" s="109"/>
      <c r="HWG31" s="109"/>
      <c r="HWH31" s="109"/>
      <c r="HWI31" s="109"/>
      <c r="HWJ31" s="109"/>
      <c r="HWK31" s="109"/>
      <c r="HWL31" s="109"/>
      <c r="HWM31" s="109"/>
      <c r="HWN31" s="109"/>
      <c r="HWO31" s="109"/>
      <c r="HWP31" s="109"/>
      <c r="HWQ31" s="109"/>
      <c r="HWR31" s="109"/>
      <c r="HWS31" s="109"/>
      <c r="HWT31" s="109"/>
      <c r="HWU31" s="109"/>
      <c r="HWV31" s="109"/>
      <c r="HWW31" s="109"/>
      <c r="HWX31" s="109"/>
      <c r="HWY31" s="109"/>
      <c r="HWZ31" s="109"/>
      <c r="HXA31" s="109"/>
      <c r="HXB31" s="109"/>
      <c r="HXC31" s="109"/>
      <c r="HXD31" s="109"/>
      <c r="HXE31" s="109"/>
      <c r="HXF31" s="109"/>
      <c r="HXG31" s="109"/>
      <c r="HXH31" s="109"/>
      <c r="HXI31" s="109"/>
      <c r="HXJ31" s="109"/>
      <c r="HXK31" s="109"/>
      <c r="HXL31" s="109"/>
      <c r="HXM31" s="109"/>
      <c r="HXN31" s="109"/>
      <c r="HXO31" s="109"/>
      <c r="HXP31" s="109"/>
      <c r="HXQ31" s="109"/>
      <c r="HXR31" s="109"/>
      <c r="HXS31" s="109"/>
      <c r="HXT31" s="109"/>
      <c r="HXU31" s="109"/>
      <c r="HXV31" s="109"/>
      <c r="HXW31" s="109"/>
      <c r="HXX31" s="109"/>
      <c r="HXY31" s="109"/>
      <c r="HXZ31" s="109"/>
      <c r="HYA31" s="109"/>
      <c r="HYB31" s="109"/>
      <c r="HYC31" s="109"/>
      <c r="HYD31" s="109"/>
      <c r="HYE31" s="109"/>
      <c r="HYF31" s="109"/>
      <c r="HYG31" s="109"/>
      <c r="HYH31" s="109"/>
      <c r="HYI31" s="109"/>
      <c r="HYJ31" s="109"/>
      <c r="HYK31" s="109"/>
      <c r="HYL31" s="109"/>
      <c r="HYM31" s="109"/>
      <c r="HYN31" s="109"/>
      <c r="HYO31" s="109"/>
      <c r="HYP31" s="109"/>
      <c r="HYQ31" s="109"/>
      <c r="HYR31" s="109"/>
      <c r="HYS31" s="109"/>
      <c r="HYT31" s="109"/>
      <c r="HYU31" s="109"/>
      <c r="HYV31" s="109"/>
      <c r="HYW31" s="109"/>
      <c r="HYX31" s="109"/>
      <c r="HYY31" s="109"/>
      <c r="HYZ31" s="109"/>
      <c r="HZA31" s="109"/>
      <c r="HZB31" s="109"/>
      <c r="HZC31" s="109"/>
      <c r="HZD31" s="109"/>
      <c r="HZE31" s="109"/>
      <c r="HZF31" s="109"/>
      <c r="HZG31" s="109"/>
      <c r="HZH31" s="109"/>
      <c r="HZI31" s="109"/>
      <c r="HZJ31" s="109"/>
      <c r="HZK31" s="109"/>
      <c r="HZL31" s="109"/>
      <c r="HZM31" s="109"/>
      <c r="HZN31" s="109"/>
      <c r="HZO31" s="109"/>
      <c r="HZP31" s="109"/>
      <c r="HZQ31" s="109"/>
      <c r="HZR31" s="109"/>
      <c r="HZS31" s="109"/>
      <c r="HZT31" s="109"/>
      <c r="HZU31" s="109"/>
      <c r="HZV31" s="109"/>
      <c r="HZW31" s="109"/>
      <c r="HZX31" s="109"/>
      <c r="HZY31" s="109"/>
      <c r="HZZ31" s="109"/>
      <c r="IAA31" s="109"/>
      <c r="IAB31" s="109"/>
      <c r="IAC31" s="109"/>
      <c r="IAD31" s="109"/>
      <c r="IAE31" s="109"/>
      <c r="IAF31" s="109"/>
      <c r="IAG31" s="109"/>
      <c r="IAH31" s="109"/>
      <c r="IAI31" s="109"/>
      <c r="IAJ31" s="109"/>
      <c r="IAK31" s="109"/>
      <c r="IAL31" s="109"/>
      <c r="IAM31" s="109"/>
      <c r="IAN31" s="109"/>
      <c r="IAO31" s="109"/>
      <c r="IAP31" s="109"/>
      <c r="IAQ31" s="109"/>
      <c r="IAR31" s="109"/>
      <c r="IAS31" s="109"/>
      <c r="IAT31" s="109"/>
      <c r="IAU31" s="109"/>
      <c r="IAV31" s="109"/>
      <c r="IAW31" s="109"/>
      <c r="IAX31" s="109"/>
      <c r="IAY31" s="109"/>
      <c r="IAZ31" s="109"/>
      <c r="IBA31" s="109"/>
      <c r="IBB31" s="109"/>
      <c r="IBC31" s="109"/>
      <c r="IBD31" s="109"/>
      <c r="IBE31" s="109"/>
      <c r="IBF31" s="109"/>
      <c r="IBG31" s="109"/>
      <c r="IBH31" s="109"/>
      <c r="IBI31" s="109"/>
      <c r="IBJ31" s="109"/>
      <c r="IBK31" s="109"/>
      <c r="IBL31" s="109"/>
      <c r="IBM31" s="109"/>
      <c r="IBN31" s="109"/>
      <c r="IBO31" s="109"/>
      <c r="IBP31" s="109"/>
      <c r="IBQ31" s="109"/>
      <c r="IBR31" s="109"/>
      <c r="IBS31" s="109"/>
      <c r="IBT31" s="109"/>
      <c r="IBU31" s="109"/>
      <c r="IBV31" s="109"/>
      <c r="IBW31" s="109"/>
      <c r="IBX31" s="109"/>
      <c r="IBY31" s="109"/>
      <c r="IBZ31" s="109"/>
      <c r="ICA31" s="109"/>
      <c r="ICB31" s="109"/>
      <c r="ICC31" s="109"/>
      <c r="ICD31" s="109"/>
      <c r="ICE31" s="109"/>
      <c r="ICF31" s="109"/>
      <c r="ICG31" s="109"/>
      <c r="ICH31" s="109"/>
      <c r="ICI31" s="109"/>
      <c r="ICJ31" s="109"/>
      <c r="ICK31" s="109"/>
      <c r="ICL31" s="109"/>
      <c r="ICM31" s="109"/>
      <c r="ICN31" s="109"/>
      <c r="ICO31" s="109"/>
      <c r="ICP31" s="109"/>
      <c r="ICQ31" s="109"/>
      <c r="ICR31" s="109"/>
      <c r="ICS31" s="109"/>
      <c r="ICT31" s="109"/>
      <c r="ICU31" s="109"/>
      <c r="ICV31" s="109"/>
      <c r="ICW31" s="109"/>
      <c r="ICX31" s="109"/>
      <c r="ICY31" s="109"/>
      <c r="ICZ31" s="109"/>
      <c r="IDA31" s="109"/>
      <c r="IDB31" s="109"/>
      <c r="IDC31" s="109"/>
      <c r="IDD31" s="109"/>
      <c r="IDE31" s="109"/>
      <c r="IDF31" s="109"/>
      <c r="IDG31" s="109"/>
      <c r="IDH31" s="109"/>
      <c r="IDI31" s="109"/>
      <c r="IDJ31" s="109"/>
      <c r="IDK31" s="109"/>
      <c r="IDL31" s="109"/>
      <c r="IDM31" s="109"/>
      <c r="IDN31" s="109"/>
      <c r="IDO31" s="109"/>
      <c r="IDP31" s="109"/>
      <c r="IDQ31" s="109"/>
      <c r="IDR31" s="109"/>
      <c r="IDS31" s="109"/>
      <c r="IDT31" s="109"/>
      <c r="IDU31" s="109"/>
      <c r="IDV31" s="109"/>
      <c r="IDW31" s="109"/>
      <c r="IDX31" s="109"/>
      <c r="IDY31" s="109"/>
      <c r="IDZ31" s="109"/>
      <c r="IEA31" s="109"/>
      <c r="IEB31" s="109"/>
      <c r="IEC31" s="109"/>
      <c r="IED31" s="109"/>
      <c r="IEE31" s="109"/>
      <c r="IEF31" s="109"/>
      <c r="IEG31" s="109"/>
      <c r="IEH31" s="109"/>
      <c r="IEI31" s="109"/>
      <c r="IEJ31" s="109"/>
      <c r="IEK31" s="109"/>
      <c r="IEL31" s="109"/>
      <c r="IEM31" s="109"/>
      <c r="IEN31" s="109"/>
      <c r="IEO31" s="109"/>
      <c r="IEP31" s="109"/>
      <c r="IEQ31" s="109"/>
      <c r="IER31" s="109"/>
      <c r="IES31" s="109"/>
      <c r="IET31" s="109"/>
      <c r="IEU31" s="109"/>
      <c r="IEV31" s="109"/>
      <c r="IEW31" s="109"/>
      <c r="IEX31" s="109"/>
      <c r="IEY31" s="109"/>
      <c r="IEZ31" s="109"/>
      <c r="IFA31" s="109"/>
      <c r="IFB31" s="109"/>
      <c r="IFC31" s="109"/>
      <c r="IFD31" s="109"/>
      <c r="IFE31" s="109"/>
      <c r="IFF31" s="109"/>
      <c r="IFG31" s="109"/>
      <c r="IFH31" s="109"/>
      <c r="IFI31" s="109"/>
      <c r="IFJ31" s="109"/>
      <c r="IFK31" s="109"/>
      <c r="IFL31" s="109"/>
      <c r="IFM31" s="109"/>
      <c r="IFN31" s="109"/>
      <c r="IFO31" s="109"/>
      <c r="IFP31" s="109"/>
      <c r="IFQ31" s="109"/>
      <c r="IFR31" s="109"/>
      <c r="IFS31" s="109"/>
      <c r="IFT31" s="109"/>
      <c r="IFU31" s="109"/>
      <c r="IFV31" s="109"/>
      <c r="IFW31" s="109"/>
      <c r="IFX31" s="109"/>
      <c r="IFY31" s="109"/>
      <c r="IFZ31" s="109"/>
      <c r="IGA31" s="109"/>
      <c r="IGB31" s="109"/>
      <c r="IGC31" s="109"/>
      <c r="IGD31" s="109"/>
      <c r="IGE31" s="109"/>
      <c r="IGF31" s="109"/>
      <c r="IGG31" s="109"/>
      <c r="IGH31" s="109"/>
      <c r="IGI31" s="109"/>
      <c r="IGJ31" s="109"/>
      <c r="IGK31" s="109"/>
      <c r="IGL31" s="109"/>
      <c r="IGM31" s="109"/>
      <c r="IGN31" s="109"/>
      <c r="IGO31" s="109"/>
      <c r="IGP31" s="109"/>
      <c r="IGQ31" s="109"/>
      <c r="IGR31" s="109"/>
      <c r="IGS31" s="109"/>
      <c r="IGT31" s="109"/>
      <c r="IGU31" s="109"/>
      <c r="IGV31" s="109"/>
      <c r="IGW31" s="109"/>
      <c r="IGX31" s="109"/>
      <c r="IGY31" s="109"/>
      <c r="IGZ31" s="109"/>
      <c r="IHA31" s="109"/>
      <c r="IHB31" s="109"/>
      <c r="IHC31" s="109"/>
      <c r="IHD31" s="109"/>
      <c r="IHE31" s="109"/>
      <c r="IHF31" s="109"/>
      <c r="IHG31" s="109"/>
      <c r="IHH31" s="109"/>
      <c r="IHI31" s="109"/>
      <c r="IHJ31" s="109"/>
      <c r="IHK31" s="109"/>
      <c r="IHL31" s="109"/>
      <c r="IHM31" s="109"/>
      <c r="IHN31" s="109"/>
      <c r="IHO31" s="109"/>
      <c r="IHP31" s="109"/>
      <c r="IHQ31" s="109"/>
      <c r="IHR31" s="109"/>
      <c r="IHS31" s="109"/>
      <c r="IHT31" s="109"/>
      <c r="IHU31" s="109"/>
      <c r="IHV31" s="109"/>
      <c r="IHW31" s="109"/>
      <c r="IHX31" s="109"/>
      <c r="IHY31" s="109"/>
      <c r="IHZ31" s="109"/>
      <c r="IIA31" s="109"/>
      <c r="IIB31" s="109"/>
      <c r="IIC31" s="109"/>
      <c r="IID31" s="109"/>
      <c r="IIE31" s="109"/>
      <c r="IIF31" s="109"/>
      <c r="IIG31" s="109"/>
      <c r="IIH31" s="109"/>
      <c r="III31" s="109"/>
      <c r="IIJ31" s="109"/>
      <c r="IIK31" s="109"/>
      <c r="IIL31" s="109"/>
      <c r="IIM31" s="109"/>
      <c r="IIN31" s="109"/>
      <c r="IIO31" s="109"/>
      <c r="IIP31" s="109"/>
      <c r="IIQ31" s="109"/>
      <c r="IIR31" s="109"/>
      <c r="IIS31" s="109"/>
      <c r="IIT31" s="109"/>
      <c r="IIU31" s="109"/>
      <c r="IIV31" s="109"/>
      <c r="IIW31" s="109"/>
      <c r="IIX31" s="109"/>
      <c r="IIY31" s="109"/>
      <c r="IIZ31" s="109"/>
      <c r="IJA31" s="109"/>
      <c r="IJB31" s="109"/>
      <c r="IJC31" s="109"/>
      <c r="IJD31" s="109"/>
      <c r="IJE31" s="109"/>
      <c r="IJF31" s="109"/>
      <c r="IJG31" s="109"/>
      <c r="IJH31" s="109"/>
      <c r="IJI31" s="109"/>
      <c r="IJJ31" s="109"/>
      <c r="IJK31" s="109"/>
      <c r="IJL31" s="109"/>
      <c r="IJM31" s="109"/>
      <c r="IJN31" s="109"/>
      <c r="IJO31" s="109"/>
      <c r="IJP31" s="109"/>
      <c r="IJQ31" s="109"/>
      <c r="IJR31" s="109"/>
      <c r="IJS31" s="109"/>
      <c r="IJT31" s="109"/>
      <c r="IJU31" s="109"/>
      <c r="IJV31" s="109"/>
      <c r="IJW31" s="109"/>
      <c r="IJX31" s="109"/>
      <c r="IJY31" s="109"/>
      <c r="IJZ31" s="109"/>
      <c r="IKA31" s="109"/>
      <c r="IKB31" s="109"/>
      <c r="IKC31" s="109"/>
      <c r="IKD31" s="109"/>
      <c r="IKE31" s="109"/>
      <c r="IKF31" s="109"/>
      <c r="IKG31" s="109"/>
      <c r="IKH31" s="109"/>
      <c r="IKI31" s="109"/>
      <c r="IKJ31" s="109"/>
      <c r="IKK31" s="109"/>
      <c r="IKL31" s="109"/>
      <c r="IKM31" s="109"/>
      <c r="IKN31" s="109"/>
      <c r="IKO31" s="109"/>
      <c r="IKP31" s="109"/>
      <c r="IKQ31" s="109"/>
      <c r="IKR31" s="109"/>
      <c r="IKS31" s="109"/>
      <c r="IKT31" s="109"/>
      <c r="IKU31" s="109"/>
      <c r="IKV31" s="109"/>
      <c r="IKW31" s="109"/>
      <c r="IKX31" s="109"/>
      <c r="IKY31" s="109"/>
      <c r="IKZ31" s="109"/>
      <c r="ILA31" s="109"/>
      <c r="ILB31" s="109"/>
      <c r="ILC31" s="109"/>
      <c r="ILD31" s="109"/>
      <c r="ILE31" s="109"/>
      <c r="ILF31" s="109"/>
      <c r="ILG31" s="109"/>
      <c r="ILH31" s="109"/>
      <c r="ILI31" s="109"/>
      <c r="ILJ31" s="109"/>
      <c r="ILK31" s="109"/>
      <c r="ILL31" s="109"/>
      <c r="ILM31" s="109"/>
      <c r="ILN31" s="109"/>
      <c r="ILO31" s="109"/>
      <c r="ILP31" s="109"/>
      <c r="ILQ31" s="109"/>
      <c r="ILR31" s="109"/>
      <c r="ILS31" s="109"/>
      <c r="ILT31" s="109"/>
      <c r="ILU31" s="109"/>
      <c r="ILV31" s="109"/>
      <c r="ILW31" s="109"/>
      <c r="ILX31" s="109"/>
      <c r="ILY31" s="109"/>
      <c r="ILZ31" s="109"/>
      <c r="IMA31" s="109"/>
      <c r="IMB31" s="109"/>
      <c r="IMC31" s="109"/>
      <c r="IMD31" s="109"/>
      <c r="IME31" s="109"/>
      <c r="IMF31" s="109"/>
      <c r="IMG31" s="109"/>
      <c r="IMH31" s="109"/>
      <c r="IMI31" s="109"/>
      <c r="IMJ31" s="109"/>
      <c r="IMK31" s="109"/>
      <c r="IML31" s="109"/>
      <c r="IMM31" s="109"/>
      <c r="IMN31" s="109"/>
      <c r="IMO31" s="109"/>
      <c r="IMP31" s="109"/>
      <c r="IMQ31" s="109"/>
      <c r="IMR31" s="109"/>
      <c r="IMS31" s="109"/>
      <c r="IMT31" s="109"/>
      <c r="IMU31" s="109"/>
      <c r="IMV31" s="109"/>
      <c r="IMW31" s="109"/>
      <c r="IMX31" s="109"/>
      <c r="IMY31" s="109"/>
      <c r="IMZ31" s="109"/>
      <c r="INA31" s="109"/>
      <c r="INB31" s="109"/>
      <c r="INC31" s="109"/>
      <c r="IND31" s="109"/>
      <c r="INE31" s="109"/>
      <c r="INF31" s="109"/>
      <c r="ING31" s="109"/>
      <c r="INH31" s="109"/>
      <c r="INI31" s="109"/>
      <c r="INJ31" s="109"/>
      <c r="INK31" s="109"/>
      <c r="INL31" s="109"/>
      <c r="INM31" s="109"/>
      <c r="INN31" s="109"/>
      <c r="INO31" s="109"/>
      <c r="INP31" s="109"/>
      <c r="INQ31" s="109"/>
      <c r="INR31" s="109"/>
      <c r="INS31" s="109"/>
      <c r="INT31" s="109"/>
      <c r="INU31" s="109"/>
      <c r="INV31" s="109"/>
      <c r="INW31" s="109"/>
      <c r="INX31" s="109"/>
      <c r="INY31" s="109"/>
      <c r="INZ31" s="109"/>
      <c r="IOA31" s="109"/>
      <c r="IOB31" s="109"/>
      <c r="IOC31" s="109"/>
      <c r="IOD31" s="109"/>
      <c r="IOE31" s="109"/>
      <c r="IOF31" s="109"/>
      <c r="IOG31" s="109"/>
      <c r="IOH31" s="109"/>
      <c r="IOI31" s="109"/>
      <c r="IOJ31" s="109"/>
      <c r="IOK31" s="109"/>
      <c r="IOL31" s="109"/>
      <c r="IOM31" s="109"/>
      <c r="ION31" s="109"/>
      <c r="IOO31" s="109"/>
      <c r="IOP31" s="109"/>
      <c r="IOQ31" s="109"/>
      <c r="IOR31" s="109"/>
      <c r="IOS31" s="109"/>
      <c r="IOT31" s="109"/>
      <c r="IOU31" s="109"/>
      <c r="IOV31" s="109"/>
      <c r="IOW31" s="109"/>
      <c r="IOX31" s="109"/>
      <c r="IOY31" s="109"/>
      <c r="IOZ31" s="109"/>
      <c r="IPA31" s="109"/>
      <c r="IPB31" s="109"/>
      <c r="IPC31" s="109"/>
      <c r="IPD31" s="109"/>
      <c r="IPE31" s="109"/>
      <c r="IPF31" s="109"/>
      <c r="IPG31" s="109"/>
      <c r="IPH31" s="109"/>
      <c r="IPI31" s="109"/>
      <c r="IPJ31" s="109"/>
      <c r="IPK31" s="109"/>
      <c r="IPL31" s="109"/>
      <c r="IPM31" s="109"/>
      <c r="IPN31" s="109"/>
      <c r="IPO31" s="109"/>
      <c r="IPP31" s="109"/>
      <c r="IPQ31" s="109"/>
      <c r="IPR31" s="109"/>
      <c r="IPS31" s="109"/>
      <c r="IPT31" s="109"/>
      <c r="IPU31" s="109"/>
      <c r="IPV31" s="109"/>
      <c r="IPW31" s="109"/>
      <c r="IPX31" s="109"/>
      <c r="IPY31" s="109"/>
      <c r="IPZ31" s="109"/>
      <c r="IQA31" s="109"/>
      <c r="IQB31" s="109"/>
      <c r="IQC31" s="109"/>
      <c r="IQD31" s="109"/>
      <c r="IQE31" s="109"/>
      <c r="IQF31" s="109"/>
      <c r="IQG31" s="109"/>
      <c r="IQH31" s="109"/>
      <c r="IQI31" s="109"/>
      <c r="IQJ31" s="109"/>
      <c r="IQK31" s="109"/>
      <c r="IQL31" s="109"/>
      <c r="IQM31" s="109"/>
      <c r="IQN31" s="109"/>
      <c r="IQO31" s="109"/>
      <c r="IQP31" s="109"/>
      <c r="IQQ31" s="109"/>
      <c r="IQR31" s="109"/>
      <c r="IQS31" s="109"/>
      <c r="IQT31" s="109"/>
      <c r="IQU31" s="109"/>
      <c r="IQV31" s="109"/>
      <c r="IQW31" s="109"/>
      <c r="IQX31" s="109"/>
      <c r="IQY31" s="109"/>
      <c r="IQZ31" s="109"/>
      <c r="IRA31" s="109"/>
      <c r="IRB31" s="109"/>
      <c r="IRC31" s="109"/>
      <c r="IRD31" s="109"/>
      <c r="IRE31" s="109"/>
      <c r="IRF31" s="109"/>
      <c r="IRG31" s="109"/>
      <c r="IRH31" s="109"/>
      <c r="IRI31" s="109"/>
      <c r="IRJ31" s="109"/>
      <c r="IRK31" s="109"/>
      <c r="IRL31" s="109"/>
      <c r="IRM31" s="109"/>
      <c r="IRN31" s="109"/>
      <c r="IRO31" s="109"/>
      <c r="IRP31" s="109"/>
      <c r="IRQ31" s="109"/>
      <c r="IRR31" s="109"/>
      <c r="IRS31" s="109"/>
      <c r="IRT31" s="109"/>
      <c r="IRU31" s="109"/>
      <c r="IRV31" s="109"/>
      <c r="IRW31" s="109"/>
      <c r="IRX31" s="109"/>
      <c r="IRY31" s="109"/>
      <c r="IRZ31" s="109"/>
      <c r="ISA31" s="109"/>
      <c r="ISB31" s="109"/>
      <c r="ISC31" s="109"/>
      <c r="ISD31" s="109"/>
      <c r="ISE31" s="109"/>
      <c r="ISF31" s="109"/>
      <c r="ISG31" s="109"/>
      <c r="ISH31" s="109"/>
      <c r="ISI31" s="109"/>
      <c r="ISJ31" s="109"/>
      <c r="ISK31" s="109"/>
      <c r="ISL31" s="109"/>
      <c r="ISM31" s="109"/>
      <c r="ISN31" s="109"/>
      <c r="ISO31" s="109"/>
      <c r="ISP31" s="109"/>
      <c r="ISQ31" s="109"/>
      <c r="ISR31" s="109"/>
      <c r="ISS31" s="109"/>
      <c r="IST31" s="109"/>
      <c r="ISU31" s="109"/>
      <c r="ISV31" s="109"/>
      <c r="ISW31" s="109"/>
      <c r="ISX31" s="109"/>
      <c r="ISY31" s="109"/>
      <c r="ISZ31" s="109"/>
      <c r="ITA31" s="109"/>
      <c r="ITB31" s="109"/>
      <c r="ITC31" s="109"/>
      <c r="ITD31" s="109"/>
      <c r="ITE31" s="109"/>
      <c r="ITF31" s="109"/>
      <c r="ITG31" s="109"/>
      <c r="ITH31" s="109"/>
      <c r="ITI31" s="109"/>
      <c r="ITJ31" s="109"/>
      <c r="ITK31" s="109"/>
      <c r="ITL31" s="109"/>
      <c r="ITM31" s="109"/>
      <c r="ITN31" s="109"/>
      <c r="ITO31" s="109"/>
      <c r="ITP31" s="109"/>
      <c r="ITQ31" s="109"/>
      <c r="ITR31" s="109"/>
      <c r="ITS31" s="109"/>
      <c r="ITT31" s="109"/>
      <c r="ITU31" s="109"/>
      <c r="ITV31" s="109"/>
      <c r="ITW31" s="109"/>
      <c r="ITX31" s="109"/>
      <c r="ITY31" s="109"/>
      <c r="ITZ31" s="109"/>
      <c r="IUA31" s="109"/>
      <c r="IUB31" s="109"/>
      <c r="IUC31" s="109"/>
      <c r="IUD31" s="109"/>
      <c r="IUE31" s="109"/>
      <c r="IUF31" s="109"/>
      <c r="IUG31" s="109"/>
      <c r="IUH31" s="109"/>
      <c r="IUI31" s="109"/>
      <c r="IUJ31" s="109"/>
      <c r="IUK31" s="109"/>
      <c r="IUL31" s="109"/>
      <c r="IUM31" s="109"/>
      <c r="IUN31" s="109"/>
      <c r="IUO31" s="109"/>
      <c r="IUP31" s="109"/>
      <c r="IUQ31" s="109"/>
      <c r="IUR31" s="109"/>
      <c r="IUS31" s="109"/>
      <c r="IUT31" s="109"/>
      <c r="IUU31" s="109"/>
      <c r="IUV31" s="109"/>
      <c r="IUW31" s="109"/>
      <c r="IUX31" s="109"/>
      <c r="IUY31" s="109"/>
      <c r="IUZ31" s="109"/>
      <c r="IVA31" s="109"/>
      <c r="IVB31" s="109"/>
      <c r="IVC31" s="109"/>
      <c r="IVD31" s="109"/>
      <c r="IVE31" s="109"/>
      <c r="IVF31" s="109"/>
      <c r="IVG31" s="109"/>
      <c r="IVH31" s="109"/>
      <c r="IVI31" s="109"/>
      <c r="IVJ31" s="109"/>
      <c r="IVK31" s="109"/>
      <c r="IVL31" s="109"/>
      <c r="IVM31" s="109"/>
      <c r="IVN31" s="109"/>
      <c r="IVO31" s="109"/>
      <c r="IVP31" s="109"/>
      <c r="IVQ31" s="109"/>
      <c r="IVR31" s="109"/>
      <c r="IVS31" s="109"/>
      <c r="IVT31" s="109"/>
      <c r="IVU31" s="109"/>
      <c r="IVV31" s="109"/>
      <c r="IVW31" s="109"/>
      <c r="IVX31" s="109"/>
      <c r="IVY31" s="109"/>
      <c r="IVZ31" s="109"/>
      <c r="IWA31" s="109"/>
      <c r="IWB31" s="109"/>
      <c r="IWC31" s="109"/>
      <c r="IWD31" s="109"/>
      <c r="IWE31" s="109"/>
      <c r="IWF31" s="109"/>
      <c r="IWG31" s="109"/>
      <c r="IWH31" s="109"/>
      <c r="IWI31" s="109"/>
      <c r="IWJ31" s="109"/>
      <c r="IWK31" s="109"/>
      <c r="IWL31" s="109"/>
      <c r="IWM31" s="109"/>
      <c r="IWN31" s="109"/>
      <c r="IWO31" s="109"/>
      <c r="IWP31" s="109"/>
      <c r="IWQ31" s="109"/>
      <c r="IWR31" s="109"/>
      <c r="IWS31" s="109"/>
      <c r="IWT31" s="109"/>
      <c r="IWU31" s="109"/>
      <c r="IWV31" s="109"/>
      <c r="IWW31" s="109"/>
      <c r="IWX31" s="109"/>
      <c r="IWY31" s="109"/>
      <c r="IWZ31" s="109"/>
      <c r="IXA31" s="109"/>
      <c r="IXB31" s="109"/>
      <c r="IXC31" s="109"/>
      <c r="IXD31" s="109"/>
      <c r="IXE31" s="109"/>
      <c r="IXF31" s="109"/>
      <c r="IXG31" s="109"/>
      <c r="IXH31" s="109"/>
      <c r="IXI31" s="109"/>
      <c r="IXJ31" s="109"/>
      <c r="IXK31" s="109"/>
      <c r="IXL31" s="109"/>
      <c r="IXM31" s="109"/>
      <c r="IXN31" s="109"/>
      <c r="IXO31" s="109"/>
      <c r="IXP31" s="109"/>
      <c r="IXQ31" s="109"/>
      <c r="IXR31" s="109"/>
      <c r="IXS31" s="109"/>
      <c r="IXT31" s="109"/>
      <c r="IXU31" s="109"/>
      <c r="IXV31" s="109"/>
      <c r="IXW31" s="109"/>
      <c r="IXX31" s="109"/>
      <c r="IXY31" s="109"/>
      <c r="IXZ31" s="109"/>
      <c r="IYA31" s="109"/>
      <c r="IYB31" s="109"/>
      <c r="IYC31" s="109"/>
      <c r="IYD31" s="109"/>
      <c r="IYE31" s="109"/>
      <c r="IYF31" s="109"/>
      <c r="IYG31" s="109"/>
      <c r="IYH31" s="109"/>
      <c r="IYI31" s="109"/>
      <c r="IYJ31" s="109"/>
      <c r="IYK31" s="109"/>
      <c r="IYL31" s="109"/>
      <c r="IYM31" s="109"/>
      <c r="IYN31" s="109"/>
      <c r="IYO31" s="109"/>
      <c r="IYP31" s="109"/>
      <c r="IYQ31" s="109"/>
      <c r="IYR31" s="109"/>
      <c r="IYS31" s="109"/>
      <c r="IYT31" s="109"/>
      <c r="IYU31" s="109"/>
      <c r="IYV31" s="109"/>
      <c r="IYW31" s="109"/>
      <c r="IYX31" s="109"/>
      <c r="IYY31" s="109"/>
      <c r="IYZ31" s="109"/>
      <c r="IZA31" s="109"/>
      <c r="IZB31" s="109"/>
      <c r="IZC31" s="109"/>
      <c r="IZD31" s="109"/>
      <c r="IZE31" s="109"/>
      <c r="IZF31" s="109"/>
      <c r="IZG31" s="109"/>
      <c r="IZH31" s="109"/>
      <c r="IZI31" s="109"/>
      <c r="IZJ31" s="109"/>
      <c r="IZK31" s="109"/>
      <c r="IZL31" s="109"/>
      <c r="IZM31" s="109"/>
      <c r="IZN31" s="109"/>
      <c r="IZO31" s="109"/>
      <c r="IZP31" s="109"/>
      <c r="IZQ31" s="109"/>
      <c r="IZR31" s="109"/>
      <c r="IZS31" s="109"/>
      <c r="IZT31" s="109"/>
      <c r="IZU31" s="109"/>
      <c r="IZV31" s="109"/>
      <c r="IZW31" s="109"/>
      <c r="IZX31" s="109"/>
      <c r="IZY31" s="109"/>
      <c r="IZZ31" s="109"/>
      <c r="JAA31" s="109"/>
      <c r="JAB31" s="109"/>
      <c r="JAC31" s="109"/>
      <c r="JAD31" s="109"/>
      <c r="JAE31" s="109"/>
      <c r="JAF31" s="109"/>
      <c r="JAG31" s="109"/>
      <c r="JAH31" s="109"/>
      <c r="JAI31" s="109"/>
      <c r="JAJ31" s="109"/>
      <c r="JAK31" s="109"/>
      <c r="JAL31" s="109"/>
      <c r="JAM31" s="109"/>
      <c r="JAN31" s="109"/>
      <c r="JAO31" s="109"/>
      <c r="JAP31" s="109"/>
      <c r="JAQ31" s="109"/>
      <c r="JAR31" s="109"/>
      <c r="JAS31" s="109"/>
      <c r="JAT31" s="109"/>
      <c r="JAU31" s="109"/>
      <c r="JAV31" s="109"/>
      <c r="JAW31" s="109"/>
      <c r="JAX31" s="109"/>
      <c r="JAY31" s="109"/>
      <c r="JAZ31" s="109"/>
      <c r="JBA31" s="109"/>
      <c r="JBB31" s="109"/>
      <c r="JBC31" s="109"/>
      <c r="JBD31" s="109"/>
      <c r="JBE31" s="109"/>
      <c r="JBF31" s="109"/>
      <c r="JBG31" s="109"/>
      <c r="JBH31" s="109"/>
      <c r="JBI31" s="109"/>
      <c r="JBJ31" s="109"/>
      <c r="JBK31" s="109"/>
      <c r="JBL31" s="109"/>
      <c r="JBM31" s="109"/>
      <c r="JBN31" s="109"/>
      <c r="JBO31" s="109"/>
      <c r="JBP31" s="109"/>
      <c r="JBQ31" s="109"/>
      <c r="JBR31" s="109"/>
      <c r="JBS31" s="109"/>
      <c r="JBT31" s="109"/>
      <c r="JBU31" s="109"/>
      <c r="JBV31" s="109"/>
      <c r="JBW31" s="109"/>
      <c r="JBX31" s="109"/>
      <c r="JBY31" s="109"/>
      <c r="JBZ31" s="109"/>
      <c r="JCA31" s="109"/>
      <c r="JCB31" s="109"/>
      <c r="JCC31" s="109"/>
      <c r="JCD31" s="109"/>
      <c r="JCE31" s="109"/>
      <c r="JCF31" s="109"/>
      <c r="JCG31" s="109"/>
      <c r="JCH31" s="109"/>
      <c r="JCI31" s="109"/>
      <c r="JCJ31" s="109"/>
      <c r="JCK31" s="109"/>
      <c r="JCL31" s="109"/>
      <c r="JCM31" s="109"/>
      <c r="JCN31" s="109"/>
      <c r="JCO31" s="109"/>
      <c r="JCP31" s="109"/>
      <c r="JCQ31" s="109"/>
      <c r="JCR31" s="109"/>
      <c r="JCS31" s="109"/>
      <c r="JCT31" s="109"/>
      <c r="JCU31" s="109"/>
      <c r="JCV31" s="109"/>
      <c r="JCW31" s="109"/>
      <c r="JCX31" s="109"/>
      <c r="JCY31" s="109"/>
      <c r="JCZ31" s="109"/>
      <c r="JDA31" s="109"/>
      <c r="JDB31" s="109"/>
      <c r="JDC31" s="109"/>
      <c r="JDD31" s="109"/>
      <c r="JDE31" s="109"/>
      <c r="JDF31" s="109"/>
      <c r="JDG31" s="109"/>
      <c r="JDH31" s="109"/>
      <c r="JDI31" s="109"/>
      <c r="JDJ31" s="109"/>
      <c r="JDK31" s="109"/>
      <c r="JDL31" s="109"/>
      <c r="JDM31" s="109"/>
      <c r="JDN31" s="109"/>
      <c r="JDO31" s="109"/>
      <c r="JDP31" s="109"/>
      <c r="JDQ31" s="109"/>
      <c r="JDR31" s="109"/>
      <c r="JDS31" s="109"/>
      <c r="JDT31" s="109"/>
      <c r="JDU31" s="109"/>
      <c r="JDV31" s="109"/>
      <c r="JDW31" s="109"/>
      <c r="JDX31" s="109"/>
      <c r="JDY31" s="109"/>
      <c r="JDZ31" s="109"/>
      <c r="JEA31" s="109"/>
      <c r="JEB31" s="109"/>
      <c r="JEC31" s="109"/>
      <c r="JED31" s="109"/>
      <c r="JEE31" s="109"/>
      <c r="JEF31" s="109"/>
      <c r="JEG31" s="109"/>
      <c r="JEH31" s="109"/>
      <c r="JEI31" s="109"/>
      <c r="JEJ31" s="109"/>
      <c r="JEK31" s="109"/>
      <c r="JEL31" s="109"/>
      <c r="JEM31" s="109"/>
      <c r="JEN31" s="109"/>
      <c r="JEO31" s="109"/>
      <c r="JEP31" s="109"/>
      <c r="JEQ31" s="109"/>
      <c r="JER31" s="109"/>
      <c r="JES31" s="109"/>
      <c r="JET31" s="109"/>
      <c r="JEU31" s="109"/>
      <c r="JEV31" s="109"/>
      <c r="JEW31" s="109"/>
      <c r="JEX31" s="109"/>
      <c r="JEY31" s="109"/>
      <c r="JEZ31" s="109"/>
      <c r="JFA31" s="109"/>
      <c r="JFB31" s="109"/>
      <c r="JFC31" s="109"/>
      <c r="JFD31" s="109"/>
      <c r="JFE31" s="109"/>
      <c r="JFF31" s="109"/>
      <c r="JFG31" s="109"/>
      <c r="JFH31" s="109"/>
      <c r="JFI31" s="109"/>
      <c r="JFJ31" s="109"/>
      <c r="JFK31" s="109"/>
      <c r="JFL31" s="109"/>
      <c r="JFM31" s="109"/>
      <c r="JFN31" s="109"/>
      <c r="JFO31" s="109"/>
      <c r="JFP31" s="109"/>
      <c r="JFQ31" s="109"/>
      <c r="JFR31" s="109"/>
      <c r="JFS31" s="109"/>
      <c r="JFT31" s="109"/>
      <c r="JFU31" s="109"/>
      <c r="JFV31" s="109"/>
      <c r="JFW31" s="109"/>
      <c r="JFX31" s="109"/>
      <c r="JFY31" s="109"/>
      <c r="JFZ31" s="109"/>
      <c r="JGA31" s="109"/>
      <c r="JGB31" s="109"/>
      <c r="JGC31" s="109"/>
      <c r="JGD31" s="109"/>
      <c r="JGE31" s="109"/>
      <c r="JGF31" s="109"/>
      <c r="JGG31" s="109"/>
      <c r="JGH31" s="109"/>
      <c r="JGI31" s="109"/>
      <c r="JGJ31" s="109"/>
      <c r="JGK31" s="109"/>
      <c r="JGL31" s="109"/>
      <c r="JGM31" s="109"/>
      <c r="JGN31" s="109"/>
      <c r="JGO31" s="109"/>
      <c r="JGP31" s="109"/>
      <c r="JGQ31" s="109"/>
      <c r="JGR31" s="109"/>
      <c r="JGS31" s="109"/>
      <c r="JGT31" s="109"/>
      <c r="JGU31" s="109"/>
      <c r="JGV31" s="109"/>
      <c r="JGW31" s="109"/>
      <c r="JGX31" s="109"/>
      <c r="JGY31" s="109"/>
      <c r="JGZ31" s="109"/>
      <c r="JHA31" s="109"/>
      <c r="JHB31" s="109"/>
      <c r="JHC31" s="109"/>
      <c r="JHD31" s="109"/>
      <c r="JHE31" s="109"/>
      <c r="JHF31" s="109"/>
      <c r="JHG31" s="109"/>
      <c r="JHH31" s="109"/>
      <c r="JHI31" s="109"/>
      <c r="JHJ31" s="109"/>
      <c r="JHK31" s="109"/>
      <c r="JHL31" s="109"/>
      <c r="JHM31" s="109"/>
      <c r="JHN31" s="109"/>
      <c r="JHO31" s="109"/>
      <c r="JHP31" s="109"/>
      <c r="JHQ31" s="109"/>
      <c r="JHR31" s="109"/>
      <c r="JHS31" s="109"/>
      <c r="JHT31" s="109"/>
      <c r="JHU31" s="109"/>
      <c r="JHV31" s="109"/>
      <c r="JHW31" s="109"/>
      <c r="JHX31" s="109"/>
      <c r="JHY31" s="109"/>
      <c r="JHZ31" s="109"/>
      <c r="JIA31" s="109"/>
      <c r="JIB31" s="109"/>
      <c r="JIC31" s="109"/>
      <c r="JID31" s="109"/>
      <c r="JIE31" s="109"/>
      <c r="JIF31" s="109"/>
      <c r="JIG31" s="109"/>
      <c r="JIH31" s="109"/>
      <c r="JII31" s="109"/>
      <c r="JIJ31" s="109"/>
      <c r="JIK31" s="109"/>
      <c r="JIL31" s="109"/>
      <c r="JIM31" s="109"/>
      <c r="JIN31" s="109"/>
      <c r="JIO31" s="109"/>
      <c r="JIP31" s="109"/>
      <c r="JIQ31" s="109"/>
      <c r="JIR31" s="109"/>
      <c r="JIS31" s="109"/>
      <c r="JIT31" s="109"/>
      <c r="JIU31" s="109"/>
      <c r="JIV31" s="109"/>
      <c r="JIW31" s="109"/>
      <c r="JIX31" s="109"/>
      <c r="JIY31" s="109"/>
      <c r="JIZ31" s="109"/>
      <c r="JJA31" s="109"/>
      <c r="JJB31" s="109"/>
      <c r="JJC31" s="109"/>
      <c r="JJD31" s="109"/>
      <c r="JJE31" s="109"/>
      <c r="JJF31" s="109"/>
      <c r="JJG31" s="109"/>
      <c r="JJH31" s="109"/>
      <c r="JJI31" s="109"/>
      <c r="JJJ31" s="109"/>
      <c r="JJK31" s="109"/>
      <c r="JJL31" s="109"/>
      <c r="JJM31" s="109"/>
      <c r="JJN31" s="109"/>
      <c r="JJO31" s="109"/>
      <c r="JJP31" s="109"/>
      <c r="JJQ31" s="109"/>
      <c r="JJR31" s="109"/>
      <c r="JJS31" s="109"/>
      <c r="JJT31" s="109"/>
      <c r="JJU31" s="109"/>
      <c r="JJV31" s="109"/>
      <c r="JJW31" s="109"/>
      <c r="JJX31" s="109"/>
      <c r="JJY31" s="109"/>
      <c r="JJZ31" s="109"/>
      <c r="JKA31" s="109"/>
      <c r="JKB31" s="109"/>
      <c r="JKC31" s="109"/>
      <c r="JKD31" s="109"/>
      <c r="JKE31" s="109"/>
      <c r="JKF31" s="109"/>
      <c r="JKG31" s="109"/>
      <c r="JKH31" s="109"/>
      <c r="JKI31" s="109"/>
      <c r="JKJ31" s="109"/>
      <c r="JKK31" s="109"/>
      <c r="JKL31" s="109"/>
      <c r="JKM31" s="109"/>
      <c r="JKN31" s="109"/>
      <c r="JKO31" s="109"/>
      <c r="JKP31" s="109"/>
      <c r="JKQ31" s="109"/>
      <c r="JKR31" s="109"/>
      <c r="JKS31" s="109"/>
      <c r="JKT31" s="109"/>
      <c r="JKU31" s="109"/>
      <c r="JKV31" s="109"/>
      <c r="JKW31" s="109"/>
      <c r="JKX31" s="109"/>
      <c r="JKY31" s="109"/>
      <c r="JKZ31" s="109"/>
      <c r="JLA31" s="109"/>
      <c r="JLB31" s="109"/>
      <c r="JLC31" s="109"/>
      <c r="JLD31" s="109"/>
      <c r="JLE31" s="109"/>
      <c r="JLF31" s="109"/>
      <c r="JLG31" s="109"/>
      <c r="JLH31" s="109"/>
      <c r="JLI31" s="109"/>
      <c r="JLJ31" s="109"/>
      <c r="JLK31" s="109"/>
      <c r="JLL31" s="109"/>
      <c r="JLM31" s="109"/>
      <c r="JLN31" s="109"/>
      <c r="JLO31" s="109"/>
      <c r="JLP31" s="109"/>
      <c r="JLQ31" s="109"/>
      <c r="JLR31" s="109"/>
      <c r="JLS31" s="109"/>
      <c r="JLT31" s="109"/>
      <c r="JLU31" s="109"/>
      <c r="JLV31" s="109"/>
      <c r="JLW31" s="109"/>
      <c r="JLX31" s="109"/>
      <c r="JLY31" s="109"/>
      <c r="JLZ31" s="109"/>
      <c r="JMA31" s="109"/>
      <c r="JMB31" s="109"/>
      <c r="JMC31" s="109"/>
      <c r="JMD31" s="109"/>
      <c r="JME31" s="109"/>
      <c r="JMF31" s="109"/>
      <c r="JMG31" s="109"/>
      <c r="JMH31" s="109"/>
      <c r="JMI31" s="109"/>
      <c r="JMJ31" s="109"/>
      <c r="JMK31" s="109"/>
      <c r="JML31" s="109"/>
      <c r="JMM31" s="109"/>
      <c r="JMN31" s="109"/>
      <c r="JMO31" s="109"/>
      <c r="JMP31" s="109"/>
      <c r="JMQ31" s="109"/>
      <c r="JMR31" s="109"/>
      <c r="JMS31" s="109"/>
      <c r="JMT31" s="109"/>
      <c r="JMU31" s="109"/>
      <c r="JMV31" s="109"/>
      <c r="JMW31" s="109"/>
      <c r="JMX31" s="109"/>
      <c r="JMY31" s="109"/>
      <c r="JMZ31" s="109"/>
      <c r="JNA31" s="109"/>
      <c r="JNB31" s="109"/>
      <c r="JNC31" s="109"/>
      <c r="JND31" s="109"/>
      <c r="JNE31" s="109"/>
      <c r="JNF31" s="109"/>
      <c r="JNG31" s="109"/>
      <c r="JNH31" s="109"/>
      <c r="JNI31" s="109"/>
      <c r="JNJ31" s="109"/>
      <c r="JNK31" s="109"/>
      <c r="JNL31" s="109"/>
      <c r="JNM31" s="109"/>
      <c r="JNN31" s="109"/>
      <c r="JNO31" s="109"/>
      <c r="JNP31" s="109"/>
      <c r="JNQ31" s="109"/>
      <c r="JNR31" s="109"/>
      <c r="JNS31" s="109"/>
      <c r="JNT31" s="109"/>
      <c r="JNU31" s="109"/>
      <c r="JNV31" s="109"/>
      <c r="JNW31" s="109"/>
      <c r="JNX31" s="109"/>
      <c r="JNY31" s="109"/>
      <c r="JNZ31" s="109"/>
      <c r="JOA31" s="109"/>
      <c r="JOB31" s="109"/>
      <c r="JOC31" s="109"/>
      <c r="JOD31" s="109"/>
      <c r="JOE31" s="109"/>
      <c r="JOF31" s="109"/>
      <c r="JOG31" s="109"/>
      <c r="JOH31" s="109"/>
      <c r="JOI31" s="109"/>
      <c r="JOJ31" s="109"/>
      <c r="JOK31" s="109"/>
      <c r="JOL31" s="109"/>
      <c r="JOM31" s="109"/>
      <c r="JON31" s="109"/>
      <c r="JOO31" s="109"/>
      <c r="JOP31" s="109"/>
      <c r="JOQ31" s="109"/>
      <c r="JOR31" s="109"/>
      <c r="JOS31" s="109"/>
      <c r="JOT31" s="109"/>
      <c r="JOU31" s="109"/>
      <c r="JOV31" s="109"/>
      <c r="JOW31" s="109"/>
      <c r="JOX31" s="109"/>
      <c r="JOY31" s="109"/>
      <c r="JOZ31" s="109"/>
      <c r="JPA31" s="109"/>
      <c r="JPB31" s="109"/>
      <c r="JPC31" s="109"/>
      <c r="JPD31" s="109"/>
      <c r="JPE31" s="109"/>
      <c r="JPF31" s="109"/>
      <c r="JPG31" s="109"/>
      <c r="JPH31" s="109"/>
      <c r="JPI31" s="109"/>
      <c r="JPJ31" s="109"/>
      <c r="JPK31" s="109"/>
      <c r="JPL31" s="109"/>
      <c r="JPM31" s="109"/>
      <c r="JPN31" s="109"/>
      <c r="JPO31" s="109"/>
      <c r="JPP31" s="109"/>
      <c r="JPQ31" s="109"/>
      <c r="JPR31" s="109"/>
      <c r="JPS31" s="109"/>
      <c r="JPT31" s="109"/>
      <c r="JPU31" s="109"/>
      <c r="JPV31" s="109"/>
      <c r="JPW31" s="109"/>
      <c r="JPX31" s="109"/>
      <c r="JPY31" s="109"/>
      <c r="JPZ31" s="109"/>
      <c r="JQA31" s="109"/>
      <c r="JQB31" s="109"/>
      <c r="JQC31" s="109"/>
      <c r="JQD31" s="109"/>
      <c r="JQE31" s="109"/>
      <c r="JQF31" s="109"/>
      <c r="JQG31" s="109"/>
      <c r="JQH31" s="109"/>
      <c r="JQI31" s="109"/>
      <c r="JQJ31" s="109"/>
      <c r="JQK31" s="109"/>
      <c r="JQL31" s="109"/>
      <c r="JQM31" s="109"/>
      <c r="JQN31" s="109"/>
      <c r="JQO31" s="109"/>
      <c r="JQP31" s="109"/>
      <c r="JQQ31" s="109"/>
      <c r="JQR31" s="109"/>
      <c r="JQS31" s="109"/>
      <c r="JQT31" s="109"/>
      <c r="JQU31" s="109"/>
      <c r="JQV31" s="109"/>
      <c r="JQW31" s="109"/>
      <c r="JQX31" s="109"/>
      <c r="JQY31" s="109"/>
      <c r="JQZ31" s="109"/>
      <c r="JRA31" s="109"/>
      <c r="JRB31" s="109"/>
      <c r="JRC31" s="109"/>
      <c r="JRD31" s="109"/>
      <c r="JRE31" s="109"/>
      <c r="JRF31" s="109"/>
      <c r="JRG31" s="109"/>
      <c r="JRH31" s="109"/>
      <c r="JRI31" s="109"/>
      <c r="JRJ31" s="109"/>
      <c r="JRK31" s="109"/>
      <c r="JRL31" s="109"/>
      <c r="JRM31" s="109"/>
      <c r="JRN31" s="109"/>
      <c r="JRO31" s="109"/>
      <c r="JRP31" s="109"/>
      <c r="JRQ31" s="109"/>
      <c r="JRR31" s="109"/>
      <c r="JRS31" s="109"/>
      <c r="JRT31" s="109"/>
      <c r="JRU31" s="109"/>
      <c r="JRV31" s="109"/>
      <c r="JRW31" s="109"/>
      <c r="JRX31" s="109"/>
      <c r="JRY31" s="109"/>
      <c r="JRZ31" s="109"/>
      <c r="JSA31" s="109"/>
      <c r="JSB31" s="109"/>
      <c r="JSC31" s="109"/>
      <c r="JSD31" s="109"/>
      <c r="JSE31" s="109"/>
      <c r="JSF31" s="109"/>
      <c r="JSG31" s="109"/>
      <c r="JSH31" s="109"/>
      <c r="JSI31" s="109"/>
      <c r="JSJ31" s="109"/>
      <c r="JSK31" s="109"/>
      <c r="JSL31" s="109"/>
      <c r="JSM31" s="109"/>
      <c r="JSN31" s="109"/>
      <c r="JSO31" s="109"/>
      <c r="JSP31" s="109"/>
      <c r="JSQ31" s="109"/>
      <c r="JSR31" s="109"/>
      <c r="JSS31" s="109"/>
      <c r="JST31" s="109"/>
      <c r="JSU31" s="109"/>
      <c r="JSV31" s="109"/>
      <c r="JSW31" s="109"/>
      <c r="JSX31" s="109"/>
      <c r="JSY31" s="109"/>
      <c r="JSZ31" s="109"/>
      <c r="JTA31" s="109"/>
      <c r="JTB31" s="109"/>
      <c r="JTC31" s="109"/>
      <c r="JTD31" s="109"/>
      <c r="JTE31" s="109"/>
      <c r="JTF31" s="109"/>
      <c r="JTG31" s="109"/>
      <c r="JTH31" s="109"/>
      <c r="JTI31" s="109"/>
      <c r="JTJ31" s="109"/>
      <c r="JTK31" s="109"/>
      <c r="JTL31" s="109"/>
      <c r="JTM31" s="109"/>
      <c r="JTN31" s="109"/>
      <c r="JTO31" s="109"/>
      <c r="JTP31" s="109"/>
      <c r="JTQ31" s="109"/>
      <c r="JTR31" s="109"/>
      <c r="JTS31" s="109"/>
      <c r="JTT31" s="109"/>
      <c r="JTU31" s="109"/>
      <c r="JTV31" s="109"/>
      <c r="JTW31" s="109"/>
      <c r="JTX31" s="109"/>
      <c r="JTY31" s="109"/>
      <c r="JTZ31" s="109"/>
      <c r="JUA31" s="109"/>
      <c r="JUB31" s="109"/>
      <c r="JUC31" s="109"/>
      <c r="JUD31" s="109"/>
      <c r="JUE31" s="109"/>
      <c r="JUF31" s="109"/>
      <c r="JUG31" s="109"/>
      <c r="JUH31" s="109"/>
      <c r="JUI31" s="109"/>
      <c r="JUJ31" s="109"/>
      <c r="JUK31" s="109"/>
      <c r="JUL31" s="109"/>
      <c r="JUM31" s="109"/>
      <c r="JUN31" s="109"/>
      <c r="JUO31" s="109"/>
      <c r="JUP31" s="109"/>
      <c r="JUQ31" s="109"/>
      <c r="JUR31" s="109"/>
      <c r="JUS31" s="109"/>
      <c r="JUT31" s="109"/>
      <c r="JUU31" s="109"/>
      <c r="JUV31" s="109"/>
      <c r="JUW31" s="109"/>
      <c r="JUX31" s="109"/>
      <c r="JUY31" s="109"/>
      <c r="JUZ31" s="109"/>
      <c r="JVA31" s="109"/>
      <c r="JVB31" s="109"/>
      <c r="JVC31" s="109"/>
      <c r="JVD31" s="109"/>
      <c r="JVE31" s="109"/>
      <c r="JVF31" s="109"/>
      <c r="JVG31" s="109"/>
      <c r="JVH31" s="109"/>
      <c r="JVI31" s="109"/>
      <c r="JVJ31" s="109"/>
      <c r="JVK31" s="109"/>
      <c r="JVL31" s="109"/>
      <c r="JVM31" s="109"/>
      <c r="JVN31" s="109"/>
      <c r="JVO31" s="109"/>
      <c r="JVP31" s="109"/>
      <c r="JVQ31" s="109"/>
      <c r="JVR31" s="109"/>
      <c r="JVS31" s="109"/>
      <c r="JVT31" s="109"/>
      <c r="JVU31" s="109"/>
      <c r="JVV31" s="109"/>
      <c r="JVW31" s="109"/>
      <c r="JVX31" s="109"/>
      <c r="JVY31" s="109"/>
      <c r="JVZ31" s="109"/>
      <c r="JWA31" s="109"/>
      <c r="JWB31" s="109"/>
      <c r="JWC31" s="109"/>
      <c r="JWD31" s="109"/>
      <c r="JWE31" s="109"/>
      <c r="JWF31" s="109"/>
      <c r="JWG31" s="109"/>
      <c r="JWH31" s="109"/>
      <c r="JWI31" s="109"/>
      <c r="JWJ31" s="109"/>
      <c r="JWK31" s="109"/>
      <c r="JWL31" s="109"/>
      <c r="JWM31" s="109"/>
      <c r="JWN31" s="109"/>
      <c r="JWO31" s="109"/>
      <c r="JWP31" s="109"/>
      <c r="JWQ31" s="109"/>
      <c r="JWR31" s="109"/>
      <c r="JWS31" s="109"/>
      <c r="JWT31" s="109"/>
      <c r="JWU31" s="109"/>
      <c r="JWV31" s="109"/>
      <c r="JWW31" s="109"/>
      <c r="JWX31" s="109"/>
      <c r="JWY31" s="109"/>
      <c r="JWZ31" s="109"/>
      <c r="JXA31" s="109"/>
      <c r="JXB31" s="109"/>
      <c r="JXC31" s="109"/>
      <c r="JXD31" s="109"/>
      <c r="JXE31" s="109"/>
      <c r="JXF31" s="109"/>
      <c r="JXG31" s="109"/>
      <c r="JXH31" s="109"/>
      <c r="JXI31" s="109"/>
      <c r="JXJ31" s="109"/>
      <c r="JXK31" s="109"/>
      <c r="JXL31" s="109"/>
      <c r="JXM31" s="109"/>
      <c r="JXN31" s="109"/>
      <c r="JXO31" s="109"/>
      <c r="JXP31" s="109"/>
      <c r="JXQ31" s="109"/>
      <c r="JXR31" s="109"/>
      <c r="JXS31" s="109"/>
      <c r="JXT31" s="109"/>
      <c r="JXU31" s="109"/>
      <c r="JXV31" s="109"/>
      <c r="JXW31" s="109"/>
      <c r="JXX31" s="109"/>
      <c r="JXY31" s="109"/>
      <c r="JXZ31" s="109"/>
      <c r="JYA31" s="109"/>
      <c r="JYB31" s="109"/>
      <c r="JYC31" s="109"/>
      <c r="JYD31" s="109"/>
      <c r="JYE31" s="109"/>
      <c r="JYF31" s="109"/>
      <c r="JYG31" s="109"/>
      <c r="JYH31" s="109"/>
      <c r="JYI31" s="109"/>
      <c r="JYJ31" s="109"/>
      <c r="JYK31" s="109"/>
      <c r="JYL31" s="109"/>
      <c r="JYM31" s="109"/>
      <c r="JYN31" s="109"/>
      <c r="JYO31" s="109"/>
      <c r="JYP31" s="109"/>
      <c r="JYQ31" s="109"/>
      <c r="JYR31" s="109"/>
      <c r="JYS31" s="109"/>
      <c r="JYT31" s="109"/>
      <c r="JYU31" s="109"/>
      <c r="JYV31" s="109"/>
      <c r="JYW31" s="109"/>
      <c r="JYX31" s="109"/>
      <c r="JYY31" s="109"/>
      <c r="JYZ31" s="109"/>
      <c r="JZA31" s="109"/>
      <c r="JZB31" s="109"/>
      <c r="JZC31" s="109"/>
      <c r="JZD31" s="109"/>
      <c r="JZE31" s="109"/>
      <c r="JZF31" s="109"/>
      <c r="JZG31" s="109"/>
      <c r="JZH31" s="109"/>
      <c r="JZI31" s="109"/>
      <c r="JZJ31" s="109"/>
      <c r="JZK31" s="109"/>
      <c r="JZL31" s="109"/>
      <c r="JZM31" s="109"/>
      <c r="JZN31" s="109"/>
      <c r="JZO31" s="109"/>
      <c r="JZP31" s="109"/>
      <c r="JZQ31" s="109"/>
      <c r="JZR31" s="109"/>
      <c r="JZS31" s="109"/>
      <c r="JZT31" s="109"/>
      <c r="JZU31" s="109"/>
      <c r="JZV31" s="109"/>
      <c r="JZW31" s="109"/>
      <c r="JZX31" s="109"/>
      <c r="JZY31" s="109"/>
      <c r="JZZ31" s="109"/>
      <c r="KAA31" s="109"/>
      <c r="KAB31" s="109"/>
      <c r="KAC31" s="109"/>
      <c r="KAD31" s="109"/>
      <c r="KAE31" s="109"/>
      <c r="KAF31" s="109"/>
      <c r="KAG31" s="109"/>
      <c r="KAH31" s="109"/>
      <c r="KAI31" s="109"/>
      <c r="KAJ31" s="109"/>
      <c r="KAK31" s="109"/>
      <c r="KAL31" s="109"/>
      <c r="KAM31" s="109"/>
      <c r="KAN31" s="109"/>
      <c r="KAO31" s="109"/>
      <c r="KAP31" s="109"/>
      <c r="KAQ31" s="109"/>
      <c r="KAR31" s="109"/>
      <c r="KAS31" s="109"/>
      <c r="KAT31" s="109"/>
      <c r="KAU31" s="109"/>
      <c r="KAV31" s="109"/>
      <c r="KAW31" s="109"/>
      <c r="KAX31" s="109"/>
      <c r="KAY31" s="109"/>
      <c r="KAZ31" s="109"/>
      <c r="KBA31" s="109"/>
      <c r="KBB31" s="109"/>
      <c r="KBC31" s="109"/>
      <c r="KBD31" s="109"/>
      <c r="KBE31" s="109"/>
      <c r="KBF31" s="109"/>
      <c r="KBG31" s="109"/>
      <c r="KBH31" s="109"/>
      <c r="KBI31" s="109"/>
      <c r="KBJ31" s="109"/>
      <c r="KBK31" s="109"/>
      <c r="KBL31" s="109"/>
      <c r="KBM31" s="109"/>
      <c r="KBN31" s="109"/>
      <c r="KBO31" s="109"/>
      <c r="KBP31" s="109"/>
      <c r="KBQ31" s="109"/>
      <c r="KBR31" s="109"/>
      <c r="KBS31" s="109"/>
      <c r="KBT31" s="109"/>
      <c r="KBU31" s="109"/>
      <c r="KBV31" s="109"/>
      <c r="KBW31" s="109"/>
      <c r="KBX31" s="109"/>
      <c r="KBY31" s="109"/>
      <c r="KBZ31" s="109"/>
      <c r="KCA31" s="109"/>
      <c r="KCB31" s="109"/>
      <c r="KCC31" s="109"/>
      <c r="KCD31" s="109"/>
      <c r="KCE31" s="109"/>
      <c r="KCF31" s="109"/>
      <c r="KCG31" s="109"/>
      <c r="KCH31" s="109"/>
      <c r="KCI31" s="109"/>
      <c r="KCJ31" s="109"/>
      <c r="KCK31" s="109"/>
      <c r="KCL31" s="109"/>
      <c r="KCM31" s="109"/>
      <c r="KCN31" s="109"/>
      <c r="KCO31" s="109"/>
      <c r="KCP31" s="109"/>
      <c r="KCQ31" s="109"/>
      <c r="KCR31" s="109"/>
      <c r="KCS31" s="109"/>
      <c r="KCT31" s="109"/>
      <c r="KCU31" s="109"/>
      <c r="KCV31" s="109"/>
      <c r="KCW31" s="109"/>
      <c r="KCX31" s="109"/>
      <c r="KCY31" s="109"/>
      <c r="KCZ31" s="109"/>
      <c r="KDA31" s="109"/>
      <c r="KDB31" s="109"/>
      <c r="KDC31" s="109"/>
      <c r="KDD31" s="109"/>
      <c r="KDE31" s="109"/>
      <c r="KDF31" s="109"/>
      <c r="KDG31" s="109"/>
      <c r="KDH31" s="109"/>
      <c r="KDI31" s="109"/>
      <c r="KDJ31" s="109"/>
      <c r="KDK31" s="109"/>
      <c r="KDL31" s="109"/>
      <c r="KDM31" s="109"/>
      <c r="KDN31" s="109"/>
      <c r="KDO31" s="109"/>
      <c r="KDP31" s="109"/>
      <c r="KDQ31" s="109"/>
      <c r="KDR31" s="109"/>
      <c r="KDS31" s="109"/>
      <c r="KDT31" s="109"/>
      <c r="KDU31" s="109"/>
      <c r="KDV31" s="109"/>
      <c r="KDW31" s="109"/>
      <c r="KDX31" s="109"/>
      <c r="KDY31" s="109"/>
      <c r="KDZ31" s="109"/>
      <c r="KEA31" s="109"/>
      <c r="KEB31" s="109"/>
      <c r="KEC31" s="109"/>
      <c r="KED31" s="109"/>
      <c r="KEE31" s="109"/>
      <c r="KEF31" s="109"/>
      <c r="KEG31" s="109"/>
      <c r="KEH31" s="109"/>
      <c r="KEI31" s="109"/>
      <c r="KEJ31" s="109"/>
      <c r="KEK31" s="109"/>
      <c r="KEL31" s="109"/>
      <c r="KEM31" s="109"/>
      <c r="KEN31" s="109"/>
      <c r="KEO31" s="109"/>
      <c r="KEP31" s="109"/>
      <c r="KEQ31" s="109"/>
      <c r="KER31" s="109"/>
      <c r="KES31" s="109"/>
      <c r="KET31" s="109"/>
      <c r="KEU31" s="109"/>
      <c r="KEV31" s="109"/>
      <c r="KEW31" s="109"/>
      <c r="KEX31" s="109"/>
      <c r="KEY31" s="109"/>
      <c r="KEZ31" s="109"/>
      <c r="KFA31" s="109"/>
      <c r="KFB31" s="109"/>
      <c r="KFC31" s="109"/>
      <c r="KFD31" s="109"/>
      <c r="KFE31" s="109"/>
      <c r="KFF31" s="109"/>
      <c r="KFG31" s="109"/>
      <c r="KFH31" s="109"/>
      <c r="KFI31" s="109"/>
      <c r="KFJ31" s="109"/>
      <c r="KFK31" s="109"/>
      <c r="KFL31" s="109"/>
      <c r="KFM31" s="109"/>
      <c r="KFN31" s="109"/>
      <c r="KFO31" s="109"/>
      <c r="KFP31" s="109"/>
      <c r="KFQ31" s="109"/>
      <c r="KFR31" s="109"/>
      <c r="KFS31" s="109"/>
      <c r="KFT31" s="109"/>
      <c r="KFU31" s="109"/>
      <c r="KFV31" s="109"/>
      <c r="KFW31" s="109"/>
      <c r="KFX31" s="109"/>
      <c r="KFY31" s="109"/>
      <c r="KFZ31" s="109"/>
      <c r="KGA31" s="109"/>
      <c r="KGB31" s="109"/>
      <c r="KGC31" s="109"/>
      <c r="KGD31" s="109"/>
      <c r="KGE31" s="109"/>
      <c r="KGF31" s="109"/>
      <c r="KGG31" s="109"/>
      <c r="KGH31" s="109"/>
      <c r="KGI31" s="109"/>
      <c r="KGJ31" s="109"/>
      <c r="KGK31" s="109"/>
      <c r="KGL31" s="109"/>
      <c r="KGM31" s="109"/>
      <c r="KGN31" s="109"/>
      <c r="KGO31" s="109"/>
      <c r="KGP31" s="109"/>
      <c r="KGQ31" s="109"/>
      <c r="KGR31" s="109"/>
      <c r="KGS31" s="109"/>
      <c r="KGT31" s="109"/>
      <c r="KGU31" s="109"/>
      <c r="KGV31" s="109"/>
      <c r="KGW31" s="109"/>
      <c r="KGX31" s="109"/>
      <c r="KGY31" s="109"/>
      <c r="KGZ31" s="109"/>
      <c r="KHA31" s="109"/>
      <c r="KHB31" s="109"/>
      <c r="KHC31" s="109"/>
      <c r="KHD31" s="109"/>
      <c r="KHE31" s="109"/>
      <c r="KHF31" s="109"/>
      <c r="KHG31" s="109"/>
      <c r="KHH31" s="109"/>
      <c r="KHI31" s="109"/>
      <c r="KHJ31" s="109"/>
      <c r="KHK31" s="109"/>
      <c r="KHL31" s="109"/>
      <c r="KHM31" s="109"/>
      <c r="KHN31" s="109"/>
      <c r="KHO31" s="109"/>
      <c r="KHP31" s="109"/>
      <c r="KHQ31" s="109"/>
      <c r="KHR31" s="109"/>
      <c r="KHS31" s="109"/>
      <c r="KHT31" s="109"/>
      <c r="KHU31" s="109"/>
      <c r="KHV31" s="109"/>
      <c r="KHW31" s="109"/>
      <c r="KHX31" s="109"/>
      <c r="KHY31" s="109"/>
      <c r="KHZ31" s="109"/>
      <c r="KIA31" s="109"/>
      <c r="KIB31" s="109"/>
      <c r="KIC31" s="109"/>
      <c r="KID31" s="109"/>
      <c r="KIE31" s="109"/>
      <c r="KIF31" s="109"/>
      <c r="KIG31" s="109"/>
      <c r="KIH31" s="109"/>
      <c r="KII31" s="109"/>
      <c r="KIJ31" s="109"/>
      <c r="KIK31" s="109"/>
      <c r="KIL31" s="109"/>
      <c r="KIM31" s="109"/>
      <c r="KIN31" s="109"/>
      <c r="KIO31" s="109"/>
      <c r="KIP31" s="109"/>
      <c r="KIQ31" s="109"/>
      <c r="KIR31" s="109"/>
      <c r="KIS31" s="109"/>
      <c r="KIT31" s="109"/>
      <c r="KIU31" s="109"/>
      <c r="KIV31" s="109"/>
      <c r="KIW31" s="109"/>
      <c r="KIX31" s="109"/>
      <c r="KIY31" s="109"/>
      <c r="KIZ31" s="109"/>
      <c r="KJA31" s="109"/>
      <c r="KJB31" s="109"/>
      <c r="KJC31" s="109"/>
      <c r="KJD31" s="109"/>
      <c r="KJE31" s="109"/>
      <c r="KJF31" s="109"/>
      <c r="KJG31" s="109"/>
      <c r="KJH31" s="109"/>
      <c r="KJI31" s="109"/>
      <c r="KJJ31" s="109"/>
      <c r="KJK31" s="109"/>
      <c r="KJL31" s="109"/>
      <c r="KJM31" s="109"/>
      <c r="KJN31" s="109"/>
      <c r="KJO31" s="109"/>
      <c r="KJP31" s="109"/>
      <c r="KJQ31" s="109"/>
      <c r="KJR31" s="109"/>
      <c r="KJS31" s="109"/>
      <c r="KJT31" s="109"/>
      <c r="KJU31" s="109"/>
      <c r="KJV31" s="109"/>
      <c r="KJW31" s="109"/>
      <c r="KJX31" s="109"/>
      <c r="KJY31" s="109"/>
      <c r="KJZ31" s="109"/>
      <c r="KKA31" s="109"/>
      <c r="KKB31" s="109"/>
      <c r="KKC31" s="109"/>
      <c r="KKD31" s="109"/>
      <c r="KKE31" s="109"/>
      <c r="KKF31" s="109"/>
      <c r="KKG31" s="109"/>
      <c r="KKH31" s="109"/>
      <c r="KKI31" s="109"/>
      <c r="KKJ31" s="109"/>
      <c r="KKK31" s="109"/>
      <c r="KKL31" s="109"/>
      <c r="KKM31" s="109"/>
      <c r="KKN31" s="109"/>
      <c r="KKO31" s="109"/>
      <c r="KKP31" s="109"/>
      <c r="KKQ31" s="109"/>
      <c r="KKR31" s="109"/>
      <c r="KKS31" s="109"/>
      <c r="KKT31" s="109"/>
      <c r="KKU31" s="109"/>
      <c r="KKV31" s="109"/>
      <c r="KKW31" s="109"/>
      <c r="KKX31" s="109"/>
      <c r="KKY31" s="109"/>
      <c r="KKZ31" s="109"/>
      <c r="KLA31" s="109"/>
      <c r="KLB31" s="109"/>
      <c r="KLC31" s="109"/>
      <c r="KLD31" s="109"/>
      <c r="KLE31" s="109"/>
      <c r="KLF31" s="109"/>
      <c r="KLG31" s="109"/>
      <c r="KLH31" s="109"/>
      <c r="KLI31" s="109"/>
      <c r="KLJ31" s="109"/>
      <c r="KLK31" s="109"/>
      <c r="KLL31" s="109"/>
      <c r="KLM31" s="109"/>
      <c r="KLN31" s="109"/>
      <c r="KLO31" s="109"/>
      <c r="KLP31" s="109"/>
      <c r="KLQ31" s="109"/>
      <c r="KLR31" s="109"/>
      <c r="KLS31" s="109"/>
      <c r="KLT31" s="109"/>
      <c r="KLU31" s="109"/>
      <c r="KLV31" s="109"/>
      <c r="KLW31" s="109"/>
      <c r="KLX31" s="109"/>
      <c r="KLY31" s="109"/>
      <c r="KLZ31" s="109"/>
      <c r="KMA31" s="109"/>
      <c r="KMB31" s="109"/>
      <c r="KMC31" s="109"/>
      <c r="KMD31" s="109"/>
      <c r="KME31" s="109"/>
      <c r="KMF31" s="109"/>
      <c r="KMG31" s="109"/>
      <c r="KMH31" s="109"/>
      <c r="KMI31" s="109"/>
      <c r="KMJ31" s="109"/>
      <c r="KMK31" s="109"/>
      <c r="KML31" s="109"/>
      <c r="KMM31" s="109"/>
      <c r="KMN31" s="109"/>
      <c r="KMO31" s="109"/>
      <c r="KMP31" s="109"/>
      <c r="KMQ31" s="109"/>
      <c r="KMR31" s="109"/>
      <c r="KMS31" s="109"/>
      <c r="KMT31" s="109"/>
      <c r="KMU31" s="109"/>
      <c r="KMV31" s="109"/>
      <c r="KMW31" s="109"/>
      <c r="KMX31" s="109"/>
      <c r="KMY31" s="109"/>
      <c r="KMZ31" s="109"/>
      <c r="KNA31" s="109"/>
      <c r="KNB31" s="109"/>
      <c r="KNC31" s="109"/>
      <c r="KND31" s="109"/>
      <c r="KNE31" s="109"/>
      <c r="KNF31" s="109"/>
      <c r="KNG31" s="109"/>
      <c r="KNH31" s="109"/>
      <c r="KNI31" s="109"/>
      <c r="KNJ31" s="109"/>
      <c r="KNK31" s="109"/>
      <c r="KNL31" s="109"/>
      <c r="KNM31" s="109"/>
      <c r="KNN31" s="109"/>
      <c r="KNO31" s="109"/>
      <c r="KNP31" s="109"/>
      <c r="KNQ31" s="109"/>
      <c r="KNR31" s="109"/>
      <c r="KNS31" s="109"/>
      <c r="KNT31" s="109"/>
      <c r="KNU31" s="109"/>
      <c r="KNV31" s="109"/>
      <c r="KNW31" s="109"/>
      <c r="KNX31" s="109"/>
      <c r="KNY31" s="109"/>
      <c r="KNZ31" s="109"/>
      <c r="KOA31" s="109"/>
      <c r="KOB31" s="109"/>
      <c r="KOC31" s="109"/>
      <c r="KOD31" s="109"/>
      <c r="KOE31" s="109"/>
      <c r="KOF31" s="109"/>
      <c r="KOG31" s="109"/>
      <c r="KOH31" s="109"/>
      <c r="KOI31" s="109"/>
      <c r="KOJ31" s="109"/>
      <c r="KOK31" s="109"/>
      <c r="KOL31" s="109"/>
      <c r="KOM31" s="109"/>
      <c r="KON31" s="109"/>
      <c r="KOO31" s="109"/>
      <c r="KOP31" s="109"/>
      <c r="KOQ31" s="109"/>
      <c r="KOR31" s="109"/>
      <c r="KOS31" s="109"/>
      <c r="KOT31" s="109"/>
      <c r="KOU31" s="109"/>
      <c r="KOV31" s="109"/>
      <c r="KOW31" s="109"/>
      <c r="KOX31" s="109"/>
      <c r="KOY31" s="109"/>
      <c r="KOZ31" s="109"/>
      <c r="KPA31" s="109"/>
      <c r="KPB31" s="109"/>
      <c r="KPC31" s="109"/>
      <c r="KPD31" s="109"/>
      <c r="KPE31" s="109"/>
      <c r="KPF31" s="109"/>
      <c r="KPG31" s="109"/>
      <c r="KPH31" s="109"/>
      <c r="KPI31" s="109"/>
      <c r="KPJ31" s="109"/>
      <c r="KPK31" s="109"/>
      <c r="KPL31" s="109"/>
      <c r="KPM31" s="109"/>
      <c r="KPN31" s="109"/>
      <c r="KPO31" s="109"/>
      <c r="KPP31" s="109"/>
      <c r="KPQ31" s="109"/>
      <c r="KPR31" s="109"/>
      <c r="KPS31" s="109"/>
      <c r="KPT31" s="109"/>
      <c r="KPU31" s="109"/>
      <c r="KPV31" s="109"/>
      <c r="KPW31" s="109"/>
      <c r="KPX31" s="109"/>
      <c r="KPY31" s="109"/>
      <c r="KPZ31" s="109"/>
      <c r="KQA31" s="109"/>
      <c r="KQB31" s="109"/>
      <c r="KQC31" s="109"/>
      <c r="KQD31" s="109"/>
      <c r="KQE31" s="109"/>
      <c r="KQF31" s="109"/>
      <c r="KQG31" s="109"/>
      <c r="KQH31" s="109"/>
      <c r="KQI31" s="109"/>
      <c r="KQJ31" s="109"/>
      <c r="KQK31" s="109"/>
      <c r="KQL31" s="109"/>
      <c r="KQM31" s="109"/>
      <c r="KQN31" s="109"/>
      <c r="KQO31" s="109"/>
      <c r="KQP31" s="109"/>
      <c r="KQQ31" s="109"/>
      <c r="KQR31" s="109"/>
      <c r="KQS31" s="109"/>
      <c r="KQT31" s="109"/>
      <c r="KQU31" s="109"/>
      <c r="KQV31" s="109"/>
      <c r="KQW31" s="109"/>
      <c r="KQX31" s="109"/>
      <c r="KQY31" s="109"/>
      <c r="KQZ31" s="109"/>
      <c r="KRA31" s="109"/>
      <c r="KRB31" s="109"/>
      <c r="KRC31" s="109"/>
      <c r="KRD31" s="109"/>
      <c r="KRE31" s="109"/>
      <c r="KRF31" s="109"/>
      <c r="KRG31" s="109"/>
      <c r="KRH31" s="109"/>
      <c r="KRI31" s="109"/>
      <c r="KRJ31" s="109"/>
      <c r="KRK31" s="109"/>
      <c r="KRL31" s="109"/>
      <c r="KRM31" s="109"/>
      <c r="KRN31" s="109"/>
      <c r="KRO31" s="109"/>
      <c r="KRP31" s="109"/>
      <c r="KRQ31" s="109"/>
      <c r="KRR31" s="109"/>
      <c r="KRS31" s="109"/>
      <c r="KRT31" s="109"/>
      <c r="KRU31" s="109"/>
      <c r="KRV31" s="109"/>
      <c r="KRW31" s="109"/>
      <c r="KRX31" s="109"/>
      <c r="KRY31" s="109"/>
      <c r="KRZ31" s="109"/>
      <c r="KSA31" s="109"/>
      <c r="KSB31" s="109"/>
      <c r="KSC31" s="109"/>
      <c r="KSD31" s="109"/>
      <c r="KSE31" s="109"/>
      <c r="KSF31" s="109"/>
      <c r="KSG31" s="109"/>
      <c r="KSH31" s="109"/>
      <c r="KSI31" s="109"/>
      <c r="KSJ31" s="109"/>
      <c r="KSK31" s="109"/>
      <c r="KSL31" s="109"/>
      <c r="KSM31" s="109"/>
      <c r="KSN31" s="109"/>
      <c r="KSO31" s="109"/>
      <c r="KSP31" s="109"/>
      <c r="KSQ31" s="109"/>
      <c r="KSR31" s="109"/>
      <c r="KSS31" s="109"/>
      <c r="KST31" s="109"/>
      <c r="KSU31" s="109"/>
      <c r="KSV31" s="109"/>
      <c r="KSW31" s="109"/>
      <c r="KSX31" s="109"/>
      <c r="KSY31" s="109"/>
      <c r="KSZ31" s="109"/>
      <c r="KTA31" s="109"/>
      <c r="KTB31" s="109"/>
      <c r="KTC31" s="109"/>
      <c r="KTD31" s="109"/>
      <c r="KTE31" s="109"/>
      <c r="KTF31" s="109"/>
      <c r="KTG31" s="109"/>
      <c r="KTH31" s="109"/>
      <c r="KTI31" s="109"/>
      <c r="KTJ31" s="109"/>
      <c r="KTK31" s="109"/>
      <c r="KTL31" s="109"/>
      <c r="KTM31" s="109"/>
      <c r="KTN31" s="109"/>
      <c r="KTO31" s="109"/>
      <c r="KTP31" s="109"/>
      <c r="KTQ31" s="109"/>
      <c r="KTR31" s="109"/>
      <c r="KTS31" s="109"/>
      <c r="KTT31" s="109"/>
      <c r="KTU31" s="109"/>
      <c r="KTV31" s="109"/>
      <c r="KTW31" s="109"/>
      <c r="KTX31" s="109"/>
      <c r="KTY31" s="109"/>
      <c r="KTZ31" s="109"/>
      <c r="KUA31" s="109"/>
      <c r="KUB31" s="109"/>
      <c r="KUC31" s="109"/>
      <c r="KUD31" s="109"/>
      <c r="KUE31" s="109"/>
      <c r="KUF31" s="109"/>
      <c r="KUG31" s="109"/>
      <c r="KUH31" s="109"/>
      <c r="KUI31" s="109"/>
      <c r="KUJ31" s="109"/>
      <c r="KUK31" s="109"/>
      <c r="KUL31" s="109"/>
      <c r="KUM31" s="109"/>
      <c r="KUN31" s="109"/>
      <c r="KUO31" s="109"/>
      <c r="KUP31" s="109"/>
      <c r="KUQ31" s="109"/>
      <c r="KUR31" s="109"/>
      <c r="KUS31" s="109"/>
      <c r="KUT31" s="109"/>
      <c r="KUU31" s="109"/>
      <c r="KUV31" s="109"/>
      <c r="KUW31" s="109"/>
      <c r="KUX31" s="109"/>
      <c r="KUY31" s="109"/>
      <c r="KUZ31" s="109"/>
      <c r="KVA31" s="109"/>
      <c r="KVB31" s="109"/>
      <c r="KVC31" s="109"/>
      <c r="KVD31" s="109"/>
      <c r="KVE31" s="109"/>
      <c r="KVF31" s="109"/>
      <c r="KVG31" s="109"/>
      <c r="KVH31" s="109"/>
      <c r="KVI31" s="109"/>
      <c r="KVJ31" s="109"/>
      <c r="KVK31" s="109"/>
      <c r="KVL31" s="109"/>
      <c r="KVM31" s="109"/>
      <c r="KVN31" s="109"/>
      <c r="KVO31" s="109"/>
      <c r="KVP31" s="109"/>
      <c r="KVQ31" s="109"/>
      <c r="KVR31" s="109"/>
      <c r="KVS31" s="109"/>
      <c r="KVT31" s="109"/>
      <c r="KVU31" s="109"/>
      <c r="KVV31" s="109"/>
      <c r="KVW31" s="109"/>
      <c r="KVX31" s="109"/>
      <c r="KVY31" s="109"/>
      <c r="KVZ31" s="109"/>
      <c r="KWA31" s="109"/>
      <c r="KWB31" s="109"/>
      <c r="KWC31" s="109"/>
      <c r="KWD31" s="109"/>
      <c r="KWE31" s="109"/>
      <c r="KWF31" s="109"/>
      <c r="KWG31" s="109"/>
      <c r="KWH31" s="109"/>
      <c r="KWI31" s="109"/>
      <c r="KWJ31" s="109"/>
      <c r="KWK31" s="109"/>
      <c r="KWL31" s="109"/>
      <c r="KWM31" s="109"/>
      <c r="KWN31" s="109"/>
      <c r="KWO31" s="109"/>
      <c r="KWP31" s="109"/>
      <c r="KWQ31" s="109"/>
      <c r="KWR31" s="109"/>
      <c r="KWS31" s="109"/>
      <c r="KWT31" s="109"/>
      <c r="KWU31" s="109"/>
      <c r="KWV31" s="109"/>
      <c r="KWW31" s="109"/>
      <c r="KWX31" s="109"/>
      <c r="KWY31" s="109"/>
      <c r="KWZ31" s="109"/>
      <c r="KXA31" s="109"/>
      <c r="KXB31" s="109"/>
      <c r="KXC31" s="109"/>
      <c r="KXD31" s="109"/>
      <c r="KXE31" s="109"/>
      <c r="KXF31" s="109"/>
      <c r="KXG31" s="109"/>
      <c r="KXH31" s="109"/>
      <c r="KXI31" s="109"/>
      <c r="KXJ31" s="109"/>
      <c r="KXK31" s="109"/>
      <c r="KXL31" s="109"/>
      <c r="KXM31" s="109"/>
      <c r="KXN31" s="109"/>
      <c r="KXO31" s="109"/>
      <c r="KXP31" s="109"/>
      <c r="KXQ31" s="109"/>
      <c r="KXR31" s="109"/>
      <c r="KXS31" s="109"/>
      <c r="KXT31" s="109"/>
      <c r="KXU31" s="109"/>
      <c r="KXV31" s="109"/>
      <c r="KXW31" s="109"/>
      <c r="KXX31" s="109"/>
      <c r="KXY31" s="109"/>
      <c r="KXZ31" s="109"/>
      <c r="KYA31" s="109"/>
      <c r="KYB31" s="109"/>
      <c r="KYC31" s="109"/>
      <c r="KYD31" s="109"/>
      <c r="KYE31" s="109"/>
      <c r="KYF31" s="109"/>
      <c r="KYG31" s="109"/>
      <c r="KYH31" s="109"/>
      <c r="KYI31" s="109"/>
      <c r="KYJ31" s="109"/>
      <c r="KYK31" s="109"/>
      <c r="KYL31" s="109"/>
      <c r="KYM31" s="109"/>
      <c r="KYN31" s="109"/>
      <c r="KYO31" s="109"/>
      <c r="KYP31" s="109"/>
      <c r="KYQ31" s="109"/>
      <c r="KYR31" s="109"/>
      <c r="KYS31" s="109"/>
      <c r="KYT31" s="109"/>
      <c r="KYU31" s="109"/>
      <c r="KYV31" s="109"/>
      <c r="KYW31" s="109"/>
      <c r="KYX31" s="109"/>
      <c r="KYY31" s="109"/>
      <c r="KYZ31" s="109"/>
      <c r="KZA31" s="109"/>
      <c r="KZB31" s="109"/>
      <c r="KZC31" s="109"/>
      <c r="KZD31" s="109"/>
      <c r="KZE31" s="109"/>
      <c r="KZF31" s="109"/>
      <c r="KZG31" s="109"/>
      <c r="KZH31" s="109"/>
      <c r="KZI31" s="109"/>
      <c r="KZJ31" s="109"/>
      <c r="KZK31" s="109"/>
      <c r="KZL31" s="109"/>
      <c r="KZM31" s="109"/>
      <c r="KZN31" s="109"/>
      <c r="KZO31" s="109"/>
      <c r="KZP31" s="109"/>
      <c r="KZQ31" s="109"/>
      <c r="KZR31" s="109"/>
      <c r="KZS31" s="109"/>
      <c r="KZT31" s="109"/>
      <c r="KZU31" s="109"/>
      <c r="KZV31" s="109"/>
      <c r="KZW31" s="109"/>
      <c r="KZX31" s="109"/>
      <c r="KZY31" s="109"/>
      <c r="KZZ31" s="109"/>
      <c r="LAA31" s="109"/>
      <c r="LAB31" s="109"/>
      <c r="LAC31" s="109"/>
      <c r="LAD31" s="109"/>
      <c r="LAE31" s="109"/>
      <c r="LAF31" s="109"/>
      <c r="LAG31" s="109"/>
      <c r="LAH31" s="109"/>
      <c r="LAI31" s="109"/>
      <c r="LAJ31" s="109"/>
      <c r="LAK31" s="109"/>
      <c r="LAL31" s="109"/>
      <c r="LAM31" s="109"/>
      <c r="LAN31" s="109"/>
      <c r="LAO31" s="109"/>
      <c r="LAP31" s="109"/>
      <c r="LAQ31" s="109"/>
      <c r="LAR31" s="109"/>
      <c r="LAS31" s="109"/>
      <c r="LAT31" s="109"/>
      <c r="LAU31" s="109"/>
      <c r="LAV31" s="109"/>
      <c r="LAW31" s="109"/>
      <c r="LAX31" s="109"/>
      <c r="LAY31" s="109"/>
      <c r="LAZ31" s="109"/>
      <c r="LBA31" s="109"/>
      <c r="LBB31" s="109"/>
      <c r="LBC31" s="109"/>
      <c r="LBD31" s="109"/>
      <c r="LBE31" s="109"/>
      <c r="LBF31" s="109"/>
      <c r="LBG31" s="109"/>
      <c r="LBH31" s="109"/>
      <c r="LBI31" s="109"/>
      <c r="LBJ31" s="109"/>
      <c r="LBK31" s="109"/>
      <c r="LBL31" s="109"/>
      <c r="LBM31" s="109"/>
      <c r="LBN31" s="109"/>
      <c r="LBO31" s="109"/>
      <c r="LBP31" s="109"/>
      <c r="LBQ31" s="109"/>
      <c r="LBR31" s="109"/>
      <c r="LBS31" s="109"/>
      <c r="LBT31" s="109"/>
      <c r="LBU31" s="109"/>
      <c r="LBV31" s="109"/>
      <c r="LBW31" s="109"/>
      <c r="LBX31" s="109"/>
      <c r="LBY31" s="109"/>
      <c r="LBZ31" s="109"/>
      <c r="LCA31" s="109"/>
      <c r="LCB31" s="109"/>
      <c r="LCC31" s="109"/>
      <c r="LCD31" s="109"/>
      <c r="LCE31" s="109"/>
      <c r="LCF31" s="109"/>
      <c r="LCG31" s="109"/>
      <c r="LCH31" s="109"/>
      <c r="LCI31" s="109"/>
      <c r="LCJ31" s="109"/>
      <c r="LCK31" s="109"/>
      <c r="LCL31" s="109"/>
      <c r="LCM31" s="109"/>
      <c r="LCN31" s="109"/>
      <c r="LCO31" s="109"/>
      <c r="LCP31" s="109"/>
      <c r="LCQ31" s="109"/>
      <c r="LCR31" s="109"/>
      <c r="LCS31" s="109"/>
      <c r="LCT31" s="109"/>
      <c r="LCU31" s="109"/>
      <c r="LCV31" s="109"/>
      <c r="LCW31" s="109"/>
      <c r="LCX31" s="109"/>
      <c r="LCY31" s="109"/>
      <c r="LCZ31" s="109"/>
      <c r="LDA31" s="109"/>
      <c r="LDB31" s="109"/>
      <c r="LDC31" s="109"/>
      <c r="LDD31" s="109"/>
      <c r="LDE31" s="109"/>
      <c r="LDF31" s="109"/>
      <c r="LDG31" s="109"/>
      <c r="LDH31" s="109"/>
      <c r="LDI31" s="109"/>
      <c r="LDJ31" s="109"/>
      <c r="LDK31" s="109"/>
      <c r="LDL31" s="109"/>
      <c r="LDM31" s="109"/>
      <c r="LDN31" s="109"/>
      <c r="LDO31" s="109"/>
      <c r="LDP31" s="109"/>
      <c r="LDQ31" s="109"/>
      <c r="LDR31" s="109"/>
      <c r="LDS31" s="109"/>
      <c r="LDT31" s="109"/>
      <c r="LDU31" s="109"/>
      <c r="LDV31" s="109"/>
      <c r="LDW31" s="109"/>
      <c r="LDX31" s="109"/>
      <c r="LDY31" s="109"/>
      <c r="LDZ31" s="109"/>
      <c r="LEA31" s="109"/>
      <c r="LEB31" s="109"/>
      <c r="LEC31" s="109"/>
      <c r="LED31" s="109"/>
      <c r="LEE31" s="109"/>
      <c r="LEF31" s="109"/>
      <c r="LEG31" s="109"/>
      <c r="LEH31" s="109"/>
      <c r="LEI31" s="109"/>
      <c r="LEJ31" s="109"/>
      <c r="LEK31" s="109"/>
      <c r="LEL31" s="109"/>
      <c r="LEM31" s="109"/>
      <c r="LEN31" s="109"/>
      <c r="LEO31" s="109"/>
      <c r="LEP31" s="109"/>
      <c r="LEQ31" s="109"/>
      <c r="LER31" s="109"/>
      <c r="LES31" s="109"/>
      <c r="LET31" s="109"/>
      <c r="LEU31" s="109"/>
      <c r="LEV31" s="109"/>
      <c r="LEW31" s="109"/>
      <c r="LEX31" s="109"/>
      <c r="LEY31" s="109"/>
      <c r="LEZ31" s="109"/>
      <c r="LFA31" s="109"/>
      <c r="LFB31" s="109"/>
      <c r="LFC31" s="109"/>
      <c r="LFD31" s="109"/>
      <c r="LFE31" s="109"/>
      <c r="LFF31" s="109"/>
      <c r="LFG31" s="109"/>
      <c r="LFH31" s="109"/>
      <c r="LFI31" s="109"/>
      <c r="LFJ31" s="109"/>
      <c r="LFK31" s="109"/>
      <c r="LFL31" s="109"/>
      <c r="LFM31" s="109"/>
      <c r="LFN31" s="109"/>
      <c r="LFO31" s="109"/>
      <c r="LFP31" s="109"/>
      <c r="LFQ31" s="109"/>
      <c r="LFR31" s="109"/>
      <c r="LFS31" s="109"/>
      <c r="LFT31" s="109"/>
      <c r="LFU31" s="109"/>
      <c r="LFV31" s="109"/>
      <c r="LFW31" s="109"/>
      <c r="LFX31" s="109"/>
      <c r="LFY31" s="109"/>
      <c r="LFZ31" s="109"/>
      <c r="LGA31" s="109"/>
      <c r="LGB31" s="109"/>
      <c r="LGC31" s="109"/>
      <c r="LGD31" s="109"/>
      <c r="LGE31" s="109"/>
      <c r="LGF31" s="109"/>
      <c r="LGG31" s="109"/>
      <c r="LGH31" s="109"/>
      <c r="LGI31" s="109"/>
      <c r="LGJ31" s="109"/>
      <c r="LGK31" s="109"/>
      <c r="LGL31" s="109"/>
      <c r="LGM31" s="109"/>
      <c r="LGN31" s="109"/>
      <c r="LGO31" s="109"/>
      <c r="LGP31" s="109"/>
      <c r="LGQ31" s="109"/>
      <c r="LGR31" s="109"/>
      <c r="LGS31" s="109"/>
      <c r="LGT31" s="109"/>
      <c r="LGU31" s="109"/>
      <c r="LGV31" s="109"/>
      <c r="LGW31" s="109"/>
      <c r="LGX31" s="109"/>
      <c r="LGY31" s="109"/>
      <c r="LGZ31" s="109"/>
      <c r="LHA31" s="109"/>
      <c r="LHB31" s="109"/>
      <c r="LHC31" s="109"/>
      <c r="LHD31" s="109"/>
      <c r="LHE31" s="109"/>
      <c r="LHF31" s="109"/>
      <c r="LHG31" s="109"/>
      <c r="LHH31" s="109"/>
      <c r="LHI31" s="109"/>
      <c r="LHJ31" s="109"/>
      <c r="LHK31" s="109"/>
      <c r="LHL31" s="109"/>
      <c r="LHM31" s="109"/>
      <c r="LHN31" s="109"/>
      <c r="LHO31" s="109"/>
      <c r="LHP31" s="109"/>
      <c r="LHQ31" s="109"/>
      <c r="LHR31" s="109"/>
      <c r="LHS31" s="109"/>
      <c r="LHT31" s="109"/>
      <c r="LHU31" s="109"/>
      <c r="LHV31" s="109"/>
      <c r="LHW31" s="109"/>
      <c r="LHX31" s="109"/>
      <c r="LHY31" s="109"/>
      <c r="LHZ31" s="109"/>
      <c r="LIA31" s="109"/>
      <c r="LIB31" s="109"/>
      <c r="LIC31" s="109"/>
      <c r="LID31" s="109"/>
      <c r="LIE31" s="109"/>
      <c r="LIF31" s="109"/>
      <c r="LIG31" s="109"/>
      <c r="LIH31" s="109"/>
      <c r="LII31" s="109"/>
      <c r="LIJ31" s="109"/>
      <c r="LIK31" s="109"/>
      <c r="LIL31" s="109"/>
      <c r="LIM31" s="109"/>
      <c r="LIN31" s="109"/>
      <c r="LIO31" s="109"/>
      <c r="LIP31" s="109"/>
      <c r="LIQ31" s="109"/>
      <c r="LIR31" s="109"/>
      <c r="LIS31" s="109"/>
      <c r="LIT31" s="109"/>
      <c r="LIU31" s="109"/>
      <c r="LIV31" s="109"/>
      <c r="LIW31" s="109"/>
      <c r="LIX31" s="109"/>
      <c r="LIY31" s="109"/>
      <c r="LIZ31" s="109"/>
      <c r="LJA31" s="109"/>
      <c r="LJB31" s="109"/>
      <c r="LJC31" s="109"/>
      <c r="LJD31" s="109"/>
      <c r="LJE31" s="109"/>
      <c r="LJF31" s="109"/>
      <c r="LJG31" s="109"/>
      <c r="LJH31" s="109"/>
      <c r="LJI31" s="109"/>
      <c r="LJJ31" s="109"/>
      <c r="LJK31" s="109"/>
      <c r="LJL31" s="109"/>
      <c r="LJM31" s="109"/>
      <c r="LJN31" s="109"/>
      <c r="LJO31" s="109"/>
      <c r="LJP31" s="109"/>
      <c r="LJQ31" s="109"/>
      <c r="LJR31" s="109"/>
      <c r="LJS31" s="109"/>
      <c r="LJT31" s="109"/>
      <c r="LJU31" s="109"/>
      <c r="LJV31" s="109"/>
      <c r="LJW31" s="109"/>
      <c r="LJX31" s="109"/>
      <c r="LJY31" s="109"/>
      <c r="LJZ31" s="109"/>
      <c r="LKA31" s="109"/>
      <c r="LKB31" s="109"/>
      <c r="LKC31" s="109"/>
      <c r="LKD31" s="109"/>
      <c r="LKE31" s="109"/>
      <c r="LKF31" s="109"/>
      <c r="LKG31" s="109"/>
      <c r="LKH31" s="109"/>
      <c r="LKI31" s="109"/>
      <c r="LKJ31" s="109"/>
      <c r="LKK31" s="109"/>
      <c r="LKL31" s="109"/>
      <c r="LKM31" s="109"/>
      <c r="LKN31" s="109"/>
      <c r="LKO31" s="109"/>
      <c r="LKP31" s="109"/>
      <c r="LKQ31" s="109"/>
      <c r="LKR31" s="109"/>
      <c r="LKS31" s="109"/>
      <c r="LKT31" s="109"/>
      <c r="LKU31" s="109"/>
      <c r="LKV31" s="109"/>
      <c r="LKW31" s="109"/>
      <c r="LKX31" s="109"/>
      <c r="LKY31" s="109"/>
      <c r="LKZ31" s="109"/>
      <c r="LLA31" s="109"/>
      <c r="LLB31" s="109"/>
      <c r="LLC31" s="109"/>
      <c r="LLD31" s="109"/>
      <c r="LLE31" s="109"/>
      <c r="LLF31" s="109"/>
      <c r="LLG31" s="109"/>
      <c r="LLH31" s="109"/>
      <c r="LLI31" s="109"/>
      <c r="LLJ31" s="109"/>
      <c r="LLK31" s="109"/>
      <c r="LLL31" s="109"/>
      <c r="LLM31" s="109"/>
      <c r="LLN31" s="109"/>
      <c r="LLO31" s="109"/>
      <c r="LLP31" s="109"/>
      <c r="LLQ31" s="109"/>
      <c r="LLR31" s="109"/>
      <c r="LLS31" s="109"/>
      <c r="LLT31" s="109"/>
      <c r="LLU31" s="109"/>
      <c r="LLV31" s="109"/>
      <c r="LLW31" s="109"/>
      <c r="LLX31" s="109"/>
      <c r="LLY31" s="109"/>
      <c r="LLZ31" s="109"/>
      <c r="LMA31" s="109"/>
      <c r="LMB31" s="109"/>
      <c r="LMC31" s="109"/>
      <c r="LMD31" s="109"/>
      <c r="LME31" s="109"/>
      <c r="LMF31" s="109"/>
      <c r="LMG31" s="109"/>
      <c r="LMH31" s="109"/>
      <c r="LMI31" s="109"/>
      <c r="LMJ31" s="109"/>
      <c r="LMK31" s="109"/>
      <c r="LML31" s="109"/>
      <c r="LMM31" s="109"/>
      <c r="LMN31" s="109"/>
      <c r="LMO31" s="109"/>
      <c r="LMP31" s="109"/>
      <c r="LMQ31" s="109"/>
      <c r="LMR31" s="109"/>
      <c r="LMS31" s="109"/>
      <c r="LMT31" s="109"/>
      <c r="LMU31" s="109"/>
      <c r="LMV31" s="109"/>
      <c r="LMW31" s="109"/>
      <c r="LMX31" s="109"/>
      <c r="LMY31" s="109"/>
      <c r="LMZ31" s="109"/>
      <c r="LNA31" s="109"/>
      <c r="LNB31" s="109"/>
      <c r="LNC31" s="109"/>
      <c r="LND31" s="109"/>
      <c r="LNE31" s="109"/>
      <c r="LNF31" s="109"/>
      <c r="LNG31" s="109"/>
      <c r="LNH31" s="109"/>
      <c r="LNI31" s="109"/>
      <c r="LNJ31" s="109"/>
      <c r="LNK31" s="109"/>
      <c r="LNL31" s="109"/>
      <c r="LNM31" s="109"/>
      <c r="LNN31" s="109"/>
      <c r="LNO31" s="109"/>
      <c r="LNP31" s="109"/>
      <c r="LNQ31" s="109"/>
      <c r="LNR31" s="109"/>
      <c r="LNS31" s="109"/>
      <c r="LNT31" s="109"/>
      <c r="LNU31" s="109"/>
      <c r="LNV31" s="109"/>
      <c r="LNW31" s="109"/>
      <c r="LNX31" s="109"/>
      <c r="LNY31" s="109"/>
      <c r="LNZ31" s="109"/>
      <c r="LOA31" s="109"/>
      <c r="LOB31" s="109"/>
      <c r="LOC31" s="109"/>
      <c r="LOD31" s="109"/>
      <c r="LOE31" s="109"/>
      <c r="LOF31" s="109"/>
      <c r="LOG31" s="109"/>
      <c r="LOH31" s="109"/>
      <c r="LOI31" s="109"/>
      <c r="LOJ31" s="109"/>
      <c r="LOK31" s="109"/>
      <c r="LOL31" s="109"/>
      <c r="LOM31" s="109"/>
      <c r="LON31" s="109"/>
      <c r="LOO31" s="109"/>
      <c r="LOP31" s="109"/>
      <c r="LOQ31" s="109"/>
      <c r="LOR31" s="109"/>
      <c r="LOS31" s="109"/>
      <c r="LOT31" s="109"/>
      <c r="LOU31" s="109"/>
      <c r="LOV31" s="109"/>
      <c r="LOW31" s="109"/>
      <c r="LOX31" s="109"/>
      <c r="LOY31" s="109"/>
      <c r="LOZ31" s="109"/>
      <c r="LPA31" s="109"/>
      <c r="LPB31" s="109"/>
      <c r="LPC31" s="109"/>
      <c r="LPD31" s="109"/>
      <c r="LPE31" s="109"/>
      <c r="LPF31" s="109"/>
      <c r="LPG31" s="109"/>
      <c r="LPH31" s="109"/>
      <c r="LPI31" s="109"/>
      <c r="LPJ31" s="109"/>
      <c r="LPK31" s="109"/>
      <c r="LPL31" s="109"/>
      <c r="LPM31" s="109"/>
      <c r="LPN31" s="109"/>
      <c r="LPO31" s="109"/>
      <c r="LPP31" s="109"/>
      <c r="LPQ31" s="109"/>
      <c r="LPR31" s="109"/>
      <c r="LPS31" s="109"/>
      <c r="LPT31" s="109"/>
      <c r="LPU31" s="109"/>
      <c r="LPV31" s="109"/>
      <c r="LPW31" s="109"/>
      <c r="LPX31" s="109"/>
      <c r="LPY31" s="109"/>
      <c r="LPZ31" s="109"/>
      <c r="LQA31" s="109"/>
      <c r="LQB31" s="109"/>
      <c r="LQC31" s="109"/>
      <c r="LQD31" s="109"/>
      <c r="LQE31" s="109"/>
      <c r="LQF31" s="109"/>
      <c r="LQG31" s="109"/>
      <c r="LQH31" s="109"/>
      <c r="LQI31" s="109"/>
      <c r="LQJ31" s="109"/>
      <c r="LQK31" s="109"/>
      <c r="LQL31" s="109"/>
      <c r="LQM31" s="109"/>
      <c r="LQN31" s="109"/>
      <c r="LQO31" s="109"/>
      <c r="LQP31" s="109"/>
      <c r="LQQ31" s="109"/>
      <c r="LQR31" s="109"/>
      <c r="LQS31" s="109"/>
      <c r="LQT31" s="109"/>
      <c r="LQU31" s="109"/>
      <c r="LQV31" s="109"/>
      <c r="LQW31" s="109"/>
      <c r="LQX31" s="109"/>
      <c r="LQY31" s="109"/>
      <c r="LQZ31" s="109"/>
      <c r="LRA31" s="109"/>
      <c r="LRB31" s="109"/>
      <c r="LRC31" s="109"/>
      <c r="LRD31" s="109"/>
      <c r="LRE31" s="109"/>
      <c r="LRF31" s="109"/>
      <c r="LRG31" s="109"/>
      <c r="LRH31" s="109"/>
      <c r="LRI31" s="109"/>
      <c r="LRJ31" s="109"/>
      <c r="LRK31" s="109"/>
      <c r="LRL31" s="109"/>
      <c r="LRM31" s="109"/>
      <c r="LRN31" s="109"/>
      <c r="LRO31" s="109"/>
      <c r="LRP31" s="109"/>
      <c r="LRQ31" s="109"/>
      <c r="LRR31" s="109"/>
      <c r="LRS31" s="109"/>
      <c r="LRT31" s="109"/>
      <c r="LRU31" s="109"/>
      <c r="LRV31" s="109"/>
      <c r="LRW31" s="109"/>
      <c r="LRX31" s="109"/>
      <c r="LRY31" s="109"/>
      <c r="LRZ31" s="109"/>
      <c r="LSA31" s="109"/>
      <c r="LSB31" s="109"/>
      <c r="LSC31" s="109"/>
      <c r="LSD31" s="109"/>
      <c r="LSE31" s="109"/>
      <c r="LSF31" s="109"/>
      <c r="LSG31" s="109"/>
      <c r="LSH31" s="109"/>
      <c r="LSI31" s="109"/>
      <c r="LSJ31" s="109"/>
      <c r="LSK31" s="109"/>
      <c r="LSL31" s="109"/>
      <c r="LSM31" s="109"/>
      <c r="LSN31" s="109"/>
      <c r="LSO31" s="109"/>
      <c r="LSP31" s="109"/>
      <c r="LSQ31" s="109"/>
      <c r="LSR31" s="109"/>
      <c r="LSS31" s="109"/>
      <c r="LST31" s="109"/>
      <c r="LSU31" s="109"/>
      <c r="LSV31" s="109"/>
      <c r="LSW31" s="109"/>
      <c r="LSX31" s="109"/>
      <c r="LSY31" s="109"/>
      <c r="LSZ31" s="109"/>
      <c r="LTA31" s="109"/>
      <c r="LTB31" s="109"/>
      <c r="LTC31" s="109"/>
      <c r="LTD31" s="109"/>
      <c r="LTE31" s="109"/>
      <c r="LTF31" s="109"/>
      <c r="LTG31" s="109"/>
      <c r="LTH31" s="109"/>
      <c r="LTI31" s="109"/>
      <c r="LTJ31" s="109"/>
      <c r="LTK31" s="109"/>
      <c r="LTL31" s="109"/>
      <c r="LTM31" s="109"/>
      <c r="LTN31" s="109"/>
      <c r="LTO31" s="109"/>
      <c r="LTP31" s="109"/>
      <c r="LTQ31" s="109"/>
      <c r="LTR31" s="109"/>
      <c r="LTS31" s="109"/>
      <c r="LTT31" s="109"/>
      <c r="LTU31" s="109"/>
      <c r="LTV31" s="109"/>
      <c r="LTW31" s="109"/>
      <c r="LTX31" s="109"/>
      <c r="LTY31" s="109"/>
      <c r="LTZ31" s="109"/>
      <c r="LUA31" s="109"/>
      <c r="LUB31" s="109"/>
      <c r="LUC31" s="109"/>
      <c r="LUD31" s="109"/>
      <c r="LUE31" s="109"/>
      <c r="LUF31" s="109"/>
      <c r="LUG31" s="109"/>
      <c r="LUH31" s="109"/>
      <c r="LUI31" s="109"/>
      <c r="LUJ31" s="109"/>
      <c r="LUK31" s="109"/>
      <c r="LUL31" s="109"/>
      <c r="LUM31" s="109"/>
      <c r="LUN31" s="109"/>
      <c r="LUO31" s="109"/>
      <c r="LUP31" s="109"/>
      <c r="LUQ31" s="109"/>
      <c r="LUR31" s="109"/>
      <c r="LUS31" s="109"/>
      <c r="LUT31" s="109"/>
      <c r="LUU31" s="109"/>
      <c r="LUV31" s="109"/>
      <c r="LUW31" s="109"/>
      <c r="LUX31" s="109"/>
      <c r="LUY31" s="109"/>
      <c r="LUZ31" s="109"/>
      <c r="LVA31" s="109"/>
      <c r="LVB31" s="109"/>
      <c r="LVC31" s="109"/>
      <c r="LVD31" s="109"/>
      <c r="LVE31" s="109"/>
      <c r="LVF31" s="109"/>
      <c r="LVG31" s="109"/>
      <c r="LVH31" s="109"/>
      <c r="LVI31" s="109"/>
      <c r="LVJ31" s="109"/>
      <c r="LVK31" s="109"/>
      <c r="LVL31" s="109"/>
      <c r="LVM31" s="109"/>
      <c r="LVN31" s="109"/>
      <c r="LVO31" s="109"/>
      <c r="LVP31" s="109"/>
      <c r="LVQ31" s="109"/>
      <c r="LVR31" s="109"/>
      <c r="LVS31" s="109"/>
      <c r="LVT31" s="109"/>
      <c r="LVU31" s="109"/>
      <c r="LVV31" s="109"/>
      <c r="LVW31" s="109"/>
      <c r="LVX31" s="109"/>
      <c r="LVY31" s="109"/>
      <c r="LVZ31" s="109"/>
      <c r="LWA31" s="109"/>
      <c r="LWB31" s="109"/>
      <c r="LWC31" s="109"/>
      <c r="LWD31" s="109"/>
      <c r="LWE31" s="109"/>
      <c r="LWF31" s="109"/>
      <c r="LWG31" s="109"/>
      <c r="LWH31" s="109"/>
      <c r="LWI31" s="109"/>
      <c r="LWJ31" s="109"/>
      <c r="LWK31" s="109"/>
      <c r="LWL31" s="109"/>
      <c r="LWM31" s="109"/>
      <c r="LWN31" s="109"/>
      <c r="LWO31" s="109"/>
      <c r="LWP31" s="109"/>
      <c r="LWQ31" s="109"/>
      <c r="LWR31" s="109"/>
      <c r="LWS31" s="109"/>
      <c r="LWT31" s="109"/>
      <c r="LWU31" s="109"/>
      <c r="LWV31" s="109"/>
      <c r="LWW31" s="109"/>
      <c r="LWX31" s="109"/>
      <c r="LWY31" s="109"/>
      <c r="LWZ31" s="109"/>
      <c r="LXA31" s="109"/>
      <c r="LXB31" s="109"/>
      <c r="LXC31" s="109"/>
      <c r="LXD31" s="109"/>
      <c r="LXE31" s="109"/>
      <c r="LXF31" s="109"/>
      <c r="LXG31" s="109"/>
      <c r="LXH31" s="109"/>
      <c r="LXI31" s="109"/>
      <c r="LXJ31" s="109"/>
      <c r="LXK31" s="109"/>
      <c r="LXL31" s="109"/>
      <c r="LXM31" s="109"/>
      <c r="LXN31" s="109"/>
      <c r="LXO31" s="109"/>
      <c r="LXP31" s="109"/>
      <c r="LXQ31" s="109"/>
      <c r="LXR31" s="109"/>
      <c r="LXS31" s="109"/>
      <c r="LXT31" s="109"/>
      <c r="LXU31" s="109"/>
      <c r="LXV31" s="109"/>
      <c r="LXW31" s="109"/>
      <c r="LXX31" s="109"/>
      <c r="LXY31" s="109"/>
      <c r="LXZ31" s="109"/>
      <c r="LYA31" s="109"/>
      <c r="LYB31" s="109"/>
      <c r="LYC31" s="109"/>
      <c r="LYD31" s="109"/>
      <c r="LYE31" s="109"/>
      <c r="LYF31" s="109"/>
      <c r="LYG31" s="109"/>
      <c r="LYH31" s="109"/>
      <c r="LYI31" s="109"/>
      <c r="LYJ31" s="109"/>
      <c r="LYK31" s="109"/>
      <c r="LYL31" s="109"/>
      <c r="LYM31" s="109"/>
      <c r="LYN31" s="109"/>
      <c r="LYO31" s="109"/>
      <c r="LYP31" s="109"/>
      <c r="LYQ31" s="109"/>
      <c r="LYR31" s="109"/>
      <c r="LYS31" s="109"/>
      <c r="LYT31" s="109"/>
      <c r="LYU31" s="109"/>
      <c r="LYV31" s="109"/>
      <c r="LYW31" s="109"/>
      <c r="LYX31" s="109"/>
      <c r="LYY31" s="109"/>
      <c r="LYZ31" s="109"/>
      <c r="LZA31" s="109"/>
      <c r="LZB31" s="109"/>
      <c r="LZC31" s="109"/>
      <c r="LZD31" s="109"/>
      <c r="LZE31" s="109"/>
      <c r="LZF31" s="109"/>
      <c r="LZG31" s="109"/>
      <c r="LZH31" s="109"/>
      <c r="LZI31" s="109"/>
      <c r="LZJ31" s="109"/>
      <c r="LZK31" s="109"/>
      <c r="LZL31" s="109"/>
      <c r="LZM31" s="109"/>
      <c r="LZN31" s="109"/>
      <c r="LZO31" s="109"/>
      <c r="LZP31" s="109"/>
      <c r="LZQ31" s="109"/>
      <c r="LZR31" s="109"/>
      <c r="LZS31" s="109"/>
      <c r="LZT31" s="109"/>
      <c r="LZU31" s="109"/>
      <c r="LZV31" s="109"/>
      <c r="LZW31" s="109"/>
      <c r="LZX31" s="109"/>
      <c r="LZY31" s="109"/>
      <c r="LZZ31" s="109"/>
      <c r="MAA31" s="109"/>
      <c r="MAB31" s="109"/>
      <c r="MAC31" s="109"/>
      <c r="MAD31" s="109"/>
      <c r="MAE31" s="109"/>
      <c r="MAF31" s="109"/>
      <c r="MAG31" s="109"/>
      <c r="MAH31" s="109"/>
      <c r="MAI31" s="109"/>
      <c r="MAJ31" s="109"/>
      <c r="MAK31" s="109"/>
      <c r="MAL31" s="109"/>
      <c r="MAM31" s="109"/>
      <c r="MAN31" s="109"/>
      <c r="MAO31" s="109"/>
      <c r="MAP31" s="109"/>
      <c r="MAQ31" s="109"/>
      <c r="MAR31" s="109"/>
      <c r="MAS31" s="109"/>
      <c r="MAT31" s="109"/>
      <c r="MAU31" s="109"/>
      <c r="MAV31" s="109"/>
      <c r="MAW31" s="109"/>
      <c r="MAX31" s="109"/>
      <c r="MAY31" s="109"/>
      <c r="MAZ31" s="109"/>
      <c r="MBA31" s="109"/>
      <c r="MBB31" s="109"/>
      <c r="MBC31" s="109"/>
      <c r="MBD31" s="109"/>
      <c r="MBE31" s="109"/>
      <c r="MBF31" s="109"/>
      <c r="MBG31" s="109"/>
      <c r="MBH31" s="109"/>
      <c r="MBI31" s="109"/>
      <c r="MBJ31" s="109"/>
      <c r="MBK31" s="109"/>
      <c r="MBL31" s="109"/>
      <c r="MBM31" s="109"/>
      <c r="MBN31" s="109"/>
      <c r="MBO31" s="109"/>
      <c r="MBP31" s="109"/>
      <c r="MBQ31" s="109"/>
      <c r="MBR31" s="109"/>
      <c r="MBS31" s="109"/>
      <c r="MBT31" s="109"/>
      <c r="MBU31" s="109"/>
      <c r="MBV31" s="109"/>
      <c r="MBW31" s="109"/>
      <c r="MBX31" s="109"/>
      <c r="MBY31" s="109"/>
      <c r="MBZ31" s="109"/>
      <c r="MCA31" s="109"/>
      <c r="MCB31" s="109"/>
      <c r="MCC31" s="109"/>
      <c r="MCD31" s="109"/>
      <c r="MCE31" s="109"/>
      <c r="MCF31" s="109"/>
      <c r="MCG31" s="109"/>
      <c r="MCH31" s="109"/>
      <c r="MCI31" s="109"/>
      <c r="MCJ31" s="109"/>
      <c r="MCK31" s="109"/>
      <c r="MCL31" s="109"/>
      <c r="MCM31" s="109"/>
      <c r="MCN31" s="109"/>
      <c r="MCO31" s="109"/>
      <c r="MCP31" s="109"/>
      <c r="MCQ31" s="109"/>
      <c r="MCR31" s="109"/>
      <c r="MCS31" s="109"/>
      <c r="MCT31" s="109"/>
      <c r="MCU31" s="109"/>
      <c r="MCV31" s="109"/>
      <c r="MCW31" s="109"/>
      <c r="MCX31" s="109"/>
      <c r="MCY31" s="109"/>
      <c r="MCZ31" s="109"/>
      <c r="MDA31" s="109"/>
      <c r="MDB31" s="109"/>
      <c r="MDC31" s="109"/>
      <c r="MDD31" s="109"/>
      <c r="MDE31" s="109"/>
      <c r="MDF31" s="109"/>
      <c r="MDG31" s="109"/>
      <c r="MDH31" s="109"/>
      <c r="MDI31" s="109"/>
      <c r="MDJ31" s="109"/>
      <c r="MDK31" s="109"/>
      <c r="MDL31" s="109"/>
      <c r="MDM31" s="109"/>
      <c r="MDN31" s="109"/>
      <c r="MDO31" s="109"/>
      <c r="MDP31" s="109"/>
      <c r="MDQ31" s="109"/>
      <c r="MDR31" s="109"/>
      <c r="MDS31" s="109"/>
      <c r="MDT31" s="109"/>
      <c r="MDU31" s="109"/>
      <c r="MDV31" s="109"/>
      <c r="MDW31" s="109"/>
      <c r="MDX31" s="109"/>
      <c r="MDY31" s="109"/>
      <c r="MDZ31" s="109"/>
      <c r="MEA31" s="109"/>
      <c r="MEB31" s="109"/>
      <c r="MEC31" s="109"/>
      <c r="MED31" s="109"/>
      <c r="MEE31" s="109"/>
      <c r="MEF31" s="109"/>
      <c r="MEG31" s="109"/>
      <c r="MEH31" s="109"/>
      <c r="MEI31" s="109"/>
      <c r="MEJ31" s="109"/>
      <c r="MEK31" s="109"/>
      <c r="MEL31" s="109"/>
      <c r="MEM31" s="109"/>
      <c r="MEN31" s="109"/>
      <c r="MEO31" s="109"/>
      <c r="MEP31" s="109"/>
      <c r="MEQ31" s="109"/>
      <c r="MER31" s="109"/>
      <c r="MES31" s="109"/>
      <c r="MET31" s="109"/>
      <c r="MEU31" s="109"/>
      <c r="MEV31" s="109"/>
      <c r="MEW31" s="109"/>
      <c r="MEX31" s="109"/>
      <c r="MEY31" s="109"/>
      <c r="MEZ31" s="109"/>
      <c r="MFA31" s="109"/>
      <c r="MFB31" s="109"/>
      <c r="MFC31" s="109"/>
      <c r="MFD31" s="109"/>
      <c r="MFE31" s="109"/>
      <c r="MFF31" s="109"/>
      <c r="MFG31" s="109"/>
      <c r="MFH31" s="109"/>
      <c r="MFI31" s="109"/>
      <c r="MFJ31" s="109"/>
      <c r="MFK31" s="109"/>
      <c r="MFL31" s="109"/>
      <c r="MFM31" s="109"/>
      <c r="MFN31" s="109"/>
      <c r="MFO31" s="109"/>
      <c r="MFP31" s="109"/>
      <c r="MFQ31" s="109"/>
      <c r="MFR31" s="109"/>
      <c r="MFS31" s="109"/>
      <c r="MFT31" s="109"/>
      <c r="MFU31" s="109"/>
      <c r="MFV31" s="109"/>
      <c r="MFW31" s="109"/>
      <c r="MFX31" s="109"/>
      <c r="MFY31" s="109"/>
      <c r="MFZ31" s="109"/>
      <c r="MGA31" s="109"/>
      <c r="MGB31" s="109"/>
      <c r="MGC31" s="109"/>
      <c r="MGD31" s="109"/>
      <c r="MGE31" s="109"/>
      <c r="MGF31" s="109"/>
      <c r="MGG31" s="109"/>
      <c r="MGH31" s="109"/>
      <c r="MGI31" s="109"/>
      <c r="MGJ31" s="109"/>
      <c r="MGK31" s="109"/>
      <c r="MGL31" s="109"/>
      <c r="MGM31" s="109"/>
      <c r="MGN31" s="109"/>
      <c r="MGO31" s="109"/>
      <c r="MGP31" s="109"/>
      <c r="MGQ31" s="109"/>
      <c r="MGR31" s="109"/>
      <c r="MGS31" s="109"/>
      <c r="MGT31" s="109"/>
      <c r="MGU31" s="109"/>
      <c r="MGV31" s="109"/>
      <c r="MGW31" s="109"/>
      <c r="MGX31" s="109"/>
      <c r="MGY31" s="109"/>
      <c r="MGZ31" s="109"/>
      <c r="MHA31" s="109"/>
      <c r="MHB31" s="109"/>
      <c r="MHC31" s="109"/>
      <c r="MHD31" s="109"/>
      <c r="MHE31" s="109"/>
      <c r="MHF31" s="109"/>
      <c r="MHG31" s="109"/>
      <c r="MHH31" s="109"/>
      <c r="MHI31" s="109"/>
      <c r="MHJ31" s="109"/>
      <c r="MHK31" s="109"/>
      <c r="MHL31" s="109"/>
      <c r="MHM31" s="109"/>
      <c r="MHN31" s="109"/>
      <c r="MHO31" s="109"/>
      <c r="MHP31" s="109"/>
      <c r="MHQ31" s="109"/>
      <c r="MHR31" s="109"/>
      <c r="MHS31" s="109"/>
      <c r="MHT31" s="109"/>
      <c r="MHU31" s="109"/>
      <c r="MHV31" s="109"/>
      <c r="MHW31" s="109"/>
      <c r="MHX31" s="109"/>
      <c r="MHY31" s="109"/>
      <c r="MHZ31" s="109"/>
      <c r="MIA31" s="109"/>
      <c r="MIB31" s="109"/>
      <c r="MIC31" s="109"/>
      <c r="MID31" s="109"/>
      <c r="MIE31" s="109"/>
      <c r="MIF31" s="109"/>
      <c r="MIG31" s="109"/>
      <c r="MIH31" s="109"/>
      <c r="MII31" s="109"/>
      <c r="MIJ31" s="109"/>
      <c r="MIK31" s="109"/>
      <c r="MIL31" s="109"/>
      <c r="MIM31" s="109"/>
      <c r="MIN31" s="109"/>
      <c r="MIO31" s="109"/>
      <c r="MIP31" s="109"/>
      <c r="MIQ31" s="109"/>
      <c r="MIR31" s="109"/>
      <c r="MIS31" s="109"/>
      <c r="MIT31" s="109"/>
      <c r="MIU31" s="109"/>
      <c r="MIV31" s="109"/>
      <c r="MIW31" s="109"/>
      <c r="MIX31" s="109"/>
      <c r="MIY31" s="109"/>
      <c r="MIZ31" s="109"/>
      <c r="MJA31" s="109"/>
      <c r="MJB31" s="109"/>
      <c r="MJC31" s="109"/>
      <c r="MJD31" s="109"/>
      <c r="MJE31" s="109"/>
      <c r="MJF31" s="109"/>
      <c r="MJG31" s="109"/>
      <c r="MJH31" s="109"/>
      <c r="MJI31" s="109"/>
      <c r="MJJ31" s="109"/>
      <c r="MJK31" s="109"/>
      <c r="MJL31" s="109"/>
      <c r="MJM31" s="109"/>
      <c r="MJN31" s="109"/>
      <c r="MJO31" s="109"/>
      <c r="MJP31" s="109"/>
      <c r="MJQ31" s="109"/>
      <c r="MJR31" s="109"/>
      <c r="MJS31" s="109"/>
      <c r="MJT31" s="109"/>
      <c r="MJU31" s="109"/>
      <c r="MJV31" s="109"/>
      <c r="MJW31" s="109"/>
      <c r="MJX31" s="109"/>
      <c r="MJY31" s="109"/>
      <c r="MJZ31" s="109"/>
      <c r="MKA31" s="109"/>
      <c r="MKB31" s="109"/>
      <c r="MKC31" s="109"/>
      <c r="MKD31" s="109"/>
      <c r="MKE31" s="109"/>
      <c r="MKF31" s="109"/>
      <c r="MKG31" s="109"/>
      <c r="MKH31" s="109"/>
      <c r="MKI31" s="109"/>
      <c r="MKJ31" s="109"/>
      <c r="MKK31" s="109"/>
      <c r="MKL31" s="109"/>
      <c r="MKM31" s="109"/>
      <c r="MKN31" s="109"/>
      <c r="MKO31" s="109"/>
      <c r="MKP31" s="109"/>
      <c r="MKQ31" s="109"/>
      <c r="MKR31" s="109"/>
      <c r="MKS31" s="109"/>
      <c r="MKT31" s="109"/>
      <c r="MKU31" s="109"/>
      <c r="MKV31" s="109"/>
      <c r="MKW31" s="109"/>
      <c r="MKX31" s="109"/>
      <c r="MKY31" s="109"/>
      <c r="MKZ31" s="109"/>
      <c r="MLA31" s="109"/>
      <c r="MLB31" s="109"/>
      <c r="MLC31" s="109"/>
      <c r="MLD31" s="109"/>
      <c r="MLE31" s="109"/>
      <c r="MLF31" s="109"/>
      <c r="MLG31" s="109"/>
      <c r="MLH31" s="109"/>
      <c r="MLI31" s="109"/>
      <c r="MLJ31" s="109"/>
      <c r="MLK31" s="109"/>
      <c r="MLL31" s="109"/>
      <c r="MLM31" s="109"/>
      <c r="MLN31" s="109"/>
      <c r="MLO31" s="109"/>
      <c r="MLP31" s="109"/>
      <c r="MLQ31" s="109"/>
      <c r="MLR31" s="109"/>
      <c r="MLS31" s="109"/>
      <c r="MLT31" s="109"/>
      <c r="MLU31" s="109"/>
      <c r="MLV31" s="109"/>
      <c r="MLW31" s="109"/>
      <c r="MLX31" s="109"/>
      <c r="MLY31" s="109"/>
      <c r="MLZ31" s="109"/>
      <c r="MMA31" s="109"/>
      <c r="MMB31" s="109"/>
      <c r="MMC31" s="109"/>
      <c r="MMD31" s="109"/>
      <c r="MME31" s="109"/>
      <c r="MMF31" s="109"/>
      <c r="MMG31" s="109"/>
      <c r="MMH31" s="109"/>
      <c r="MMI31" s="109"/>
      <c r="MMJ31" s="109"/>
      <c r="MMK31" s="109"/>
      <c r="MML31" s="109"/>
      <c r="MMM31" s="109"/>
      <c r="MMN31" s="109"/>
      <c r="MMO31" s="109"/>
      <c r="MMP31" s="109"/>
      <c r="MMQ31" s="109"/>
      <c r="MMR31" s="109"/>
      <c r="MMS31" s="109"/>
      <c r="MMT31" s="109"/>
      <c r="MMU31" s="109"/>
      <c r="MMV31" s="109"/>
      <c r="MMW31" s="109"/>
      <c r="MMX31" s="109"/>
      <c r="MMY31" s="109"/>
      <c r="MMZ31" s="109"/>
      <c r="MNA31" s="109"/>
      <c r="MNB31" s="109"/>
      <c r="MNC31" s="109"/>
      <c r="MND31" s="109"/>
      <c r="MNE31" s="109"/>
      <c r="MNF31" s="109"/>
      <c r="MNG31" s="109"/>
      <c r="MNH31" s="109"/>
      <c r="MNI31" s="109"/>
      <c r="MNJ31" s="109"/>
      <c r="MNK31" s="109"/>
      <c r="MNL31" s="109"/>
      <c r="MNM31" s="109"/>
      <c r="MNN31" s="109"/>
      <c r="MNO31" s="109"/>
      <c r="MNP31" s="109"/>
      <c r="MNQ31" s="109"/>
      <c r="MNR31" s="109"/>
      <c r="MNS31" s="109"/>
      <c r="MNT31" s="109"/>
      <c r="MNU31" s="109"/>
      <c r="MNV31" s="109"/>
      <c r="MNW31" s="109"/>
      <c r="MNX31" s="109"/>
      <c r="MNY31" s="109"/>
      <c r="MNZ31" s="109"/>
      <c r="MOA31" s="109"/>
      <c r="MOB31" s="109"/>
      <c r="MOC31" s="109"/>
      <c r="MOD31" s="109"/>
      <c r="MOE31" s="109"/>
      <c r="MOF31" s="109"/>
      <c r="MOG31" s="109"/>
      <c r="MOH31" s="109"/>
      <c r="MOI31" s="109"/>
      <c r="MOJ31" s="109"/>
      <c r="MOK31" s="109"/>
      <c r="MOL31" s="109"/>
      <c r="MOM31" s="109"/>
      <c r="MON31" s="109"/>
      <c r="MOO31" s="109"/>
      <c r="MOP31" s="109"/>
      <c r="MOQ31" s="109"/>
      <c r="MOR31" s="109"/>
      <c r="MOS31" s="109"/>
      <c r="MOT31" s="109"/>
      <c r="MOU31" s="109"/>
      <c r="MOV31" s="109"/>
      <c r="MOW31" s="109"/>
      <c r="MOX31" s="109"/>
      <c r="MOY31" s="109"/>
      <c r="MOZ31" s="109"/>
      <c r="MPA31" s="109"/>
      <c r="MPB31" s="109"/>
      <c r="MPC31" s="109"/>
      <c r="MPD31" s="109"/>
      <c r="MPE31" s="109"/>
      <c r="MPF31" s="109"/>
      <c r="MPG31" s="109"/>
      <c r="MPH31" s="109"/>
      <c r="MPI31" s="109"/>
      <c r="MPJ31" s="109"/>
      <c r="MPK31" s="109"/>
      <c r="MPL31" s="109"/>
      <c r="MPM31" s="109"/>
      <c r="MPN31" s="109"/>
      <c r="MPO31" s="109"/>
      <c r="MPP31" s="109"/>
      <c r="MPQ31" s="109"/>
      <c r="MPR31" s="109"/>
      <c r="MPS31" s="109"/>
      <c r="MPT31" s="109"/>
      <c r="MPU31" s="109"/>
      <c r="MPV31" s="109"/>
      <c r="MPW31" s="109"/>
      <c r="MPX31" s="109"/>
      <c r="MPY31" s="109"/>
      <c r="MPZ31" s="109"/>
      <c r="MQA31" s="109"/>
      <c r="MQB31" s="109"/>
      <c r="MQC31" s="109"/>
      <c r="MQD31" s="109"/>
      <c r="MQE31" s="109"/>
      <c r="MQF31" s="109"/>
      <c r="MQG31" s="109"/>
      <c r="MQH31" s="109"/>
      <c r="MQI31" s="109"/>
      <c r="MQJ31" s="109"/>
      <c r="MQK31" s="109"/>
      <c r="MQL31" s="109"/>
      <c r="MQM31" s="109"/>
      <c r="MQN31" s="109"/>
      <c r="MQO31" s="109"/>
      <c r="MQP31" s="109"/>
      <c r="MQQ31" s="109"/>
      <c r="MQR31" s="109"/>
      <c r="MQS31" s="109"/>
      <c r="MQT31" s="109"/>
      <c r="MQU31" s="109"/>
      <c r="MQV31" s="109"/>
      <c r="MQW31" s="109"/>
      <c r="MQX31" s="109"/>
      <c r="MQY31" s="109"/>
      <c r="MQZ31" s="109"/>
      <c r="MRA31" s="109"/>
      <c r="MRB31" s="109"/>
      <c r="MRC31" s="109"/>
      <c r="MRD31" s="109"/>
      <c r="MRE31" s="109"/>
      <c r="MRF31" s="109"/>
      <c r="MRG31" s="109"/>
      <c r="MRH31" s="109"/>
      <c r="MRI31" s="109"/>
      <c r="MRJ31" s="109"/>
      <c r="MRK31" s="109"/>
      <c r="MRL31" s="109"/>
      <c r="MRM31" s="109"/>
      <c r="MRN31" s="109"/>
      <c r="MRO31" s="109"/>
      <c r="MRP31" s="109"/>
      <c r="MRQ31" s="109"/>
      <c r="MRR31" s="109"/>
      <c r="MRS31" s="109"/>
      <c r="MRT31" s="109"/>
      <c r="MRU31" s="109"/>
      <c r="MRV31" s="109"/>
      <c r="MRW31" s="109"/>
      <c r="MRX31" s="109"/>
      <c r="MRY31" s="109"/>
      <c r="MRZ31" s="109"/>
      <c r="MSA31" s="109"/>
      <c r="MSB31" s="109"/>
      <c r="MSC31" s="109"/>
      <c r="MSD31" s="109"/>
      <c r="MSE31" s="109"/>
      <c r="MSF31" s="109"/>
      <c r="MSG31" s="109"/>
      <c r="MSH31" s="109"/>
      <c r="MSI31" s="109"/>
      <c r="MSJ31" s="109"/>
      <c r="MSK31" s="109"/>
      <c r="MSL31" s="109"/>
      <c r="MSM31" s="109"/>
      <c r="MSN31" s="109"/>
      <c r="MSO31" s="109"/>
      <c r="MSP31" s="109"/>
      <c r="MSQ31" s="109"/>
      <c r="MSR31" s="109"/>
      <c r="MSS31" s="109"/>
      <c r="MST31" s="109"/>
      <c r="MSU31" s="109"/>
      <c r="MSV31" s="109"/>
      <c r="MSW31" s="109"/>
      <c r="MSX31" s="109"/>
      <c r="MSY31" s="109"/>
      <c r="MSZ31" s="109"/>
      <c r="MTA31" s="109"/>
      <c r="MTB31" s="109"/>
      <c r="MTC31" s="109"/>
      <c r="MTD31" s="109"/>
      <c r="MTE31" s="109"/>
      <c r="MTF31" s="109"/>
      <c r="MTG31" s="109"/>
      <c r="MTH31" s="109"/>
      <c r="MTI31" s="109"/>
      <c r="MTJ31" s="109"/>
      <c r="MTK31" s="109"/>
      <c r="MTL31" s="109"/>
      <c r="MTM31" s="109"/>
      <c r="MTN31" s="109"/>
      <c r="MTO31" s="109"/>
      <c r="MTP31" s="109"/>
      <c r="MTQ31" s="109"/>
      <c r="MTR31" s="109"/>
      <c r="MTS31" s="109"/>
      <c r="MTT31" s="109"/>
      <c r="MTU31" s="109"/>
      <c r="MTV31" s="109"/>
      <c r="MTW31" s="109"/>
      <c r="MTX31" s="109"/>
      <c r="MTY31" s="109"/>
      <c r="MTZ31" s="109"/>
      <c r="MUA31" s="109"/>
      <c r="MUB31" s="109"/>
      <c r="MUC31" s="109"/>
      <c r="MUD31" s="109"/>
      <c r="MUE31" s="109"/>
      <c r="MUF31" s="109"/>
      <c r="MUG31" s="109"/>
      <c r="MUH31" s="109"/>
      <c r="MUI31" s="109"/>
      <c r="MUJ31" s="109"/>
      <c r="MUK31" s="109"/>
      <c r="MUL31" s="109"/>
      <c r="MUM31" s="109"/>
      <c r="MUN31" s="109"/>
      <c r="MUO31" s="109"/>
      <c r="MUP31" s="109"/>
      <c r="MUQ31" s="109"/>
      <c r="MUR31" s="109"/>
      <c r="MUS31" s="109"/>
      <c r="MUT31" s="109"/>
      <c r="MUU31" s="109"/>
      <c r="MUV31" s="109"/>
      <c r="MUW31" s="109"/>
      <c r="MUX31" s="109"/>
      <c r="MUY31" s="109"/>
      <c r="MUZ31" s="109"/>
      <c r="MVA31" s="109"/>
      <c r="MVB31" s="109"/>
      <c r="MVC31" s="109"/>
      <c r="MVD31" s="109"/>
      <c r="MVE31" s="109"/>
      <c r="MVF31" s="109"/>
      <c r="MVG31" s="109"/>
      <c r="MVH31" s="109"/>
      <c r="MVI31" s="109"/>
      <c r="MVJ31" s="109"/>
      <c r="MVK31" s="109"/>
      <c r="MVL31" s="109"/>
      <c r="MVM31" s="109"/>
      <c r="MVN31" s="109"/>
      <c r="MVO31" s="109"/>
      <c r="MVP31" s="109"/>
      <c r="MVQ31" s="109"/>
      <c r="MVR31" s="109"/>
      <c r="MVS31" s="109"/>
      <c r="MVT31" s="109"/>
      <c r="MVU31" s="109"/>
      <c r="MVV31" s="109"/>
      <c r="MVW31" s="109"/>
      <c r="MVX31" s="109"/>
      <c r="MVY31" s="109"/>
      <c r="MVZ31" s="109"/>
      <c r="MWA31" s="109"/>
      <c r="MWB31" s="109"/>
      <c r="MWC31" s="109"/>
      <c r="MWD31" s="109"/>
      <c r="MWE31" s="109"/>
      <c r="MWF31" s="109"/>
      <c r="MWG31" s="109"/>
      <c r="MWH31" s="109"/>
      <c r="MWI31" s="109"/>
      <c r="MWJ31" s="109"/>
      <c r="MWK31" s="109"/>
      <c r="MWL31" s="109"/>
      <c r="MWM31" s="109"/>
      <c r="MWN31" s="109"/>
      <c r="MWO31" s="109"/>
      <c r="MWP31" s="109"/>
      <c r="MWQ31" s="109"/>
      <c r="MWR31" s="109"/>
      <c r="MWS31" s="109"/>
      <c r="MWT31" s="109"/>
      <c r="MWU31" s="109"/>
      <c r="MWV31" s="109"/>
      <c r="MWW31" s="109"/>
      <c r="MWX31" s="109"/>
      <c r="MWY31" s="109"/>
      <c r="MWZ31" s="109"/>
      <c r="MXA31" s="109"/>
      <c r="MXB31" s="109"/>
      <c r="MXC31" s="109"/>
      <c r="MXD31" s="109"/>
      <c r="MXE31" s="109"/>
      <c r="MXF31" s="109"/>
      <c r="MXG31" s="109"/>
      <c r="MXH31" s="109"/>
      <c r="MXI31" s="109"/>
      <c r="MXJ31" s="109"/>
      <c r="MXK31" s="109"/>
      <c r="MXL31" s="109"/>
      <c r="MXM31" s="109"/>
      <c r="MXN31" s="109"/>
      <c r="MXO31" s="109"/>
      <c r="MXP31" s="109"/>
      <c r="MXQ31" s="109"/>
      <c r="MXR31" s="109"/>
      <c r="MXS31" s="109"/>
      <c r="MXT31" s="109"/>
      <c r="MXU31" s="109"/>
      <c r="MXV31" s="109"/>
      <c r="MXW31" s="109"/>
      <c r="MXX31" s="109"/>
      <c r="MXY31" s="109"/>
      <c r="MXZ31" s="109"/>
      <c r="MYA31" s="109"/>
      <c r="MYB31" s="109"/>
      <c r="MYC31" s="109"/>
      <c r="MYD31" s="109"/>
      <c r="MYE31" s="109"/>
      <c r="MYF31" s="109"/>
      <c r="MYG31" s="109"/>
      <c r="MYH31" s="109"/>
      <c r="MYI31" s="109"/>
      <c r="MYJ31" s="109"/>
      <c r="MYK31" s="109"/>
      <c r="MYL31" s="109"/>
      <c r="MYM31" s="109"/>
      <c r="MYN31" s="109"/>
      <c r="MYO31" s="109"/>
      <c r="MYP31" s="109"/>
      <c r="MYQ31" s="109"/>
      <c r="MYR31" s="109"/>
      <c r="MYS31" s="109"/>
      <c r="MYT31" s="109"/>
      <c r="MYU31" s="109"/>
      <c r="MYV31" s="109"/>
      <c r="MYW31" s="109"/>
      <c r="MYX31" s="109"/>
      <c r="MYY31" s="109"/>
      <c r="MYZ31" s="109"/>
      <c r="MZA31" s="109"/>
      <c r="MZB31" s="109"/>
      <c r="MZC31" s="109"/>
      <c r="MZD31" s="109"/>
      <c r="MZE31" s="109"/>
      <c r="MZF31" s="109"/>
      <c r="MZG31" s="109"/>
      <c r="MZH31" s="109"/>
      <c r="MZI31" s="109"/>
      <c r="MZJ31" s="109"/>
      <c r="MZK31" s="109"/>
      <c r="MZL31" s="109"/>
      <c r="MZM31" s="109"/>
      <c r="MZN31" s="109"/>
      <c r="MZO31" s="109"/>
      <c r="MZP31" s="109"/>
      <c r="MZQ31" s="109"/>
      <c r="MZR31" s="109"/>
      <c r="MZS31" s="109"/>
      <c r="MZT31" s="109"/>
      <c r="MZU31" s="109"/>
      <c r="MZV31" s="109"/>
      <c r="MZW31" s="109"/>
      <c r="MZX31" s="109"/>
      <c r="MZY31" s="109"/>
      <c r="MZZ31" s="109"/>
      <c r="NAA31" s="109"/>
      <c r="NAB31" s="109"/>
      <c r="NAC31" s="109"/>
      <c r="NAD31" s="109"/>
      <c r="NAE31" s="109"/>
      <c r="NAF31" s="109"/>
      <c r="NAG31" s="109"/>
      <c r="NAH31" s="109"/>
      <c r="NAI31" s="109"/>
      <c r="NAJ31" s="109"/>
      <c r="NAK31" s="109"/>
      <c r="NAL31" s="109"/>
      <c r="NAM31" s="109"/>
      <c r="NAN31" s="109"/>
      <c r="NAO31" s="109"/>
      <c r="NAP31" s="109"/>
      <c r="NAQ31" s="109"/>
      <c r="NAR31" s="109"/>
      <c r="NAS31" s="109"/>
      <c r="NAT31" s="109"/>
      <c r="NAU31" s="109"/>
      <c r="NAV31" s="109"/>
      <c r="NAW31" s="109"/>
      <c r="NAX31" s="109"/>
      <c r="NAY31" s="109"/>
      <c r="NAZ31" s="109"/>
      <c r="NBA31" s="109"/>
      <c r="NBB31" s="109"/>
      <c r="NBC31" s="109"/>
      <c r="NBD31" s="109"/>
      <c r="NBE31" s="109"/>
      <c r="NBF31" s="109"/>
      <c r="NBG31" s="109"/>
      <c r="NBH31" s="109"/>
      <c r="NBI31" s="109"/>
      <c r="NBJ31" s="109"/>
      <c r="NBK31" s="109"/>
      <c r="NBL31" s="109"/>
      <c r="NBM31" s="109"/>
      <c r="NBN31" s="109"/>
      <c r="NBO31" s="109"/>
      <c r="NBP31" s="109"/>
      <c r="NBQ31" s="109"/>
      <c r="NBR31" s="109"/>
      <c r="NBS31" s="109"/>
      <c r="NBT31" s="109"/>
      <c r="NBU31" s="109"/>
      <c r="NBV31" s="109"/>
      <c r="NBW31" s="109"/>
      <c r="NBX31" s="109"/>
      <c r="NBY31" s="109"/>
      <c r="NBZ31" s="109"/>
      <c r="NCA31" s="109"/>
      <c r="NCB31" s="109"/>
      <c r="NCC31" s="109"/>
      <c r="NCD31" s="109"/>
      <c r="NCE31" s="109"/>
      <c r="NCF31" s="109"/>
      <c r="NCG31" s="109"/>
      <c r="NCH31" s="109"/>
      <c r="NCI31" s="109"/>
      <c r="NCJ31" s="109"/>
      <c r="NCK31" s="109"/>
      <c r="NCL31" s="109"/>
      <c r="NCM31" s="109"/>
      <c r="NCN31" s="109"/>
      <c r="NCO31" s="109"/>
      <c r="NCP31" s="109"/>
      <c r="NCQ31" s="109"/>
      <c r="NCR31" s="109"/>
      <c r="NCS31" s="109"/>
      <c r="NCT31" s="109"/>
      <c r="NCU31" s="109"/>
      <c r="NCV31" s="109"/>
      <c r="NCW31" s="109"/>
      <c r="NCX31" s="109"/>
      <c r="NCY31" s="109"/>
      <c r="NCZ31" s="109"/>
      <c r="NDA31" s="109"/>
      <c r="NDB31" s="109"/>
      <c r="NDC31" s="109"/>
      <c r="NDD31" s="109"/>
      <c r="NDE31" s="109"/>
      <c r="NDF31" s="109"/>
      <c r="NDG31" s="109"/>
      <c r="NDH31" s="109"/>
      <c r="NDI31" s="109"/>
      <c r="NDJ31" s="109"/>
      <c r="NDK31" s="109"/>
      <c r="NDL31" s="109"/>
      <c r="NDM31" s="109"/>
      <c r="NDN31" s="109"/>
      <c r="NDO31" s="109"/>
      <c r="NDP31" s="109"/>
      <c r="NDQ31" s="109"/>
      <c r="NDR31" s="109"/>
      <c r="NDS31" s="109"/>
      <c r="NDT31" s="109"/>
      <c r="NDU31" s="109"/>
      <c r="NDV31" s="109"/>
      <c r="NDW31" s="109"/>
      <c r="NDX31" s="109"/>
      <c r="NDY31" s="109"/>
      <c r="NDZ31" s="109"/>
      <c r="NEA31" s="109"/>
      <c r="NEB31" s="109"/>
      <c r="NEC31" s="109"/>
      <c r="NED31" s="109"/>
      <c r="NEE31" s="109"/>
      <c r="NEF31" s="109"/>
      <c r="NEG31" s="109"/>
      <c r="NEH31" s="109"/>
      <c r="NEI31" s="109"/>
      <c r="NEJ31" s="109"/>
      <c r="NEK31" s="109"/>
      <c r="NEL31" s="109"/>
      <c r="NEM31" s="109"/>
      <c r="NEN31" s="109"/>
      <c r="NEO31" s="109"/>
      <c r="NEP31" s="109"/>
      <c r="NEQ31" s="109"/>
      <c r="NER31" s="109"/>
      <c r="NES31" s="109"/>
      <c r="NET31" s="109"/>
      <c r="NEU31" s="109"/>
      <c r="NEV31" s="109"/>
      <c r="NEW31" s="109"/>
      <c r="NEX31" s="109"/>
      <c r="NEY31" s="109"/>
      <c r="NEZ31" s="109"/>
      <c r="NFA31" s="109"/>
      <c r="NFB31" s="109"/>
      <c r="NFC31" s="109"/>
      <c r="NFD31" s="109"/>
      <c r="NFE31" s="109"/>
      <c r="NFF31" s="109"/>
      <c r="NFG31" s="109"/>
      <c r="NFH31" s="109"/>
      <c r="NFI31" s="109"/>
      <c r="NFJ31" s="109"/>
      <c r="NFK31" s="109"/>
      <c r="NFL31" s="109"/>
      <c r="NFM31" s="109"/>
      <c r="NFN31" s="109"/>
      <c r="NFO31" s="109"/>
      <c r="NFP31" s="109"/>
      <c r="NFQ31" s="109"/>
      <c r="NFR31" s="109"/>
      <c r="NFS31" s="109"/>
      <c r="NFT31" s="109"/>
      <c r="NFU31" s="109"/>
      <c r="NFV31" s="109"/>
      <c r="NFW31" s="109"/>
      <c r="NFX31" s="109"/>
      <c r="NFY31" s="109"/>
      <c r="NFZ31" s="109"/>
      <c r="NGA31" s="109"/>
      <c r="NGB31" s="109"/>
      <c r="NGC31" s="109"/>
      <c r="NGD31" s="109"/>
      <c r="NGE31" s="109"/>
      <c r="NGF31" s="109"/>
      <c r="NGG31" s="109"/>
      <c r="NGH31" s="109"/>
      <c r="NGI31" s="109"/>
      <c r="NGJ31" s="109"/>
      <c r="NGK31" s="109"/>
      <c r="NGL31" s="109"/>
      <c r="NGM31" s="109"/>
      <c r="NGN31" s="109"/>
      <c r="NGO31" s="109"/>
      <c r="NGP31" s="109"/>
      <c r="NGQ31" s="109"/>
      <c r="NGR31" s="109"/>
      <c r="NGS31" s="109"/>
      <c r="NGT31" s="109"/>
      <c r="NGU31" s="109"/>
      <c r="NGV31" s="109"/>
      <c r="NGW31" s="109"/>
      <c r="NGX31" s="109"/>
      <c r="NGY31" s="109"/>
      <c r="NGZ31" s="109"/>
      <c r="NHA31" s="109"/>
      <c r="NHB31" s="109"/>
      <c r="NHC31" s="109"/>
      <c r="NHD31" s="109"/>
      <c r="NHE31" s="109"/>
      <c r="NHF31" s="109"/>
      <c r="NHG31" s="109"/>
      <c r="NHH31" s="109"/>
      <c r="NHI31" s="109"/>
      <c r="NHJ31" s="109"/>
      <c r="NHK31" s="109"/>
      <c r="NHL31" s="109"/>
      <c r="NHM31" s="109"/>
      <c r="NHN31" s="109"/>
      <c r="NHO31" s="109"/>
      <c r="NHP31" s="109"/>
      <c r="NHQ31" s="109"/>
      <c r="NHR31" s="109"/>
      <c r="NHS31" s="109"/>
      <c r="NHT31" s="109"/>
      <c r="NHU31" s="109"/>
      <c r="NHV31" s="109"/>
      <c r="NHW31" s="109"/>
      <c r="NHX31" s="109"/>
      <c r="NHY31" s="109"/>
      <c r="NHZ31" s="109"/>
      <c r="NIA31" s="109"/>
      <c r="NIB31" s="109"/>
      <c r="NIC31" s="109"/>
      <c r="NID31" s="109"/>
      <c r="NIE31" s="109"/>
      <c r="NIF31" s="109"/>
      <c r="NIG31" s="109"/>
      <c r="NIH31" s="109"/>
      <c r="NII31" s="109"/>
      <c r="NIJ31" s="109"/>
      <c r="NIK31" s="109"/>
      <c r="NIL31" s="109"/>
      <c r="NIM31" s="109"/>
      <c r="NIN31" s="109"/>
      <c r="NIO31" s="109"/>
      <c r="NIP31" s="109"/>
      <c r="NIQ31" s="109"/>
      <c r="NIR31" s="109"/>
      <c r="NIS31" s="109"/>
      <c r="NIT31" s="109"/>
      <c r="NIU31" s="109"/>
      <c r="NIV31" s="109"/>
      <c r="NIW31" s="109"/>
      <c r="NIX31" s="109"/>
      <c r="NIY31" s="109"/>
      <c r="NIZ31" s="109"/>
      <c r="NJA31" s="109"/>
      <c r="NJB31" s="109"/>
      <c r="NJC31" s="109"/>
      <c r="NJD31" s="109"/>
      <c r="NJE31" s="109"/>
      <c r="NJF31" s="109"/>
      <c r="NJG31" s="109"/>
      <c r="NJH31" s="109"/>
      <c r="NJI31" s="109"/>
      <c r="NJJ31" s="109"/>
      <c r="NJK31" s="109"/>
      <c r="NJL31" s="109"/>
      <c r="NJM31" s="109"/>
      <c r="NJN31" s="109"/>
      <c r="NJO31" s="109"/>
      <c r="NJP31" s="109"/>
      <c r="NJQ31" s="109"/>
      <c r="NJR31" s="109"/>
      <c r="NJS31" s="109"/>
      <c r="NJT31" s="109"/>
      <c r="NJU31" s="109"/>
      <c r="NJV31" s="109"/>
      <c r="NJW31" s="109"/>
      <c r="NJX31" s="109"/>
      <c r="NJY31" s="109"/>
      <c r="NJZ31" s="109"/>
      <c r="NKA31" s="109"/>
      <c r="NKB31" s="109"/>
      <c r="NKC31" s="109"/>
      <c r="NKD31" s="109"/>
      <c r="NKE31" s="109"/>
      <c r="NKF31" s="109"/>
      <c r="NKG31" s="109"/>
      <c r="NKH31" s="109"/>
      <c r="NKI31" s="109"/>
      <c r="NKJ31" s="109"/>
      <c r="NKK31" s="109"/>
      <c r="NKL31" s="109"/>
      <c r="NKM31" s="109"/>
      <c r="NKN31" s="109"/>
      <c r="NKO31" s="109"/>
      <c r="NKP31" s="109"/>
      <c r="NKQ31" s="109"/>
      <c r="NKR31" s="109"/>
      <c r="NKS31" s="109"/>
      <c r="NKT31" s="109"/>
      <c r="NKU31" s="109"/>
      <c r="NKV31" s="109"/>
      <c r="NKW31" s="109"/>
      <c r="NKX31" s="109"/>
      <c r="NKY31" s="109"/>
      <c r="NKZ31" s="109"/>
      <c r="NLA31" s="109"/>
      <c r="NLB31" s="109"/>
      <c r="NLC31" s="109"/>
      <c r="NLD31" s="109"/>
      <c r="NLE31" s="109"/>
      <c r="NLF31" s="109"/>
      <c r="NLG31" s="109"/>
      <c r="NLH31" s="109"/>
      <c r="NLI31" s="109"/>
      <c r="NLJ31" s="109"/>
      <c r="NLK31" s="109"/>
      <c r="NLL31" s="109"/>
      <c r="NLM31" s="109"/>
      <c r="NLN31" s="109"/>
      <c r="NLO31" s="109"/>
      <c r="NLP31" s="109"/>
      <c r="NLQ31" s="109"/>
      <c r="NLR31" s="109"/>
      <c r="NLS31" s="109"/>
      <c r="NLT31" s="109"/>
      <c r="NLU31" s="109"/>
      <c r="NLV31" s="109"/>
      <c r="NLW31" s="109"/>
      <c r="NLX31" s="109"/>
      <c r="NLY31" s="109"/>
      <c r="NLZ31" s="109"/>
      <c r="NMA31" s="109"/>
      <c r="NMB31" s="109"/>
      <c r="NMC31" s="109"/>
      <c r="NMD31" s="109"/>
      <c r="NME31" s="109"/>
      <c r="NMF31" s="109"/>
      <c r="NMG31" s="109"/>
      <c r="NMH31" s="109"/>
      <c r="NMI31" s="109"/>
      <c r="NMJ31" s="109"/>
      <c r="NMK31" s="109"/>
      <c r="NML31" s="109"/>
      <c r="NMM31" s="109"/>
      <c r="NMN31" s="109"/>
      <c r="NMO31" s="109"/>
      <c r="NMP31" s="109"/>
      <c r="NMQ31" s="109"/>
      <c r="NMR31" s="109"/>
      <c r="NMS31" s="109"/>
      <c r="NMT31" s="109"/>
      <c r="NMU31" s="109"/>
      <c r="NMV31" s="109"/>
      <c r="NMW31" s="109"/>
      <c r="NMX31" s="109"/>
      <c r="NMY31" s="109"/>
      <c r="NMZ31" s="109"/>
      <c r="NNA31" s="109"/>
      <c r="NNB31" s="109"/>
      <c r="NNC31" s="109"/>
      <c r="NND31" s="109"/>
      <c r="NNE31" s="109"/>
      <c r="NNF31" s="109"/>
      <c r="NNG31" s="109"/>
      <c r="NNH31" s="109"/>
      <c r="NNI31" s="109"/>
      <c r="NNJ31" s="109"/>
      <c r="NNK31" s="109"/>
      <c r="NNL31" s="109"/>
      <c r="NNM31" s="109"/>
      <c r="NNN31" s="109"/>
      <c r="NNO31" s="109"/>
      <c r="NNP31" s="109"/>
      <c r="NNQ31" s="109"/>
      <c r="NNR31" s="109"/>
      <c r="NNS31" s="109"/>
      <c r="NNT31" s="109"/>
      <c r="NNU31" s="109"/>
      <c r="NNV31" s="109"/>
      <c r="NNW31" s="109"/>
      <c r="NNX31" s="109"/>
      <c r="NNY31" s="109"/>
      <c r="NNZ31" s="109"/>
      <c r="NOA31" s="109"/>
      <c r="NOB31" s="109"/>
      <c r="NOC31" s="109"/>
      <c r="NOD31" s="109"/>
      <c r="NOE31" s="109"/>
      <c r="NOF31" s="109"/>
      <c r="NOG31" s="109"/>
      <c r="NOH31" s="109"/>
      <c r="NOI31" s="109"/>
      <c r="NOJ31" s="109"/>
      <c r="NOK31" s="109"/>
      <c r="NOL31" s="109"/>
      <c r="NOM31" s="109"/>
      <c r="NON31" s="109"/>
      <c r="NOO31" s="109"/>
      <c r="NOP31" s="109"/>
      <c r="NOQ31" s="109"/>
      <c r="NOR31" s="109"/>
      <c r="NOS31" s="109"/>
      <c r="NOT31" s="109"/>
      <c r="NOU31" s="109"/>
      <c r="NOV31" s="109"/>
      <c r="NOW31" s="109"/>
      <c r="NOX31" s="109"/>
      <c r="NOY31" s="109"/>
      <c r="NOZ31" s="109"/>
      <c r="NPA31" s="109"/>
      <c r="NPB31" s="109"/>
      <c r="NPC31" s="109"/>
      <c r="NPD31" s="109"/>
      <c r="NPE31" s="109"/>
      <c r="NPF31" s="109"/>
      <c r="NPG31" s="109"/>
      <c r="NPH31" s="109"/>
      <c r="NPI31" s="109"/>
      <c r="NPJ31" s="109"/>
      <c r="NPK31" s="109"/>
      <c r="NPL31" s="109"/>
      <c r="NPM31" s="109"/>
      <c r="NPN31" s="109"/>
      <c r="NPO31" s="109"/>
      <c r="NPP31" s="109"/>
      <c r="NPQ31" s="109"/>
      <c r="NPR31" s="109"/>
      <c r="NPS31" s="109"/>
      <c r="NPT31" s="109"/>
      <c r="NPU31" s="109"/>
      <c r="NPV31" s="109"/>
      <c r="NPW31" s="109"/>
      <c r="NPX31" s="109"/>
      <c r="NPY31" s="109"/>
      <c r="NPZ31" s="109"/>
      <c r="NQA31" s="109"/>
      <c r="NQB31" s="109"/>
      <c r="NQC31" s="109"/>
      <c r="NQD31" s="109"/>
      <c r="NQE31" s="109"/>
      <c r="NQF31" s="109"/>
      <c r="NQG31" s="109"/>
      <c r="NQH31" s="109"/>
      <c r="NQI31" s="109"/>
      <c r="NQJ31" s="109"/>
      <c r="NQK31" s="109"/>
      <c r="NQL31" s="109"/>
      <c r="NQM31" s="109"/>
      <c r="NQN31" s="109"/>
      <c r="NQO31" s="109"/>
      <c r="NQP31" s="109"/>
      <c r="NQQ31" s="109"/>
      <c r="NQR31" s="109"/>
      <c r="NQS31" s="109"/>
      <c r="NQT31" s="109"/>
      <c r="NQU31" s="109"/>
      <c r="NQV31" s="109"/>
      <c r="NQW31" s="109"/>
      <c r="NQX31" s="109"/>
      <c r="NQY31" s="109"/>
      <c r="NQZ31" s="109"/>
      <c r="NRA31" s="109"/>
      <c r="NRB31" s="109"/>
      <c r="NRC31" s="109"/>
      <c r="NRD31" s="109"/>
      <c r="NRE31" s="109"/>
      <c r="NRF31" s="109"/>
      <c r="NRG31" s="109"/>
      <c r="NRH31" s="109"/>
      <c r="NRI31" s="109"/>
      <c r="NRJ31" s="109"/>
      <c r="NRK31" s="109"/>
      <c r="NRL31" s="109"/>
      <c r="NRM31" s="109"/>
      <c r="NRN31" s="109"/>
      <c r="NRO31" s="109"/>
      <c r="NRP31" s="109"/>
      <c r="NRQ31" s="109"/>
      <c r="NRR31" s="109"/>
      <c r="NRS31" s="109"/>
      <c r="NRT31" s="109"/>
      <c r="NRU31" s="109"/>
      <c r="NRV31" s="109"/>
      <c r="NRW31" s="109"/>
      <c r="NRX31" s="109"/>
      <c r="NRY31" s="109"/>
      <c r="NRZ31" s="109"/>
      <c r="NSA31" s="109"/>
      <c r="NSB31" s="109"/>
      <c r="NSC31" s="109"/>
      <c r="NSD31" s="109"/>
      <c r="NSE31" s="109"/>
      <c r="NSF31" s="109"/>
      <c r="NSG31" s="109"/>
      <c r="NSH31" s="109"/>
      <c r="NSI31" s="109"/>
      <c r="NSJ31" s="109"/>
      <c r="NSK31" s="109"/>
      <c r="NSL31" s="109"/>
      <c r="NSM31" s="109"/>
      <c r="NSN31" s="109"/>
      <c r="NSO31" s="109"/>
      <c r="NSP31" s="109"/>
      <c r="NSQ31" s="109"/>
      <c r="NSR31" s="109"/>
      <c r="NSS31" s="109"/>
      <c r="NST31" s="109"/>
      <c r="NSU31" s="109"/>
      <c r="NSV31" s="109"/>
      <c r="NSW31" s="109"/>
      <c r="NSX31" s="109"/>
      <c r="NSY31" s="109"/>
      <c r="NSZ31" s="109"/>
      <c r="NTA31" s="109"/>
      <c r="NTB31" s="109"/>
      <c r="NTC31" s="109"/>
      <c r="NTD31" s="109"/>
      <c r="NTE31" s="109"/>
      <c r="NTF31" s="109"/>
      <c r="NTG31" s="109"/>
      <c r="NTH31" s="109"/>
      <c r="NTI31" s="109"/>
      <c r="NTJ31" s="109"/>
      <c r="NTK31" s="109"/>
      <c r="NTL31" s="109"/>
      <c r="NTM31" s="109"/>
      <c r="NTN31" s="109"/>
      <c r="NTO31" s="109"/>
      <c r="NTP31" s="109"/>
      <c r="NTQ31" s="109"/>
      <c r="NTR31" s="109"/>
      <c r="NTS31" s="109"/>
      <c r="NTT31" s="109"/>
      <c r="NTU31" s="109"/>
      <c r="NTV31" s="109"/>
      <c r="NTW31" s="109"/>
      <c r="NTX31" s="109"/>
      <c r="NTY31" s="109"/>
      <c r="NTZ31" s="109"/>
      <c r="NUA31" s="109"/>
      <c r="NUB31" s="109"/>
      <c r="NUC31" s="109"/>
      <c r="NUD31" s="109"/>
      <c r="NUE31" s="109"/>
      <c r="NUF31" s="109"/>
      <c r="NUG31" s="109"/>
      <c r="NUH31" s="109"/>
      <c r="NUI31" s="109"/>
      <c r="NUJ31" s="109"/>
      <c r="NUK31" s="109"/>
      <c r="NUL31" s="109"/>
      <c r="NUM31" s="109"/>
      <c r="NUN31" s="109"/>
      <c r="NUO31" s="109"/>
      <c r="NUP31" s="109"/>
      <c r="NUQ31" s="109"/>
      <c r="NUR31" s="109"/>
      <c r="NUS31" s="109"/>
      <c r="NUT31" s="109"/>
      <c r="NUU31" s="109"/>
      <c r="NUV31" s="109"/>
      <c r="NUW31" s="109"/>
      <c r="NUX31" s="109"/>
      <c r="NUY31" s="109"/>
      <c r="NUZ31" s="109"/>
      <c r="NVA31" s="109"/>
      <c r="NVB31" s="109"/>
      <c r="NVC31" s="109"/>
      <c r="NVD31" s="109"/>
      <c r="NVE31" s="109"/>
      <c r="NVF31" s="109"/>
      <c r="NVG31" s="109"/>
      <c r="NVH31" s="109"/>
      <c r="NVI31" s="109"/>
      <c r="NVJ31" s="109"/>
      <c r="NVK31" s="109"/>
      <c r="NVL31" s="109"/>
      <c r="NVM31" s="109"/>
      <c r="NVN31" s="109"/>
      <c r="NVO31" s="109"/>
      <c r="NVP31" s="109"/>
      <c r="NVQ31" s="109"/>
      <c r="NVR31" s="109"/>
      <c r="NVS31" s="109"/>
      <c r="NVT31" s="109"/>
      <c r="NVU31" s="109"/>
      <c r="NVV31" s="109"/>
      <c r="NVW31" s="109"/>
      <c r="NVX31" s="109"/>
      <c r="NVY31" s="109"/>
      <c r="NVZ31" s="109"/>
      <c r="NWA31" s="109"/>
      <c r="NWB31" s="109"/>
      <c r="NWC31" s="109"/>
      <c r="NWD31" s="109"/>
      <c r="NWE31" s="109"/>
      <c r="NWF31" s="109"/>
      <c r="NWG31" s="109"/>
      <c r="NWH31" s="109"/>
      <c r="NWI31" s="109"/>
      <c r="NWJ31" s="109"/>
      <c r="NWK31" s="109"/>
      <c r="NWL31" s="109"/>
      <c r="NWM31" s="109"/>
      <c r="NWN31" s="109"/>
      <c r="NWO31" s="109"/>
      <c r="NWP31" s="109"/>
      <c r="NWQ31" s="109"/>
      <c r="NWR31" s="109"/>
      <c r="NWS31" s="109"/>
      <c r="NWT31" s="109"/>
      <c r="NWU31" s="109"/>
      <c r="NWV31" s="109"/>
      <c r="NWW31" s="109"/>
      <c r="NWX31" s="109"/>
      <c r="NWY31" s="109"/>
      <c r="NWZ31" s="109"/>
      <c r="NXA31" s="109"/>
      <c r="NXB31" s="109"/>
      <c r="NXC31" s="109"/>
      <c r="NXD31" s="109"/>
      <c r="NXE31" s="109"/>
      <c r="NXF31" s="109"/>
      <c r="NXG31" s="109"/>
      <c r="NXH31" s="109"/>
      <c r="NXI31" s="109"/>
      <c r="NXJ31" s="109"/>
      <c r="NXK31" s="109"/>
      <c r="NXL31" s="109"/>
      <c r="NXM31" s="109"/>
      <c r="NXN31" s="109"/>
      <c r="NXO31" s="109"/>
      <c r="NXP31" s="109"/>
      <c r="NXQ31" s="109"/>
      <c r="NXR31" s="109"/>
      <c r="NXS31" s="109"/>
      <c r="NXT31" s="109"/>
      <c r="NXU31" s="109"/>
      <c r="NXV31" s="109"/>
      <c r="NXW31" s="109"/>
      <c r="NXX31" s="109"/>
      <c r="NXY31" s="109"/>
      <c r="NXZ31" s="109"/>
      <c r="NYA31" s="109"/>
      <c r="NYB31" s="109"/>
      <c r="NYC31" s="109"/>
      <c r="NYD31" s="109"/>
      <c r="NYE31" s="109"/>
      <c r="NYF31" s="109"/>
      <c r="NYG31" s="109"/>
      <c r="NYH31" s="109"/>
      <c r="NYI31" s="109"/>
      <c r="NYJ31" s="109"/>
      <c r="NYK31" s="109"/>
      <c r="NYL31" s="109"/>
      <c r="NYM31" s="109"/>
      <c r="NYN31" s="109"/>
      <c r="NYO31" s="109"/>
      <c r="NYP31" s="109"/>
      <c r="NYQ31" s="109"/>
      <c r="NYR31" s="109"/>
      <c r="NYS31" s="109"/>
      <c r="NYT31" s="109"/>
      <c r="NYU31" s="109"/>
      <c r="NYV31" s="109"/>
      <c r="NYW31" s="109"/>
      <c r="NYX31" s="109"/>
      <c r="NYY31" s="109"/>
      <c r="NYZ31" s="109"/>
      <c r="NZA31" s="109"/>
      <c r="NZB31" s="109"/>
      <c r="NZC31" s="109"/>
      <c r="NZD31" s="109"/>
      <c r="NZE31" s="109"/>
      <c r="NZF31" s="109"/>
      <c r="NZG31" s="109"/>
      <c r="NZH31" s="109"/>
      <c r="NZI31" s="109"/>
      <c r="NZJ31" s="109"/>
      <c r="NZK31" s="109"/>
      <c r="NZL31" s="109"/>
      <c r="NZM31" s="109"/>
      <c r="NZN31" s="109"/>
      <c r="NZO31" s="109"/>
      <c r="NZP31" s="109"/>
      <c r="NZQ31" s="109"/>
      <c r="NZR31" s="109"/>
      <c r="NZS31" s="109"/>
      <c r="NZT31" s="109"/>
      <c r="NZU31" s="109"/>
      <c r="NZV31" s="109"/>
      <c r="NZW31" s="109"/>
      <c r="NZX31" s="109"/>
      <c r="NZY31" s="109"/>
      <c r="NZZ31" s="109"/>
      <c r="OAA31" s="109"/>
      <c r="OAB31" s="109"/>
      <c r="OAC31" s="109"/>
      <c r="OAD31" s="109"/>
      <c r="OAE31" s="109"/>
      <c r="OAF31" s="109"/>
      <c r="OAG31" s="109"/>
      <c r="OAH31" s="109"/>
      <c r="OAI31" s="109"/>
      <c r="OAJ31" s="109"/>
      <c r="OAK31" s="109"/>
      <c r="OAL31" s="109"/>
      <c r="OAM31" s="109"/>
      <c r="OAN31" s="109"/>
      <c r="OAO31" s="109"/>
      <c r="OAP31" s="109"/>
      <c r="OAQ31" s="109"/>
      <c r="OAR31" s="109"/>
      <c r="OAS31" s="109"/>
      <c r="OAT31" s="109"/>
      <c r="OAU31" s="109"/>
      <c r="OAV31" s="109"/>
      <c r="OAW31" s="109"/>
      <c r="OAX31" s="109"/>
      <c r="OAY31" s="109"/>
      <c r="OAZ31" s="109"/>
      <c r="OBA31" s="109"/>
      <c r="OBB31" s="109"/>
      <c r="OBC31" s="109"/>
      <c r="OBD31" s="109"/>
      <c r="OBE31" s="109"/>
      <c r="OBF31" s="109"/>
      <c r="OBG31" s="109"/>
      <c r="OBH31" s="109"/>
      <c r="OBI31" s="109"/>
      <c r="OBJ31" s="109"/>
      <c r="OBK31" s="109"/>
      <c r="OBL31" s="109"/>
      <c r="OBM31" s="109"/>
      <c r="OBN31" s="109"/>
      <c r="OBO31" s="109"/>
      <c r="OBP31" s="109"/>
      <c r="OBQ31" s="109"/>
      <c r="OBR31" s="109"/>
      <c r="OBS31" s="109"/>
      <c r="OBT31" s="109"/>
      <c r="OBU31" s="109"/>
      <c r="OBV31" s="109"/>
      <c r="OBW31" s="109"/>
      <c r="OBX31" s="109"/>
      <c r="OBY31" s="109"/>
      <c r="OBZ31" s="109"/>
      <c r="OCA31" s="109"/>
      <c r="OCB31" s="109"/>
      <c r="OCC31" s="109"/>
      <c r="OCD31" s="109"/>
      <c r="OCE31" s="109"/>
      <c r="OCF31" s="109"/>
      <c r="OCG31" s="109"/>
      <c r="OCH31" s="109"/>
      <c r="OCI31" s="109"/>
      <c r="OCJ31" s="109"/>
      <c r="OCK31" s="109"/>
      <c r="OCL31" s="109"/>
      <c r="OCM31" s="109"/>
      <c r="OCN31" s="109"/>
      <c r="OCO31" s="109"/>
      <c r="OCP31" s="109"/>
      <c r="OCQ31" s="109"/>
      <c r="OCR31" s="109"/>
      <c r="OCS31" s="109"/>
      <c r="OCT31" s="109"/>
      <c r="OCU31" s="109"/>
      <c r="OCV31" s="109"/>
      <c r="OCW31" s="109"/>
      <c r="OCX31" s="109"/>
      <c r="OCY31" s="109"/>
      <c r="OCZ31" s="109"/>
      <c r="ODA31" s="109"/>
      <c r="ODB31" s="109"/>
      <c r="ODC31" s="109"/>
      <c r="ODD31" s="109"/>
      <c r="ODE31" s="109"/>
      <c r="ODF31" s="109"/>
      <c r="ODG31" s="109"/>
      <c r="ODH31" s="109"/>
      <c r="ODI31" s="109"/>
      <c r="ODJ31" s="109"/>
      <c r="ODK31" s="109"/>
      <c r="ODL31" s="109"/>
      <c r="ODM31" s="109"/>
      <c r="ODN31" s="109"/>
      <c r="ODO31" s="109"/>
      <c r="ODP31" s="109"/>
      <c r="ODQ31" s="109"/>
      <c r="ODR31" s="109"/>
      <c r="ODS31" s="109"/>
      <c r="ODT31" s="109"/>
      <c r="ODU31" s="109"/>
      <c r="ODV31" s="109"/>
      <c r="ODW31" s="109"/>
      <c r="ODX31" s="109"/>
      <c r="ODY31" s="109"/>
      <c r="ODZ31" s="109"/>
      <c r="OEA31" s="109"/>
      <c r="OEB31" s="109"/>
      <c r="OEC31" s="109"/>
      <c r="OED31" s="109"/>
      <c r="OEE31" s="109"/>
      <c r="OEF31" s="109"/>
      <c r="OEG31" s="109"/>
      <c r="OEH31" s="109"/>
      <c r="OEI31" s="109"/>
      <c r="OEJ31" s="109"/>
      <c r="OEK31" s="109"/>
      <c r="OEL31" s="109"/>
      <c r="OEM31" s="109"/>
      <c r="OEN31" s="109"/>
      <c r="OEO31" s="109"/>
      <c r="OEP31" s="109"/>
      <c r="OEQ31" s="109"/>
      <c r="OER31" s="109"/>
      <c r="OES31" s="109"/>
      <c r="OET31" s="109"/>
      <c r="OEU31" s="109"/>
      <c r="OEV31" s="109"/>
      <c r="OEW31" s="109"/>
      <c r="OEX31" s="109"/>
      <c r="OEY31" s="109"/>
      <c r="OEZ31" s="109"/>
      <c r="OFA31" s="109"/>
      <c r="OFB31" s="109"/>
      <c r="OFC31" s="109"/>
      <c r="OFD31" s="109"/>
      <c r="OFE31" s="109"/>
      <c r="OFF31" s="109"/>
      <c r="OFG31" s="109"/>
      <c r="OFH31" s="109"/>
      <c r="OFI31" s="109"/>
      <c r="OFJ31" s="109"/>
      <c r="OFK31" s="109"/>
      <c r="OFL31" s="109"/>
      <c r="OFM31" s="109"/>
      <c r="OFN31" s="109"/>
      <c r="OFO31" s="109"/>
      <c r="OFP31" s="109"/>
      <c r="OFQ31" s="109"/>
      <c r="OFR31" s="109"/>
      <c r="OFS31" s="109"/>
      <c r="OFT31" s="109"/>
      <c r="OFU31" s="109"/>
      <c r="OFV31" s="109"/>
      <c r="OFW31" s="109"/>
      <c r="OFX31" s="109"/>
      <c r="OFY31" s="109"/>
      <c r="OFZ31" s="109"/>
      <c r="OGA31" s="109"/>
      <c r="OGB31" s="109"/>
      <c r="OGC31" s="109"/>
      <c r="OGD31" s="109"/>
      <c r="OGE31" s="109"/>
      <c r="OGF31" s="109"/>
      <c r="OGG31" s="109"/>
      <c r="OGH31" s="109"/>
      <c r="OGI31" s="109"/>
      <c r="OGJ31" s="109"/>
      <c r="OGK31" s="109"/>
      <c r="OGL31" s="109"/>
      <c r="OGM31" s="109"/>
      <c r="OGN31" s="109"/>
      <c r="OGO31" s="109"/>
      <c r="OGP31" s="109"/>
      <c r="OGQ31" s="109"/>
      <c r="OGR31" s="109"/>
      <c r="OGS31" s="109"/>
      <c r="OGT31" s="109"/>
      <c r="OGU31" s="109"/>
      <c r="OGV31" s="109"/>
      <c r="OGW31" s="109"/>
      <c r="OGX31" s="109"/>
      <c r="OGY31" s="109"/>
      <c r="OGZ31" s="109"/>
      <c r="OHA31" s="109"/>
      <c r="OHB31" s="109"/>
      <c r="OHC31" s="109"/>
      <c r="OHD31" s="109"/>
      <c r="OHE31" s="109"/>
      <c r="OHF31" s="109"/>
      <c r="OHG31" s="109"/>
      <c r="OHH31" s="109"/>
      <c r="OHI31" s="109"/>
      <c r="OHJ31" s="109"/>
      <c r="OHK31" s="109"/>
      <c r="OHL31" s="109"/>
      <c r="OHM31" s="109"/>
      <c r="OHN31" s="109"/>
      <c r="OHO31" s="109"/>
      <c r="OHP31" s="109"/>
      <c r="OHQ31" s="109"/>
      <c r="OHR31" s="109"/>
      <c r="OHS31" s="109"/>
      <c r="OHT31" s="109"/>
      <c r="OHU31" s="109"/>
      <c r="OHV31" s="109"/>
      <c r="OHW31" s="109"/>
      <c r="OHX31" s="109"/>
      <c r="OHY31" s="109"/>
      <c r="OHZ31" s="109"/>
      <c r="OIA31" s="109"/>
      <c r="OIB31" s="109"/>
      <c r="OIC31" s="109"/>
      <c r="OID31" s="109"/>
      <c r="OIE31" s="109"/>
      <c r="OIF31" s="109"/>
      <c r="OIG31" s="109"/>
      <c r="OIH31" s="109"/>
      <c r="OII31" s="109"/>
      <c r="OIJ31" s="109"/>
      <c r="OIK31" s="109"/>
      <c r="OIL31" s="109"/>
      <c r="OIM31" s="109"/>
      <c r="OIN31" s="109"/>
      <c r="OIO31" s="109"/>
      <c r="OIP31" s="109"/>
      <c r="OIQ31" s="109"/>
      <c r="OIR31" s="109"/>
      <c r="OIS31" s="109"/>
      <c r="OIT31" s="109"/>
      <c r="OIU31" s="109"/>
      <c r="OIV31" s="109"/>
      <c r="OIW31" s="109"/>
      <c r="OIX31" s="109"/>
      <c r="OIY31" s="109"/>
      <c r="OIZ31" s="109"/>
      <c r="OJA31" s="109"/>
      <c r="OJB31" s="109"/>
      <c r="OJC31" s="109"/>
      <c r="OJD31" s="109"/>
      <c r="OJE31" s="109"/>
      <c r="OJF31" s="109"/>
      <c r="OJG31" s="109"/>
      <c r="OJH31" s="109"/>
      <c r="OJI31" s="109"/>
      <c r="OJJ31" s="109"/>
      <c r="OJK31" s="109"/>
      <c r="OJL31" s="109"/>
      <c r="OJM31" s="109"/>
      <c r="OJN31" s="109"/>
      <c r="OJO31" s="109"/>
      <c r="OJP31" s="109"/>
      <c r="OJQ31" s="109"/>
      <c r="OJR31" s="109"/>
      <c r="OJS31" s="109"/>
      <c r="OJT31" s="109"/>
      <c r="OJU31" s="109"/>
      <c r="OJV31" s="109"/>
      <c r="OJW31" s="109"/>
      <c r="OJX31" s="109"/>
      <c r="OJY31" s="109"/>
      <c r="OJZ31" s="109"/>
      <c r="OKA31" s="109"/>
      <c r="OKB31" s="109"/>
      <c r="OKC31" s="109"/>
      <c r="OKD31" s="109"/>
      <c r="OKE31" s="109"/>
      <c r="OKF31" s="109"/>
      <c r="OKG31" s="109"/>
      <c r="OKH31" s="109"/>
      <c r="OKI31" s="109"/>
      <c r="OKJ31" s="109"/>
      <c r="OKK31" s="109"/>
      <c r="OKL31" s="109"/>
      <c r="OKM31" s="109"/>
      <c r="OKN31" s="109"/>
      <c r="OKO31" s="109"/>
      <c r="OKP31" s="109"/>
      <c r="OKQ31" s="109"/>
      <c r="OKR31" s="109"/>
      <c r="OKS31" s="109"/>
      <c r="OKT31" s="109"/>
      <c r="OKU31" s="109"/>
      <c r="OKV31" s="109"/>
      <c r="OKW31" s="109"/>
      <c r="OKX31" s="109"/>
      <c r="OKY31" s="109"/>
      <c r="OKZ31" s="109"/>
      <c r="OLA31" s="109"/>
      <c r="OLB31" s="109"/>
      <c r="OLC31" s="109"/>
      <c r="OLD31" s="109"/>
      <c r="OLE31" s="109"/>
      <c r="OLF31" s="109"/>
      <c r="OLG31" s="109"/>
      <c r="OLH31" s="109"/>
      <c r="OLI31" s="109"/>
      <c r="OLJ31" s="109"/>
      <c r="OLK31" s="109"/>
      <c r="OLL31" s="109"/>
      <c r="OLM31" s="109"/>
      <c r="OLN31" s="109"/>
      <c r="OLO31" s="109"/>
      <c r="OLP31" s="109"/>
      <c r="OLQ31" s="109"/>
      <c r="OLR31" s="109"/>
      <c r="OLS31" s="109"/>
      <c r="OLT31" s="109"/>
      <c r="OLU31" s="109"/>
      <c r="OLV31" s="109"/>
      <c r="OLW31" s="109"/>
      <c r="OLX31" s="109"/>
      <c r="OLY31" s="109"/>
      <c r="OLZ31" s="109"/>
      <c r="OMA31" s="109"/>
      <c r="OMB31" s="109"/>
      <c r="OMC31" s="109"/>
      <c r="OMD31" s="109"/>
      <c r="OME31" s="109"/>
      <c r="OMF31" s="109"/>
      <c r="OMG31" s="109"/>
      <c r="OMH31" s="109"/>
      <c r="OMI31" s="109"/>
      <c r="OMJ31" s="109"/>
      <c r="OMK31" s="109"/>
      <c r="OML31" s="109"/>
      <c r="OMM31" s="109"/>
      <c r="OMN31" s="109"/>
      <c r="OMO31" s="109"/>
      <c r="OMP31" s="109"/>
      <c r="OMQ31" s="109"/>
      <c r="OMR31" s="109"/>
      <c r="OMS31" s="109"/>
      <c r="OMT31" s="109"/>
      <c r="OMU31" s="109"/>
      <c r="OMV31" s="109"/>
      <c r="OMW31" s="109"/>
      <c r="OMX31" s="109"/>
      <c r="OMY31" s="109"/>
      <c r="OMZ31" s="109"/>
      <c r="ONA31" s="109"/>
      <c r="ONB31" s="109"/>
      <c r="ONC31" s="109"/>
      <c r="OND31" s="109"/>
      <c r="ONE31" s="109"/>
      <c r="ONF31" s="109"/>
      <c r="ONG31" s="109"/>
      <c r="ONH31" s="109"/>
      <c r="ONI31" s="109"/>
      <c r="ONJ31" s="109"/>
      <c r="ONK31" s="109"/>
      <c r="ONL31" s="109"/>
      <c r="ONM31" s="109"/>
      <c r="ONN31" s="109"/>
      <c r="ONO31" s="109"/>
      <c r="ONP31" s="109"/>
      <c r="ONQ31" s="109"/>
      <c r="ONR31" s="109"/>
      <c r="ONS31" s="109"/>
      <c r="ONT31" s="109"/>
      <c r="ONU31" s="109"/>
      <c r="ONV31" s="109"/>
      <c r="ONW31" s="109"/>
      <c r="ONX31" s="109"/>
      <c r="ONY31" s="109"/>
      <c r="ONZ31" s="109"/>
      <c r="OOA31" s="109"/>
      <c r="OOB31" s="109"/>
      <c r="OOC31" s="109"/>
      <c r="OOD31" s="109"/>
      <c r="OOE31" s="109"/>
      <c r="OOF31" s="109"/>
      <c r="OOG31" s="109"/>
      <c r="OOH31" s="109"/>
      <c r="OOI31" s="109"/>
      <c r="OOJ31" s="109"/>
      <c r="OOK31" s="109"/>
      <c r="OOL31" s="109"/>
      <c r="OOM31" s="109"/>
      <c r="OON31" s="109"/>
      <c r="OOO31" s="109"/>
      <c r="OOP31" s="109"/>
      <c r="OOQ31" s="109"/>
      <c r="OOR31" s="109"/>
      <c r="OOS31" s="109"/>
      <c r="OOT31" s="109"/>
      <c r="OOU31" s="109"/>
      <c r="OOV31" s="109"/>
      <c r="OOW31" s="109"/>
      <c r="OOX31" s="109"/>
      <c r="OOY31" s="109"/>
      <c r="OOZ31" s="109"/>
      <c r="OPA31" s="109"/>
      <c r="OPB31" s="109"/>
      <c r="OPC31" s="109"/>
      <c r="OPD31" s="109"/>
      <c r="OPE31" s="109"/>
      <c r="OPF31" s="109"/>
      <c r="OPG31" s="109"/>
      <c r="OPH31" s="109"/>
      <c r="OPI31" s="109"/>
      <c r="OPJ31" s="109"/>
      <c r="OPK31" s="109"/>
      <c r="OPL31" s="109"/>
      <c r="OPM31" s="109"/>
      <c r="OPN31" s="109"/>
      <c r="OPO31" s="109"/>
      <c r="OPP31" s="109"/>
      <c r="OPQ31" s="109"/>
      <c r="OPR31" s="109"/>
      <c r="OPS31" s="109"/>
      <c r="OPT31" s="109"/>
      <c r="OPU31" s="109"/>
      <c r="OPV31" s="109"/>
      <c r="OPW31" s="109"/>
      <c r="OPX31" s="109"/>
      <c r="OPY31" s="109"/>
      <c r="OPZ31" s="109"/>
      <c r="OQA31" s="109"/>
      <c r="OQB31" s="109"/>
      <c r="OQC31" s="109"/>
      <c r="OQD31" s="109"/>
      <c r="OQE31" s="109"/>
      <c r="OQF31" s="109"/>
      <c r="OQG31" s="109"/>
      <c r="OQH31" s="109"/>
      <c r="OQI31" s="109"/>
      <c r="OQJ31" s="109"/>
      <c r="OQK31" s="109"/>
      <c r="OQL31" s="109"/>
      <c r="OQM31" s="109"/>
      <c r="OQN31" s="109"/>
      <c r="OQO31" s="109"/>
      <c r="OQP31" s="109"/>
      <c r="OQQ31" s="109"/>
      <c r="OQR31" s="109"/>
      <c r="OQS31" s="109"/>
      <c r="OQT31" s="109"/>
      <c r="OQU31" s="109"/>
      <c r="OQV31" s="109"/>
      <c r="OQW31" s="109"/>
      <c r="OQX31" s="109"/>
      <c r="OQY31" s="109"/>
      <c r="OQZ31" s="109"/>
      <c r="ORA31" s="109"/>
      <c r="ORB31" s="109"/>
      <c r="ORC31" s="109"/>
      <c r="ORD31" s="109"/>
      <c r="ORE31" s="109"/>
      <c r="ORF31" s="109"/>
      <c r="ORG31" s="109"/>
      <c r="ORH31" s="109"/>
      <c r="ORI31" s="109"/>
      <c r="ORJ31" s="109"/>
      <c r="ORK31" s="109"/>
      <c r="ORL31" s="109"/>
      <c r="ORM31" s="109"/>
      <c r="ORN31" s="109"/>
      <c r="ORO31" s="109"/>
      <c r="ORP31" s="109"/>
      <c r="ORQ31" s="109"/>
      <c r="ORR31" s="109"/>
      <c r="ORS31" s="109"/>
      <c r="ORT31" s="109"/>
      <c r="ORU31" s="109"/>
      <c r="ORV31" s="109"/>
      <c r="ORW31" s="109"/>
      <c r="ORX31" s="109"/>
      <c r="ORY31" s="109"/>
      <c r="ORZ31" s="109"/>
      <c r="OSA31" s="109"/>
      <c r="OSB31" s="109"/>
      <c r="OSC31" s="109"/>
      <c r="OSD31" s="109"/>
      <c r="OSE31" s="109"/>
      <c r="OSF31" s="109"/>
      <c r="OSG31" s="109"/>
      <c r="OSH31" s="109"/>
      <c r="OSI31" s="109"/>
      <c r="OSJ31" s="109"/>
      <c r="OSK31" s="109"/>
      <c r="OSL31" s="109"/>
      <c r="OSM31" s="109"/>
      <c r="OSN31" s="109"/>
      <c r="OSO31" s="109"/>
      <c r="OSP31" s="109"/>
      <c r="OSQ31" s="109"/>
      <c r="OSR31" s="109"/>
      <c r="OSS31" s="109"/>
      <c r="OST31" s="109"/>
      <c r="OSU31" s="109"/>
      <c r="OSV31" s="109"/>
      <c r="OSW31" s="109"/>
      <c r="OSX31" s="109"/>
      <c r="OSY31" s="109"/>
      <c r="OSZ31" s="109"/>
      <c r="OTA31" s="109"/>
      <c r="OTB31" s="109"/>
      <c r="OTC31" s="109"/>
      <c r="OTD31" s="109"/>
      <c r="OTE31" s="109"/>
      <c r="OTF31" s="109"/>
      <c r="OTG31" s="109"/>
      <c r="OTH31" s="109"/>
      <c r="OTI31" s="109"/>
      <c r="OTJ31" s="109"/>
      <c r="OTK31" s="109"/>
      <c r="OTL31" s="109"/>
      <c r="OTM31" s="109"/>
      <c r="OTN31" s="109"/>
      <c r="OTO31" s="109"/>
      <c r="OTP31" s="109"/>
      <c r="OTQ31" s="109"/>
      <c r="OTR31" s="109"/>
      <c r="OTS31" s="109"/>
      <c r="OTT31" s="109"/>
      <c r="OTU31" s="109"/>
      <c r="OTV31" s="109"/>
      <c r="OTW31" s="109"/>
      <c r="OTX31" s="109"/>
      <c r="OTY31" s="109"/>
      <c r="OTZ31" s="109"/>
      <c r="OUA31" s="109"/>
      <c r="OUB31" s="109"/>
      <c r="OUC31" s="109"/>
      <c r="OUD31" s="109"/>
      <c r="OUE31" s="109"/>
      <c r="OUF31" s="109"/>
      <c r="OUG31" s="109"/>
      <c r="OUH31" s="109"/>
      <c r="OUI31" s="109"/>
      <c r="OUJ31" s="109"/>
      <c r="OUK31" s="109"/>
      <c r="OUL31" s="109"/>
      <c r="OUM31" s="109"/>
      <c r="OUN31" s="109"/>
      <c r="OUO31" s="109"/>
      <c r="OUP31" s="109"/>
      <c r="OUQ31" s="109"/>
      <c r="OUR31" s="109"/>
      <c r="OUS31" s="109"/>
      <c r="OUT31" s="109"/>
      <c r="OUU31" s="109"/>
      <c r="OUV31" s="109"/>
      <c r="OUW31" s="109"/>
      <c r="OUX31" s="109"/>
      <c r="OUY31" s="109"/>
      <c r="OUZ31" s="109"/>
      <c r="OVA31" s="109"/>
      <c r="OVB31" s="109"/>
      <c r="OVC31" s="109"/>
      <c r="OVD31" s="109"/>
      <c r="OVE31" s="109"/>
      <c r="OVF31" s="109"/>
      <c r="OVG31" s="109"/>
      <c r="OVH31" s="109"/>
      <c r="OVI31" s="109"/>
      <c r="OVJ31" s="109"/>
      <c r="OVK31" s="109"/>
      <c r="OVL31" s="109"/>
      <c r="OVM31" s="109"/>
      <c r="OVN31" s="109"/>
      <c r="OVO31" s="109"/>
      <c r="OVP31" s="109"/>
      <c r="OVQ31" s="109"/>
      <c r="OVR31" s="109"/>
      <c r="OVS31" s="109"/>
      <c r="OVT31" s="109"/>
      <c r="OVU31" s="109"/>
      <c r="OVV31" s="109"/>
      <c r="OVW31" s="109"/>
      <c r="OVX31" s="109"/>
      <c r="OVY31" s="109"/>
      <c r="OVZ31" s="109"/>
      <c r="OWA31" s="109"/>
      <c r="OWB31" s="109"/>
      <c r="OWC31" s="109"/>
      <c r="OWD31" s="109"/>
      <c r="OWE31" s="109"/>
      <c r="OWF31" s="109"/>
      <c r="OWG31" s="109"/>
      <c r="OWH31" s="109"/>
      <c r="OWI31" s="109"/>
      <c r="OWJ31" s="109"/>
      <c r="OWK31" s="109"/>
      <c r="OWL31" s="109"/>
      <c r="OWM31" s="109"/>
      <c r="OWN31" s="109"/>
      <c r="OWO31" s="109"/>
      <c r="OWP31" s="109"/>
      <c r="OWQ31" s="109"/>
      <c r="OWR31" s="109"/>
      <c r="OWS31" s="109"/>
      <c r="OWT31" s="109"/>
      <c r="OWU31" s="109"/>
      <c r="OWV31" s="109"/>
      <c r="OWW31" s="109"/>
      <c r="OWX31" s="109"/>
      <c r="OWY31" s="109"/>
      <c r="OWZ31" s="109"/>
      <c r="OXA31" s="109"/>
      <c r="OXB31" s="109"/>
      <c r="OXC31" s="109"/>
      <c r="OXD31" s="109"/>
      <c r="OXE31" s="109"/>
      <c r="OXF31" s="109"/>
      <c r="OXG31" s="109"/>
      <c r="OXH31" s="109"/>
      <c r="OXI31" s="109"/>
      <c r="OXJ31" s="109"/>
      <c r="OXK31" s="109"/>
      <c r="OXL31" s="109"/>
      <c r="OXM31" s="109"/>
      <c r="OXN31" s="109"/>
      <c r="OXO31" s="109"/>
      <c r="OXP31" s="109"/>
      <c r="OXQ31" s="109"/>
      <c r="OXR31" s="109"/>
      <c r="OXS31" s="109"/>
      <c r="OXT31" s="109"/>
      <c r="OXU31" s="109"/>
      <c r="OXV31" s="109"/>
      <c r="OXW31" s="109"/>
      <c r="OXX31" s="109"/>
      <c r="OXY31" s="109"/>
      <c r="OXZ31" s="109"/>
      <c r="OYA31" s="109"/>
      <c r="OYB31" s="109"/>
      <c r="OYC31" s="109"/>
      <c r="OYD31" s="109"/>
      <c r="OYE31" s="109"/>
      <c r="OYF31" s="109"/>
      <c r="OYG31" s="109"/>
      <c r="OYH31" s="109"/>
      <c r="OYI31" s="109"/>
      <c r="OYJ31" s="109"/>
      <c r="OYK31" s="109"/>
      <c r="OYL31" s="109"/>
      <c r="OYM31" s="109"/>
      <c r="OYN31" s="109"/>
      <c r="OYO31" s="109"/>
      <c r="OYP31" s="109"/>
      <c r="OYQ31" s="109"/>
      <c r="OYR31" s="109"/>
      <c r="OYS31" s="109"/>
      <c r="OYT31" s="109"/>
      <c r="OYU31" s="109"/>
      <c r="OYV31" s="109"/>
      <c r="OYW31" s="109"/>
      <c r="OYX31" s="109"/>
      <c r="OYY31" s="109"/>
      <c r="OYZ31" s="109"/>
      <c r="OZA31" s="109"/>
      <c r="OZB31" s="109"/>
      <c r="OZC31" s="109"/>
      <c r="OZD31" s="109"/>
      <c r="OZE31" s="109"/>
      <c r="OZF31" s="109"/>
      <c r="OZG31" s="109"/>
      <c r="OZH31" s="109"/>
      <c r="OZI31" s="109"/>
      <c r="OZJ31" s="109"/>
      <c r="OZK31" s="109"/>
      <c r="OZL31" s="109"/>
      <c r="OZM31" s="109"/>
      <c r="OZN31" s="109"/>
      <c r="OZO31" s="109"/>
      <c r="OZP31" s="109"/>
      <c r="OZQ31" s="109"/>
      <c r="OZR31" s="109"/>
      <c r="OZS31" s="109"/>
      <c r="OZT31" s="109"/>
      <c r="OZU31" s="109"/>
      <c r="OZV31" s="109"/>
      <c r="OZW31" s="109"/>
      <c r="OZX31" s="109"/>
      <c r="OZY31" s="109"/>
      <c r="OZZ31" s="109"/>
      <c r="PAA31" s="109"/>
      <c r="PAB31" s="109"/>
      <c r="PAC31" s="109"/>
      <c r="PAD31" s="109"/>
      <c r="PAE31" s="109"/>
      <c r="PAF31" s="109"/>
      <c r="PAG31" s="109"/>
      <c r="PAH31" s="109"/>
      <c r="PAI31" s="109"/>
      <c r="PAJ31" s="109"/>
      <c r="PAK31" s="109"/>
      <c r="PAL31" s="109"/>
      <c r="PAM31" s="109"/>
      <c r="PAN31" s="109"/>
      <c r="PAO31" s="109"/>
      <c r="PAP31" s="109"/>
      <c r="PAQ31" s="109"/>
      <c r="PAR31" s="109"/>
      <c r="PAS31" s="109"/>
      <c r="PAT31" s="109"/>
      <c r="PAU31" s="109"/>
      <c r="PAV31" s="109"/>
      <c r="PAW31" s="109"/>
      <c r="PAX31" s="109"/>
      <c r="PAY31" s="109"/>
      <c r="PAZ31" s="109"/>
      <c r="PBA31" s="109"/>
      <c r="PBB31" s="109"/>
      <c r="PBC31" s="109"/>
      <c r="PBD31" s="109"/>
      <c r="PBE31" s="109"/>
      <c r="PBF31" s="109"/>
      <c r="PBG31" s="109"/>
      <c r="PBH31" s="109"/>
      <c r="PBI31" s="109"/>
      <c r="PBJ31" s="109"/>
      <c r="PBK31" s="109"/>
      <c r="PBL31" s="109"/>
      <c r="PBM31" s="109"/>
      <c r="PBN31" s="109"/>
      <c r="PBO31" s="109"/>
      <c r="PBP31" s="109"/>
      <c r="PBQ31" s="109"/>
      <c r="PBR31" s="109"/>
      <c r="PBS31" s="109"/>
      <c r="PBT31" s="109"/>
      <c r="PBU31" s="109"/>
      <c r="PBV31" s="109"/>
      <c r="PBW31" s="109"/>
      <c r="PBX31" s="109"/>
      <c r="PBY31" s="109"/>
      <c r="PBZ31" s="109"/>
      <c r="PCA31" s="109"/>
      <c r="PCB31" s="109"/>
      <c r="PCC31" s="109"/>
      <c r="PCD31" s="109"/>
      <c r="PCE31" s="109"/>
      <c r="PCF31" s="109"/>
      <c r="PCG31" s="109"/>
      <c r="PCH31" s="109"/>
      <c r="PCI31" s="109"/>
      <c r="PCJ31" s="109"/>
      <c r="PCK31" s="109"/>
      <c r="PCL31" s="109"/>
      <c r="PCM31" s="109"/>
      <c r="PCN31" s="109"/>
      <c r="PCO31" s="109"/>
      <c r="PCP31" s="109"/>
      <c r="PCQ31" s="109"/>
      <c r="PCR31" s="109"/>
      <c r="PCS31" s="109"/>
      <c r="PCT31" s="109"/>
      <c r="PCU31" s="109"/>
      <c r="PCV31" s="109"/>
      <c r="PCW31" s="109"/>
      <c r="PCX31" s="109"/>
      <c r="PCY31" s="109"/>
      <c r="PCZ31" s="109"/>
      <c r="PDA31" s="109"/>
      <c r="PDB31" s="109"/>
      <c r="PDC31" s="109"/>
      <c r="PDD31" s="109"/>
      <c r="PDE31" s="109"/>
      <c r="PDF31" s="109"/>
      <c r="PDG31" s="109"/>
      <c r="PDH31" s="109"/>
      <c r="PDI31" s="109"/>
      <c r="PDJ31" s="109"/>
      <c r="PDK31" s="109"/>
      <c r="PDL31" s="109"/>
      <c r="PDM31" s="109"/>
      <c r="PDN31" s="109"/>
      <c r="PDO31" s="109"/>
      <c r="PDP31" s="109"/>
      <c r="PDQ31" s="109"/>
      <c r="PDR31" s="109"/>
      <c r="PDS31" s="109"/>
      <c r="PDT31" s="109"/>
      <c r="PDU31" s="109"/>
      <c r="PDV31" s="109"/>
      <c r="PDW31" s="109"/>
      <c r="PDX31" s="109"/>
      <c r="PDY31" s="109"/>
      <c r="PDZ31" s="109"/>
      <c r="PEA31" s="109"/>
      <c r="PEB31" s="109"/>
      <c r="PEC31" s="109"/>
      <c r="PED31" s="109"/>
      <c r="PEE31" s="109"/>
      <c r="PEF31" s="109"/>
      <c r="PEG31" s="109"/>
      <c r="PEH31" s="109"/>
      <c r="PEI31" s="109"/>
      <c r="PEJ31" s="109"/>
      <c r="PEK31" s="109"/>
      <c r="PEL31" s="109"/>
      <c r="PEM31" s="109"/>
      <c r="PEN31" s="109"/>
      <c r="PEO31" s="109"/>
      <c r="PEP31" s="109"/>
      <c r="PEQ31" s="109"/>
      <c r="PER31" s="109"/>
      <c r="PES31" s="109"/>
      <c r="PET31" s="109"/>
      <c r="PEU31" s="109"/>
      <c r="PEV31" s="109"/>
      <c r="PEW31" s="109"/>
      <c r="PEX31" s="109"/>
      <c r="PEY31" s="109"/>
      <c r="PEZ31" s="109"/>
      <c r="PFA31" s="109"/>
      <c r="PFB31" s="109"/>
      <c r="PFC31" s="109"/>
      <c r="PFD31" s="109"/>
      <c r="PFE31" s="109"/>
      <c r="PFF31" s="109"/>
      <c r="PFG31" s="109"/>
      <c r="PFH31" s="109"/>
      <c r="PFI31" s="109"/>
      <c r="PFJ31" s="109"/>
      <c r="PFK31" s="109"/>
      <c r="PFL31" s="109"/>
      <c r="PFM31" s="109"/>
      <c r="PFN31" s="109"/>
      <c r="PFO31" s="109"/>
      <c r="PFP31" s="109"/>
      <c r="PFQ31" s="109"/>
      <c r="PFR31" s="109"/>
      <c r="PFS31" s="109"/>
      <c r="PFT31" s="109"/>
      <c r="PFU31" s="109"/>
      <c r="PFV31" s="109"/>
      <c r="PFW31" s="109"/>
      <c r="PFX31" s="109"/>
      <c r="PFY31" s="109"/>
      <c r="PFZ31" s="109"/>
      <c r="PGA31" s="109"/>
      <c r="PGB31" s="109"/>
      <c r="PGC31" s="109"/>
      <c r="PGD31" s="109"/>
      <c r="PGE31" s="109"/>
      <c r="PGF31" s="109"/>
      <c r="PGG31" s="109"/>
      <c r="PGH31" s="109"/>
      <c r="PGI31" s="109"/>
      <c r="PGJ31" s="109"/>
      <c r="PGK31" s="109"/>
      <c r="PGL31" s="109"/>
      <c r="PGM31" s="109"/>
      <c r="PGN31" s="109"/>
      <c r="PGO31" s="109"/>
      <c r="PGP31" s="109"/>
      <c r="PGQ31" s="109"/>
      <c r="PGR31" s="109"/>
      <c r="PGS31" s="109"/>
      <c r="PGT31" s="109"/>
      <c r="PGU31" s="109"/>
      <c r="PGV31" s="109"/>
      <c r="PGW31" s="109"/>
      <c r="PGX31" s="109"/>
      <c r="PGY31" s="109"/>
      <c r="PGZ31" s="109"/>
      <c r="PHA31" s="109"/>
      <c r="PHB31" s="109"/>
      <c r="PHC31" s="109"/>
      <c r="PHD31" s="109"/>
      <c r="PHE31" s="109"/>
      <c r="PHF31" s="109"/>
      <c r="PHG31" s="109"/>
      <c r="PHH31" s="109"/>
      <c r="PHI31" s="109"/>
      <c r="PHJ31" s="109"/>
      <c r="PHK31" s="109"/>
      <c r="PHL31" s="109"/>
      <c r="PHM31" s="109"/>
      <c r="PHN31" s="109"/>
      <c r="PHO31" s="109"/>
      <c r="PHP31" s="109"/>
      <c r="PHQ31" s="109"/>
      <c r="PHR31" s="109"/>
      <c r="PHS31" s="109"/>
      <c r="PHT31" s="109"/>
      <c r="PHU31" s="109"/>
      <c r="PHV31" s="109"/>
      <c r="PHW31" s="109"/>
      <c r="PHX31" s="109"/>
      <c r="PHY31" s="109"/>
      <c r="PHZ31" s="109"/>
      <c r="PIA31" s="109"/>
      <c r="PIB31" s="109"/>
      <c r="PIC31" s="109"/>
      <c r="PID31" s="109"/>
      <c r="PIE31" s="109"/>
      <c r="PIF31" s="109"/>
      <c r="PIG31" s="109"/>
      <c r="PIH31" s="109"/>
      <c r="PII31" s="109"/>
      <c r="PIJ31" s="109"/>
      <c r="PIK31" s="109"/>
      <c r="PIL31" s="109"/>
      <c r="PIM31" s="109"/>
      <c r="PIN31" s="109"/>
      <c r="PIO31" s="109"/>
      <c r="PIP31" s="109"/>
      <c r="PIQ31" s="109"/>
      <c r="PIR31" s="109"/>
      <c r="PIS31" s="109"/>
      <c r="PIT31" s="109"/>
      <c r="PIU31" s="109"/>
      <c r="PIV31" s="109"/>
      <c r="PIW31" s="109"/>
      <c r="PIX31" s="109"/>
      <c r="PIY31" s="109"/>
      <c r="PIZ31" s="109"/>
      <c r="PJA31" s="109"/>
      <c r="PJB31" s="109"/>
      <c r="PJC31" s="109"/>
      <c r="PJD31" s="109"/>
      <c r="PJE31" s="109"/>
      <c r="PJF31" s="109"/>
      <c r="PJG31" s="109"/>
      <c r="PJH31" s="109"/>
      <c r="PJI31" s="109"/>
      <c r="PJJ31" s="109"/>
      <c r="PJK31" s="109"/>
      <c r="PJL31" s="109"/>
      <c r="PJM31" s="109"/>
      <c r="PJN31" s="109"/>
      <c r="PJO31" s="109"/>
      <c r="PJP31" s="109"/>
      <c r="PJQ31" s="109"/>
      <c r="PJR31" s="109"/>
      <c r="PJS31" s="109"/>
      <c r="PJT31" s="109"/>
      <c r="PJU31" s="109"/>
      <c r="PJV31" s="109"/>
      <c r="PJW31" s="109"/>
      <c r="PJX31" s="109"/>
      <c r="PJY31" s="109"/>
      <c r="PJZ31" s="109"/>
      <c r="PKA31" s="109"/>
      <c r="PKB31" s="109"/>
      <c r="PKC31" s="109"/>
      <c r="PKD31" s="109"/>
      <c r="PKE31" s="109"/>
      <c r="PKF31" s="109"/>
      <c r="PKG31" s="109"/>
      <c r="PKH31" s="109"/>
      <c r="PKI31" s="109"/>
      <c r="PKJ31" s="109"/>
      <c r="PKK31" s="109"/>
      <c r="PKL31" s="109"/>
      <c r="PKM31" s="109"/>
      <c r="PKN31" s="109"/>
      <c r="PKO31" s="109"/>
      <c r="PKP31" s="109"/>
      <c r="PKQ31" s="109"/>
      <c r="PKR31" s="109"/>
      <c r="PKS31" s="109"/>
      <c r="PKT31" s="109"/>
      <c r="PKU31" s="109"/>
      <c r="PKV31" s="109"/>
      <c r="PKW31" s="109"/>
      <c r="PKX31" s="109"/>
      <c r="PKY31" s="109"/>
      <c r="PKZ31" s="109"/>
      <c r="PLA31" s="109"/>
      <c r="PLB31" s="109"/>
      <c r="PLC31" s="109"/>
      <c r="PLD31" s="109"/>
      <c r="PLE31" s="109"/>
      <c r="PLF31" s="109"/>
      <c r="PLG31" s="109"/>
      <c r="PLH31" s="109"/>
      <c r="PLI31" s="109"/>
      <c r="PLJ31" s="109"/>
      <c r="PLK31" s="109"/>
      <c r="PLL31" s="109"/>
      <c r="PLM31" s="109"/>
      <c r="PLN31" s="109"/>
      <c r="PLO31" s="109"/>
      <c r="PLP31" s="109"/>
      <c r="PLQ31" s="109"/>
      <c r="PLR31" s="109"/>
      <c r="PLS31" s="109"/>
      <c r="PLT31" s="109"/>
      <c r="PLU31" s="109"/>
      <c r="PLV31" s="109"/>
      <c r="PLW31" s="109"/>
      <c r="PLX31" s="109"/>
      <c r="PLY31" s="109"/>
      <c r="PLZ31" s="109"/>
      <c r="PMA31" s="109"/>
      <c r="PMB31" s="109"/>
      <c r="PMC31" s="109"/>
      <c r="PMD31" s="109"/>
      <c r="PME31" s="109"/>
      <c r="PMF31" s="109"/>
      <c r="PMG31" s="109"/>
      <c r="PMH31" s="109"/>
      <c r="PMI31" s="109"/>
      <c r="PMJ31" s="109"/>
      <c r="PMK31" s="109"/>
      <c r="PML31" s="109"/>
      <c r="PMM31" s="109"/>
      <c r="PMN31" s="109"/>
      <c r="PMO31" s="109"/>
      <c r="PMP31" s="109"/>
      <c r="PMQ31" s="109"/>
      <c r="PMR31" s="109"/>
      <c r="PMS31" s="109"/>
      <c r="PMT31" s="109"/>
      <c r="PMU31" s="109"/>
      <c r="PMV31" s="109"/>
      <c r="PMW31" s="109"/>
      <c r="PMX31" s="109"/>
      <c r="PMY31" s="109"/>
      <c r="PMZ31" s="109"/>
      <c r="PNA31" s="109"/>
      <c r="PNB31" s="109"/>
      <c r="PNC31" s="109"/>
      <c r="PND31" s="109"/>
      <c r="PNE31" s="109"/>
      <c r="PNF31" s="109"/>
      <c r="PNG31" s="109"/>
      <c r="PNH31" s="109"/>
      <c r="PNI31" s="109"/>
      <c r="PNJ31" s="109"/>
      <c r="PNK31" s="109"/>
      <c r="PNL31" s="109"/>
      <c r="PNM31" s="109"/>
      <c r="PNN31" s="109"/>
      <c r="PNO31" s="109"/>
      <c r="PNP31" s="109"/>
      <c r="PNQ31" s="109"/>
      <c r="PNR31" s="109"/>
      <c r="PNS31" s="109"/>
      <c r="PNT31" s="109"/>
      <c r="PNU31" s="109"/>
      <c r="PNV31" s="109"/>
      <c r="PNW31" s="109"/>
      <c r="PNX31" s="109"/>
      <c r="PNY31" s="109"/>
      <c r="PNZ31" s="109"/>
      <c r="POA31" s="109"/>
      <c r="POB31" s="109"/>
      <c r="POC31" s="109"/>
      <c r="POD31" s="109"/>
      <c r="POE31" s="109"/>
      <c r="POF31" s="109"/>
      <c r="POG31" s="109"/>
      <c r="POH31" s="109"/>
      <c r="POI31" s="109"/>
      <c r="POJ31" s="109"/>
      <c r="POK31" s="109"/>
      <c r="POL31" s="109"/>
      <c r="POM31" s="109"/>
      <c r="PON31" s="109"/>
      <c r="POO31" s="109"/>
      <c r="POP31" s="109"/>
      <c r="POQ31" s="109"/>
      <c r="POR31" s="109"/>
      <c r="POS31" s="109"/>
      <c r="POT31" s="109"/>
      <c r="POU31" s="109"/>
      <c r="POV31" s="109"/>
      <c r="POW31" s="109"/>
      <c r="POX31" s="109"/>
      <c r="POY31" s="109"/>
      <c r="POZ31" s="109"/>
      <c r="PPA31" s="109"/>
      <c r="PPB31" s="109"/>
      <c r="PPC31" s="109"/>
      <c r="PPD31" s="109"/>
      <c r="PPE31" s="109"/>
      <c r="PPF31" s="109"/>
      <c r="PPG31" s="109"/>
      <c r="PPH31" s="109"/>
      <c r="PPI31" s="109"/>
      <c r="PPJ31" s="109"/>
      <c r="PPK31" s="109"/>
      <c r="PPL31" s="109"/>
      <c r="PPM31" s="109"/>
      <c r="PPN31" s="109"/>
      <c r="PPO31" s="109"/>
      <c r="PPP31" s="109"/>
      <c r="PPQ31" s="109"/>
      <c r="PPR31" s="109"/>
      <c r="PPS31" s="109"/>
      <c r="PPT31" s="109"/>
      <c r="PPU31" s="109"/>
      <c r="PPV31" s="109"/>
      <c r="PPW31" s="109"/>
      <c r="PPX31" s="109"/>
      <c r="PPY31" s="109"/>
      <c r="PPZ31" s="109"/>
      <c r="PQA31" s="109"/>
      <c r="PQB31" s="109"/>
      <c r="PQC31" s="109"/>
      <c r="PQD31" s="109"/>
      <c r="PQE31" s="109"/>
      <c r="PQF31" s="109"/>
      <c r="PQG31" s="109"/>
      <c r="PQH31" s="109"/>
      <c r="PQI31" s="109"/>
      <c r="PQJ31" s="109"/>
      <c r="PQK31" s="109"/>
      <c r="PQL31" s="109"/>
      <c r="PQM31" s="109"/>
      <c r="PQN31" s="109"/>
      <c r="PQO31" s="109"/>
      <c r="PQP31" s="109"/>
      <c r="PQQ31" s="109"/>
      <c r="PQR31" s="109"/>
      <c r="PQS31" s="109"/>
      <c r="PQT31" s="109"/>
      <c r="PQU31" s="109"/>
      <c r="PQV31" s="109"/>
      <c r="PQW31" s="109"/>
      <c r="PQX31" s="109"/>
      <c r="PQY31" s="109"/>
      <c r="PQZ31" s="109"/>
      <c r="PRA31" s="109"/>
      <c r="PRB31" s="109"/>
      <c r="PRC31" s="109"/>
      <c r="PRD31" s="109"/>
      <c r="PRE31" s="109"/>
      <c r="PRF31" s="109"/>
      <c r="PRG31" s="109"/>
      <c r="PRH31" s="109"/>
      <c r="PRI31" s="109"/>
      <c r="PRJ31" s="109"/>
      <c r="PRK31" s="109"/>
      <c r="PRL31" s="109"/>
      <c r="PRM31" s="109"/>
      <c r="PRN31" s="109"/>
      <c r="PRO31" s="109"/>
      <c r="PRP31" s="109"/>
      <c r="PRQ31" s="109"/>
      <c r="PRR31" s="109"/>
      <c r="PRS31" s="109"/>
      <c r="PRT31" s="109"/>
      <c r="PRU31" s="109"/>
      <c r="PRV31" s="109"/>
      <c r="PRW31" s="109"/>
      <c r="PRX31" s="109"/>
      <c r="PRY31" s="109"/>
      <c r="PRZ31" s="109"/>
      <c r="PSA31" s="109"/>
      <c r="PSB31" s="109"/>
      <c r="PSC31" s="109"/>
      <c r="PSD31" s="109"/>
      <c r="PSE31" s="109"/>
      <c r="PSF31" s="109"/>
      <c r="PSG31" s="109"/>
      <c r="PSH31" s="109"/>
      <c r="PSI31" s="109"/>
      <c r="PSJ31" s="109"/>
      <c r="PSK31" s="109"/>
      <c r="PSL31" s="109"/>
      <c r="PSM31" s="109"/>
      <c r="PSN31" s="109"/>
      <c r="PSO31" s="109"/>
      <c r="PSP31" s="109"/>
      <c r="PSQ31" s="109"/>
      <c r="PSR31" s="109"/>
      <c r="PSS31" s="109"/>
      <c r="PST31" s="109"/>
      <c r="PSU31" s="109"/>
      <c r="PSV31" s="109"/>
      <c r="PSW31" s="109"/>
      <c r="PSX31" s="109"/>
      <c r="PSY31" s="109"/>
      <c r="PSZ31" s="109"/>
      <c r="PTA31" s="109"/>
      <c r="PTB31" s="109"/>
      <c r="PTC31" s="109"/>
      <c r="PTD31" s="109"/>
      <c r="PTE31" s="109"/>
      <c r="PTF31" s="109"/>
      <c r="PTG31" s="109"/>
      <c r="PTH31" s="109"/>
      <c r="PTI31" s="109"/>
      <c r="PTJ31" s="109"/>
      <c r="PTK31" s="109"/>
      <c r="PTL31" s="109"/>
      <c r="PTM31" s="109"/>
      <c r="PTN31" s="109"/>
      <c r="PTO31" s="109"/>
      <c r="PTP31" s="109"/>
      <c r="PTQ31" s="109"/>
      <c r="PTR31" s="109"/>
      <c r="PTS31" s="109"/>
      <c r="PTT31" s="109"/>
      <c r="PTU31" s="109"/>
      <c r="PTV31" s="109"/>
      <c r="PTW31" s="109"/>
      <c r="PTX31" s="109"/>
      <c r="PTY31" s="109"/>
      <c r="PTZ31" s="109"/>
      <c r="PUA31" s="109"/>
      <c r="PUB31" s="109"/>
      <c r="PUC31" s="109"/>
      <c r="PUD31" s="109"/>
      <c r="PUE31" s="109"/>
      <c r="PUF31" s="109"/>
      <c r="PUG31" s="109"/>
      <c r="PUH31" s="109"/>
      <c r="PUI31" s="109"/>
      <c r="PUJ31" s="109"/>
      <c r="PUK31" s="109"/>
      <c r="PUL31" s="109"/>
      <c r="PUM31" s="109"/>
      <c r="PUN31" s="109"/>
      <c r="PUO31" s="109"/>
      <c r="PUP31" s="109"/>
      <c r="PUQ31" s="109"/>
      <c r="PUR31" s="109"/>
      <c r="PUS31" s="109"/>
      <c r="PUT31" s="109"/>
      <c r="PUU31" s="109"/>
      <c r="PUV31" s="109"/>
      <c r="PUW31" s="109"/>
      <c r="PUX31" s="109"/>
      <c r="PUY31" s="109"/>
      <c r="PUZ31" s="109"/>
      <c r="PVA31" s="109"/>
      <c r="PVB31" s="109"/>
      <c r="PVC31" s="109"/>
      <c r="PVD31" s="109"/>
      <c r="PVE31" s="109"/>
      <c r="PVF31" s="109"/>
      <c r="PVG31" s="109"/>
      <c r="PVH31" s="109"/>
      <c r="PVI31" s="109"/>
      <c r="PVJ31" s="109"/>
      <c r="PVK31" s="109"/>
      <c r="PVL31" s="109"/>
      <c r="PVM31" s="109"/>
      <c r="PVN31" s="109"/>
      <c r="PVO31" s="109"/>
      <c r="PVP31" s="109"/>
      <c r="PVQ31" s="109"/>
      <c r="PVR31" s="109"/>
      <c r="PVS31" s="109"/>
      <c r="PVT31" s="109"/>
      <c r="PVU31" s="109"/>
      <c r="PVV31" s="109"/>
      <c r="PVW31" s="109"/>
      <c r="PVX31" s="109"/>
      <c r="PVY31" s="109"/>
      <c r="PVZ31" s="109"/>
      <c r="PWA31" s="109"/>
      <c r="PWB31" s="109"/>
      <c r="PWC31" s="109"/>
      <c r="PWD31" s="109"/>
      <c r="PWE31" s="109"/>
      <c r="PWF31" s="109"/>
      <c r="PWG31" s="109"/>
      <c r="PWH31" s="109"/>
      <c r="PWI31" s="109"/>
      <c r="PWJ31" s="109"/>
      <c r="PWK31" s="109"/>
      <c r="PWL31" s="109"/>
      <c r="PWM31" s="109"/>
      <c r="PWN31" s="109"/>
      <c r="PWO31" s="109"/>
      <c r="PWP31" s="109"/>
      <c r="PWQ31" s="109"/>
      <c r="PWR31" s="109"/>
      <c r="PWS31" s="109"/>
      <c r="PWT31" s="109"/>
      <c r="PWU31" s="109"/>
      <c r="PWV31" s="109"/>
      <c r="PWW31" s="109"/>
      <c r="PWX31" s="109"/>
      <c r="PWY31" s="109"/>
      <c r="PWZ31" s="109"/>
      <c r="PXA31" s="109"/>
      <c r="PXB31" s="109"/>
      <c r="PXC31" s="109"/>
      <c r="PXD31" s="109"/>
      <c r="PXE31" s="109"/>
      <c r="PXF31" s="109"/>
      <c r="PXG31" s="109"/>
      <c r="PXH31" s="109"/>
      <c r="PXI31" s="109"/>
      <c r="PXJ31" s="109"/>
      <c r="PXK31" s="109"/>
      <c r="PXL31" s="109"/>
      <c r="PXM31" s="109"/>
      <c r="PXN31" s="109"/>
      <c r="PXO31" s="109"/>
      <c r="PXP31" s="109"/>
      <c r="PXQ31" s="109"/>
      <c r="PXR31" s="109"/>
      <c r="PXS31" s="109"/>
      <c r="PXT31" s="109"/>
      <c r="PXU31" s="109"/>
      <c r="PXV31" s="109"/>
      <c r="PXW31" s="109"/>
      <c r="PXX31" s="109"/>
      <c r="PXY31" s="109"/>
      <c r="PXZ31" s="109"/>
      <c r="PYA31" s="109"/>
      <c r="PYB31" s="109"/>
      <c r="PYC31" s="109"/>
      <c r="PYD31" s="109"/>
      <c r="PYE31" s="109"/>
      <c r="PYF31" s="109"/>
      <c r="PYG31" s="109"/>
      <c r="PYH31" s="109"/>
      <c r="PYI31" s="109"/>
      <c r="PYJ31" s="109"/>
      <c r="PYK31" s="109"/>
      <c r="PYL31" s="109"/>
      <c r="PYM31" s="109"/>
      <c r="PYN31" s="109"/>
      <c r="PYO31" s="109"/>
      <c r="PYP31" s="109"/>
      <c r="PYQ31" s="109"/>
      <c r="PYR31" s="109"/>
      <c r="PYS31" s="109"/>
      <c r="PYT31" s="109"/>
      <c r="PYU31" s="109"/>
      <c r="PYV31" s="109"/>
      <c r="PYW31" s="109"/>
      <c r="PYX31" s="109"/>
      <c r="PYY31" s="109"/>
      <c r="PYZ31" s="109"/>
      <c r="PZA31" s="109"/>
      <c r="PZB31" s="109"/>
      <c r="PZC31" s="109"/>
      <c r="PZD31" s="109"/>
      <c r="PZE31" s="109"/>
      <c r="PZF31" s="109"/>
      <c r="PZG31" s="109"/>
      <c r="PZH31" s="109"/>
      <c r="PZI31" s="109"/>
      <c r="PZJ31" s="109"/>
      <c r="PZK31" s="109"/>
      <c r="PZL31" s="109"/>
      <c r="PZM31" s="109"/>
      <c r="PZN31" s="109"/>
      <c r="PZO31" s="109"/>
      <c r="PZP31" s="109"/>
      <c r="PZQ31" s="109"/>
      <c r="PZR31" s="109"/>
      <c r="PZS31" s="109"/>
      <c r="PZT31" s="109"/>
      <c r="PZU31" s="109"/>
      <c r="PZV31" s="109"/>
      <c r="PZW31" s="109"/>
      <c r="PZX31" s="109"/>
      <c r="PZY31" s="109"/>
      <c r="PZZ31" s="109"/>
      <c r="QAA31" s="109"/>
      <c r="QAB31" s="109"/>
      <c r="QAC31" s="109"/>
      <c r="QAD31" s="109"/>
      <c r="QAE31" s="109"/>
      <c r="QAF31" s="109"/>
      <c r="QAG31" s="109"/>
      <c r="QAH31" s="109"/>
      <c r="QAI31" s="109"/>
      <c r="QAJ31" s="109"/>
      <c r="QAK31" s="109"/>
      <c r="QAL31" s="109"/>
      <c r="QAM31" s="109"/>
      <c r="QAN31" s="109"/>
      <c r="QAO31" s="109"/>
      <c r="QAP31" s="109"/>
      <c r="QAQ31" s="109"/>
      <c r="QAR31" s="109"/>
      <c r="QAS31" s="109"/>
      <c r="QAT31" s="109"/>
      <c r="QAU31" s="109"/>
      <c r="QAV31" s="109"/>
      <c r="QAW31" s="109"/>
      <c r="QAX31" s="109"/>
      <c r="QAY31" s="109"/>
      <c r="QAZ31" s="109"/>
      <c r="QBA31" s="109"/>
      <c r="QBB31" s="109"/>
      <c r="QBC31" s="109"/>
      <c r="QBD31" s="109"/>
      <c r="QBE31" s="109"/>
      <c r="QBF31" s="109"/>
      <c r="QBG31" s="109"/>
      <c r="QBH31" s="109"/>
      <c r="QBI31" s="109"/>
      <c r="QBJ31" s="109"/>
      <c r="QBK31" s="109"/>
      <c r="QBL31" s="109"/>
      <c r="QBM31" s="109"/>
      <c r="QBN31" s="109"/>
      <c r="QBO31" s="109"/>
      <c r="QBP31" s="109"/>
      <c r="QBQ31" s="109"/>
      <c r="QBR31" s="109"/>
      <c r="QBS31" s="109"/>
      <c r="QBT31" s="109"/>
      <c r="QBU31" s="109"/>
      <c r="QBV31" s="109"/>
      <c r="QBW31" s="109"/>
      <c r="QBX31" s="109"/>
      <c r="QBY31" s="109"/>
      <c r="QBZ31" s="109"/>
      <c r="QCA31" s="109"/>
      <c r="QCB31" s="109"/>
      <c r="QCC31" s="109"/>
      <c r="QCD31" s="109"/>
      <c r="QCE31" s="109"/>
      <c r="QCF31" s="109"/>
      <c r="QCG31" s="109"/>
      <c r="QCH31" s="109"/>
      <c r="QCI31" s="109"/>
      <c r="QCJ31" s="109"/>
      <c r="QCK31" s="109"/>
      <c r="QCL31" s="109"/>
      <c r="QCM31" s="109"/>
      <c r="QCN31" s="109"/>
      <c r="QCO31" s="109"/>
      <c r="QCP31" s="109"/>
      <c r="QCQ31" s="109"/>
      <c r="QCR31" s="109"/>
      <c r="QCS31" s="109"/>
      <c r="QCT31" s="109"/>
      <c r="QCU31" s="109"/>
      <c r="QCV31" s="109"/>
      <c r="QCW31" s="109"/>
      <c r="QCX31" s="109"/>
      <c r="QCY31" s="109"/>
      <c r="QCZ31" s="109"/>
      <c r="QDA31" s="109"/>
      <c r="QDB31" s="109"/>
      <c r="QDC31" s="109"/>
      <c r="QDD31" s="109"/>
      <c r="QDE31" s="109"/>
      <c r="QDF31" s="109"/>
      <c r="QDG31" s="109"/>
      <c r="QDH31" s="109"/>
      <c r="QDI31" s="109"/>
      <c r="QDJ31" s="109"/>
      <c r="QDK31" s="109"/>
      <c r="QDL31" s="109"/>
      <c r="QDM31" s="109"/>
      <c r="QDN31" s="109"/>
      <c r="QDO31" s="109"/>
      <c r="QDP31" s="109"/>
      <c r="QDQ31" s="109"/>
      <c r="QDR31" s="109"/>
      <c r="QDS31" s="109"/>
      <c r="QDT31" s="109"/>
      <c r="QDU31" s="109"/>
      <c r="QDV31" s="109"/>
      <c r="QDW31" s="109"/>
      <c r="QDX31" s="109"/>
      <c r="QDY31" s="109"/>
      <c r="QDZ31" s="109"/>
      <c r="QEA31" s="109"/>
      <c r="QEB31" s="109"/>
      <c r="QEC31" s="109"/>
      <c r="QED31" s="109"/>
      <c r="QEE31" s="109"/>
      <c r="QEF31" s="109"/>
      <c r="QEG31" s="109"/>
      <c r="QEH31" s="109"/>
      <c r="QEI31" s="109"/>
      <c r="QEJ31" s="109"/>
      <c r="QEK31" s="109"/>
      <c r="QEL31" s="109"/>
      <c r="QEM31" s="109"/>
      <c r="QEN31" s="109"/>
      <c r="QEO31" s="109"/>
      <c r="QEP31" s="109"/>
      <c r="QEQ31" s="109"/>
      <c r="QER31" s="109"/>
      <c r="QES31" s="109"/>
      <c r="QET31" s="109"/>
      <c r="QEU31" s="109"/>
      <c r="QEV31" s="109"/>
      <c r="QEW31" s="109"/>
      <c r="QEX31" s="109"/>
      <c r="QEY31" s="109"/>
      <c r="QEZ31" s="109"/>
      <c r="QFA31" s="109"/>
      <c r="QFB31" s="109"/>
      <c r="QFC31" s="109"/>
      <c r="QFD31" s="109"/>
      <c r="QFE31" s="109"/>
      <c r="QFF31" s="109"/>
      <c r="QFG31" s="109"/>
      <c r="QFH31" s="109"/>
      <c r="QFI31" s="109"/>
      <c r="QFJ31" s="109"/>
      <c r="QFK31" s="109"/>
      <c r="QFL31" s="109"/>
      <c r="QFM31" s="109"/>
      <c r="QFN31" s="109"/>
      <c r="QFO31" s="109"/>
      <c r="QFP31" s="109"/>
      <c r="QFQ31" s="109"/>
      <c r="QFR31" s="109"/>
      <c r="QFS31" s="109"/>
      <c r="QFT31" s="109"/>
      <c r="QFU31" s="109"/>
      <c r="QFV31" s="109"/>
      <c r="QFW31" s="109"/>
      <c r="QFX31" s="109"/>
      <c r="QFY31" s="109"/>
      <c r="QFZ31" s="109"/>
      <c r="QGA31" s="109"/>
      <c r="QGB31" s="109"/>
      <c r="QGC31" s="109"/>
      <c r="QGD31" s="109"/>
      <c r="QGE31" s="109"/>
      <c r="QGF31" s="109"/>
      <c r="QGG31" s="109"/>
      <c r="QGH31" s="109"/>
      <c r="QGI31" s="109"/>
      <c r="QGJ31" s="109"/>
      <c r="QGK31" s="109"/>
      <c r="QGL31" s="109"/>
      <c r="QGM31" s="109"/>
      <c r="QGN31" s="109"/>
      <c r="QGO31" s="109"/>
      <c r="QGP31" s="109"/>
      <c r="QGQ31" s="109"/>
      <c r="QGR31" s="109"/>
      <c r="QGS31" s="109"/>
      <c r="QGT31" s="109"/>
      <c r="QGU31" s="109"/>
      <c r="QGV31" s="109"/>
      <c r="QGW31" s="109"/>
      <c r="QGX31" s="109"/>
      <c r="QGY31" s="109"/>
      <c r="QGZ31" s="109"/>
      <c r="QHA31" s="109"/>
      <c r="QHB31" s="109"/>
      <c r="QHC31" s="109"/>
      <c r="QHD31" s="109"/>
      <c r="QHE31" s="109"/>
      <c r="QHF31" s="109"/>
      <c r="QHG31" s="109"/>
      <c r="QHH31" s="109"/>
      <c r="QHI31" s="109"/>
      <c r="QHJ31" s="109"/>
      <c r="QHK31" s="109"/>
      <c r="QHL31" s="109"/>
      <c r="QHM31" s="109"/>
      <c r="QHN31" s="109"/>
      <c r="QHO31" s="109"/>
      <c r="QHP31" s="109"/>
      <c r="QHQ31" s="109"/>
      <c r="QHR31" s="109"/>
      <c r="QHS31" s="109"/>
      <c r="QHT31" s="109"/>
      <c r="QHU31" s="109"/>
      <c r="QHV31" s="109"/>
      <c r="QHW31" s="109"/>
      <c r="QHX31" s="109"/>
      <c r="QHY31" s="109"/>
      <c r="QHZ31" s="109"/>
      <c r="QIA31" s="109"/>
      <c r="QIB31" s="109"/>
      <c r="QIC31" s="109"/>
      <c r="QID31" s="109"/>
      <c r="QIE31" s="109"/>
      <c r="QIF31" s="109"/>
      <c r="QIG31" s="109"/>
      <c r="QIH31" s="109"/>
      <c r="QII31" s="109"/>
      <c r="QIJ31" s="109"/>
      <c r="QIK31" s="109"/>
      <c r="QIL31" s="109"/>
      <c r="QIM31" s="109"/>
      <c r="QIN31" s="109"/>
      <c r="QIO31" s="109"/>
      <c r="QIP31" s="109"/>
      <c r="QIQ31" s="109"/>
      <c r="QIR31" s="109"/>
      <c r="QIS31" s="109"/>
      <c r="QIT31" s="109"/>
      <c r="QIU31" s="109"/>
      <c r="QIV31" s="109"/>
      <c r="QIW31" s="109"/>
      <c r="QIX31" s="109"/>
      <c r="QIY31" s="109"/>
      <c r="QIZ31" s="109"/>
      <c r="QJA31" s="109"/>
      <c r="QJB31" s="109"/>
      <c r="QJC31" s="109"/>
      <c r="QJD31" s="109"/>
      <c r="QJE31" s="109"/>
      <c r="QJF31" s="109"/>
      <c r="QJG31" s="109"/>
      <c r="QJH31" s="109"/>
      <c r="QJI31" s="109"/>
      <c r="QJJ31" s="109"/>
      <c r="QJK31" s="109"/>
      <c r="QJL31" s="109"/>
      <c r="QJM31" s="109"/>
      <c r="QJN31" s="109"/>
      <c r="QJO31" s="109"/>
      <c r="QJP31" s="109"/>
      <c r="QJQ31" s="109"/>
      <c r="QJR31" s="109"/>
      <c r="QJS31" s="109"/>
      <c r="QJT31" s="109"/>
      <c r="QJU31" s="109"/>
      <c r="QJV31" s="109"/>
      <c r="QJW31" s="109"/>
      <c r="QJX31" s="109"/>
      <c r="QJY31" s="109"/>
      <c r="QJZ31" s="109"/>
      <c r="QKA31" s="109"/>
      <c r="QKB31" s="109"/>
      <c r="QKC31" s="109"/>
      <c r="QKD31" s="109"/>
      <c r="QKE31" s="109"/>
      <c r="QKF31" s="109"/>
      <c r="QKG31" s="109"/>
      <c r="QKH31" s="109"/>
      <c r="QKI31" s="109"/>
      <c r="QKJ31" s="109"/>
      <c r="QKK31" s="109"/>
      <c r="QKL31" s="109"/>
      <c r="QKM31" s="109"/>
      <c r="QKN31" s="109"/>
      <c r="QKO31" s="109"/>
      <c r="QKP31" s="109"/>
      <c r="QKQ31" s="109"/>
      <c r="QKR31" s="109"/>
      <c r="QKS31" s="109"/>
      <c r="QKT31" s="109"/>
      <c r="QKU31" s="109"/>
      <c r="QKV31" s="109"/>
      <c r="QKW31" s="109"/>
      <c r="QKX31" s="109"/>
      <c r="QKY31" s="109"/>
      <c r="QKZ31" s="109"/>
      <c r="QLA31" s="109"/>
      <c r="QLB31" s="109"/>
      <c r="QLC31" s="109"/>
      <c r="QLD31" s="109"/>
      <c r="QLE31" s="109"/>
      <c r="QLF31" s="109"/>
      <c r="QLG31" s="109"/>
      <c r="QLH31" s="109"/>
      <c r="QLI31" s="109"/>
      <c r="QLJ31" s="109"/>
      <c r="QLK31" s="109"/>
      <c r="QLL31" s="109"/>
      <c r="QLM31" s="109"/>
      <c r="QLN31" s="109"/>
      <c r="QLO31" s="109"/>
      <c r="QLP31" s="109"/>
      <c r="QLQ31" s="109"/>
      <c r="QLR31" s="109"/>
      <c r="QLS31" s="109"/>
      <c r="QLT31" s="109"/>
      <c r="QLU31" s="109"/>
      <c r="QLV31" s="109"/>
      <c r="QLW31" s="109"/>
      <c r="QLX31" s="109"/>
      <c r="QLY31" s="109"/>
      <c r="QLZ31" s="109"/>
      <c r="QMA31" s="109"/>
      <c r="QMB31" s="109"/>
      <c r="QMC31" s="109"/>
      <c r="QMD31" s="109"/>
      <c r="QME31" s="109"/>
      <c r="QMF31" s="109"/>
      <c r="QMG31" s="109"/>
      <c r="QMH31" s="109"/>
      <c r="QMI31" s="109"/>
      <c r="QMJ31" s="109"/>
      <c r="QMK31" s="109"/>
      <c r="QML31" s="109"/>
      <c r="QMM31" s="109"/>
      <c r="QMN31" s="109"/>
      <c r="QMO31" s="109"/>
      <c r="QMP31" s="109"/>
      <c r="QMQ31" s="109"/>
      <c r="QMR31" s="109"/>
      <c r="QMS31" s="109"/>
      <c r="QMT31" s="109"/>
      <c r="QMU31" s="109"/>
      <c r="QMV31" s="109"/>
      <c r="QMW31" s="109"/>
      <c r="QMX31" s="109"/>
      <c r="QMY31" s="109"/>
      <c r="QMZ31" s="109"/>
      <c r="QNA31" s="109"/>
      <c r="QNB31" s="109"/>
      <c r="QNC31" s="109"/>
      <c r="QND31" s="109"/>
      <c r="QNE31" s="109"/>
      <c r="QNF31" s="109"/>
      <c r="QNG31" s="109"/>
      <c r="QNH31" s="109"/>
      <c r="QNI31" s="109"/>
      <c r="QNJ31" s="109"/>
      <c r="QNK31" s="109"/>
      <c r="QNL31" s="109"/>
      <c r="QNM31" s="109"/>
      <c r="QNN31" s="109"/>
      <c r="QNO31" s="109"/>
      <c r="QNP31" s="109"/>
      <c r="QNQ31" s="109"/>
      <c r="QNR31" s="109"/>
      <c r="QNS31" s="109"/>
      <c r="QNT31" s="109"/>
      <c r="QNU31" s="109"/>
      <c r="QNV31" s="109"/>
      <c r="QNW31" s="109"/>
      <c r="QNX31" s="109"/>
      <c r="QNY31" s="109"/>
      <c r="QNZ31" s="109"/>
      <c r="QOA31" s="109"/>
      <c r="QOB31" s="109"/>
      <c r="QOC31" s="109"/>
      <c r="QOD31" s="109"/>
      <c r="QOE31" s="109"/>
      <c r="QOF31" s="109"/>
      <c r="QOG31" s="109"/>
      <c r="QOH31" s="109"/>
      <c r="QOI31" s="109"/>
      <c r="QOJ31" s="109"/>
      <c r="QOK31" s="109"/>
      <c r="QOL31" s="109"/>
      <c r="QOM31" s="109"/>
      <c r="QON31" s="109"/>
      <c r="QOO31" s="109"/>
      <c r="QOP31" s="109"/>
      <c r="QOQ31" s="109"/>
      <c r="QOR31" s="109"/>
      <c r="QOS31" s="109"/>
      <c r="QOT31" s="109"/>
      <c r="QOU31" s="109"/>
      <c r="QOV31" s="109"/>
      <c r="QOW31" s="109"/>
      <c r="QOX31" s="109"/>
      <c r="QOY31" s="109"/>
      <c r="QOZ31" s="109"/>
      <c r="QPA31" s="109"/>
      <c r="QPB31" s="109"/>
      <c r="QPC31" s="109"/>
      <c r="QPD31" s="109"/>
      <c r="QPE31" s="109"/>
      <c r="QPF31" s="109"/>
      <c r="QPG31" s="109"/>
      <c r="QPH31" s="109"/>
      <c r="QPI31" s="109"/>
      <c r="QPJ31" s="109"/>
      <c r="QPK31" s="109"/>
      <c r="QPL31" s="109"/>
      <c r="QPM31" s="109"/>
      <c r="QPN31" s="109"/>
      <c r="QPO31" s="109"/>
      <c r="QPP31" s="109"/>
      <c r="QPQ31" s="109"/>
      <c r="QPR31" s="109"/>
      <c r="QPS31" s="109"/>
      <c r="QPT31" s="109"/>
      <c r="QPU31" s="109"/>
      <c r="QPV31" s="109"/>
      <c r="QPW31" s="109"/>
      <c r="QPX31" s="109"/>
      <c r="QPY31" s="109"/>
      <c r="QPZ31" s="109"/>
      <c r="QQA31" s="109"/>
      <c r="QQB31" s="109"/>
      <c r="QQC31" s="109"/>
      <c r="QQD31" s="109"/>
      <c r="QQE31" s="109"/>
      <c r="QQF31" s="109"/>
      <c r="QQG31" s="109"/>
      <c r="QQH31" s="109"/>
      <c r="QQI31" s="109"/>
      <c r="QQJ31" s="109"/>
      <c r="QQK31" s="109"/>
      <c r="QQL31" s="109"/>
      <c r="QQM31" s="109"/>
      <c r="QQN31" s="109"/>
      <c r="QQO31" s="109"/>
      <c r="QQP31" s="109"/>
      <c r="QQQ31" s="109"/>
      <c r="QQR31" s="109"/>
      <c r="QQS31" s="109"/>
      <c r="QQT31" s="109"/>
      <c r="QQU31" s="109"/>
      <c r="QQV31" s="109"/>
      <c r="QQW31" s="109"/>
      <c r="QQX31" s="109"/>
      <c r="QQY31" s="109"/>
      <c r="QQZ31" s="109"/>
      <c r="QRA31" s="109"/>
      <c r="QRB31" s="109"/>
      <c r="QRC31" s="109"/>
      <c r="QRD31" s="109"/>
      <c r="QRE31" s="109"/>
      <c r="QRF31" s="109"/>
      <c r="QRG31" s="109"/>
      <c r="QRH31" s="109"/>
      <c r="QRI31" s="109"/>
      <c r="QRJ31" s="109"/>
      <c r="QRK31" s="109"/>
      <c r="QRL31" s="109"/>
      <c r="QRM31" s="109"/>
      <c r="QRN31" s="109"/>
      <c r="QRO31" s="109"/>
      <c r="QRP31" s="109"/>
      <c r="QRQ31" s="109"/>
      <c r="QRR31" s="109"/>
      <c r="QRS31" s="109"/>
      <c r="QRT31" s="109"/>
      <c r="QRU31" s="109"/>
      <c r="QRV31" s="109"/>
      <c r="QRW31" s="109"/>
      <c r="QRX31" s="109"/>
      <c r="QRY31" s="109"/>
      <c r="QRZ31" s="109"/>
      <c r="QSA31" s="109"/>
      <c r="QSB31" s="109"/>
      <c r="QSC31" s="109"/>
      <c r="QSD31" s="109"/>
      <c r="QSE31" s="109"/>
      <c r="QSF31" s="109"/>
      <c r="QSG31" s="109"/>
      <c r="QSH31" s="109"/>
      <c r="QSI31" s="109"/>
      <c r="QSJ31" s="109"/>
      <c r="QSK31" s="109"/>
      <c r="QSL31" s="109"/>
      <c r="QSM31" s="109"/>
      <c r="QSN31" s="109"/>
      <c r="QSO31" s="109"/>
      <c r="QSP31" s="109"/>
      <c r="QSQ31" s="109"/>
      <c r="QSR31" s="109"/>
      <c r="QSS31" s="109"/>
      <c r="QST31" s="109"/>
      <c r="QSU31" s="109"/>
      <c r="QSV31" s="109"/>
      <c r="QSW31" s="109"/>
      <c r="QSX31" s="109"/>
      <c r="QSY31" s="109"/>
      <c r="QSZ31" s="109"/>
      <c r="QTA31" s="109"/>
      <c r="QTB31" s="109"/>
      <c r="QTC31" s="109"/>
      <c r="QTD31" s="109"/>
      <c r="QTE31" s="109"/>
      <c r="QTF31" s="109"/>
      <c r="QTG31" s="109"/>
      <c r="QTH31" s="109"/>
      <c r="QTI31" s="109"/>
      <c r="QTJ31" s="109"/>
      <c r="QTK31" s="109"/>
      <c r="QTL31" s="109"/>
      <c r="QTM31" s="109"/>
      <c r="QTN31" s="109"/>
      <c r="QTO31" s="109"/>
      <c r="QTP31" s="109"/>
      <c r="QTQ31" s="109"/>
      <c r="QTR31" s="109"/>
      <c r="QTS31" s="109"/>
      <c r="QTT31" s="109"/>
      <c r="QTU31" s="109"/>
      <c r="QTV31" s="109"/>
      <c r="QTW31" s="109"/>
      <c r="QTX31" s="109"/>
      <c r="QTY31" s="109"/>
      <c r="QTZ31" s="109"/>
      <c r="QUA31" s="109"/>
      <c r="QUB31" s="109"/>
      <c r="QUC31" s="109"/>
      <c r="QUD31" s="109"/>
      <c r="QUE31" s="109"/>
      <c r="QUF31" s="109"/>
      <c r="QUG31" s="109"/>
      <c r="QUH31" s="109"/>
      <c r="QUI31" s="109"/>
      <c r="QUJ31" s="109"/>
      <c r="QUK31" s="109"/>
      <c r="QUL31" s="109"/>
      <c r="QUM31" s="109"/>
      <c r="QUN31" s="109"/>
      <c r="QUO31" s="109"/>
      <c r="QUP31" s="109"/>
      <c r="QUQ31" s="109"/>
      <c r="QUR31" s="109"/>
      <c r="QUS31" s="109"/>
      <c r="QUT31" s="109"/>
      <c r="QUU31" s="109"/>
      <c r="QUV31" s="109"/>
      <c r="QUW31" s="109"/>
      <c r="QUX31" s="109"/>
      <c r="QUY31" s="109"/>
      <c r="QUZ31" s="109"/>
      <c r="QVA31" s="109"/>
      <c r="QVB31" s="109"/>
      <c r="QVC31" s="109"/>
      <c r="QVD31" s="109"/>
      <c r="QVE31" s="109"/>
      <c r="QVF31" s="109"/>
      <c r="QVG31" s="109"/>
      <c r="QVH31" s="109"/>
      <c r="QVI31" s="109"/>
      <c r="QVJ31" s="109"/>
      <c r="QVK31" s="109"/>
      <c r="QVL31" s="109"/>
      <c r="QVM31" s="109"/>
      <c r="QVN31" s="109"/>
      <c r="QVO31" s="109"/>
      <c r="QVP31" s="109"/>
      <c r="QVQ31" s="109"/>
      <c r="QVR31" s="109"/>
      <c r="QVS31" s="109"/>
      <c r="QVT31" s="109"/>
      <c r="QVU31" s="109"/>
      <c r="QVV31" s="109"/>
      <c r="QVW31" s="109"/>
      <c r="QVX31" s="109"/>
      <c r="QVY31" s="109"/>
      <c r="QVZ31" s="109"/>
      <c r="QWA31" s="109"/>
      <c r="QWB31" s="109"/>
      <c r="QWC31" s="109"/>
      <c r="QWD31" s="109"/>
      <c r="QWE31" s="109"/>
      <c r="QWF31" s="109"/>
      <c r="QWG31" s="109"/>
      <c r="QWH31" s="109"/>
      <c r="QWI31" s="109"/>
      <c r="QWJ31" s="109"/>
      <c r="QWK31" s="109"/>
      <c r="QWL31" s="109"/>
      <c r="QWM31" s="109"/>
      <c r="QWN31" s="109"/>
      <c r="QWO31" s="109"/>
      <c r="QWP31" s="109"/>
      <c r="QWQ31" s="109"/>
      <c r="QWR31" s="109"/>
      <c r="QWS31" s="109"/>
      <c r="QWT31" s="109"/>
      <c r="QWU31" s="109"/>
      <c r="QWV31" s="109"/>
      <c r="QWW31" s="109"/>
      <c r="QWX31" s="109"/>
      <c r="QWY31" s="109"/>
      <c r="QWZ31" s="109"/>
      <c r="QXA31" s="109"/>
      <c r="QXB31" s="109"/>
      <c r="QXC31" s="109"/>
      <c r="QXD31" s="109"/>
      <c r="QXE31" s="109"/>
      <c r="QXF31" s="109"/>
      <c r="QXG31" s="109"/>
      <c r="QXH31" s="109"/>
      <c r="QXI31" s="109"/>
      <c r="QXJ31" s="109"/>
      <c r="QXK31" s="109"/>
      <c r="QXL31" s="109"/>
      <c r="QXM31" s="109"/>
      <c r="QXN31" s="109"/>
      <c r="QXO31" s="109"/>
      <c r="QXP31" s="109"/>
      <c r="QXQ31" s="109"/>
      <c r="QXR31" s="109"/>
      <c r="QXS31" s="109"/>
      <c r="QXT31" s="109"/>
      <c r="QXU31" s="109"/>
      <c r="QXV31" s="109"/>
      <c r="QXW31" s="109"/>
      <c r="QXX31" s="109"/>
      <c r="QXY31" s="109"/>
      <c r="QXZ31" s="109"/>
      <c r="QYA31" s="109"/>
      <c r="QYB31" s="109"/>
      <c r="QYC31" s="109"/>
      <c r="QYD31" s="109"/>
      <c r="QYE31" s="109"/>
      <c r="QYF31" s="109"/>
      <c r="QYG31" s="109"/>
      <c r="QYH31" s="109"/>
      <c r="QYI31" s="109"/>
      <c r="QYJ31" s="109"/>
      <c r="QYK31" s="109"/>
      <c r="QYL31" s="109"/>
      <c r="QYM31" s="109"/>
      <c r="QYN31" s="109"/>
      <c r="QYO31" s="109"/>
      <c r="QYP31" s="109"/>
      <c r="QYQ31" s="109"/>
      <c r="QYR31" s="109"/>
      <c r="QYS31" s="109"/>
      <c r="QYT31" s="109"/>
      <c r="QYU31" s="109"/>
      <c r="QYV31" s="109"/>
      <c r="QYW31" s="109"/>
      <c r="QYX31" s="109"/>
      <c r="QYY31" s="109"/>
      <c r="QYZ31" s="109"/>
      <c r="QZA31" s="109"/>
      <c r="QZB31" s="109"/>
      <c r="QZC31" s="109"/>
      <c r="QZD31" s="109"/>
      <c r="QZE31" s="109"/>
      <c r="QZF31" s="109"/>
      <c r="QZG31" s="109"/>
      <c r="QZH31" s="109"/>
      <c r="QZI31" s="109"/>
      <c r="QZJ31" s="109"/>
      <c r="QZK31" s="109"/>
      <c r="QZL31" s="109"/>
      <c r="QZM31" s="109"/>
      <c r="QZN31" s="109"/>
      <c r="QZO31" s="109"/>
      <c r="QZP31" s="109"/>
      <c r="QZQ31" s="109"/>
      <c r="QZR31" s="109"/>
      <c r="QZS31" s="109"/>
      <c r="QZT31" s="109"/>
      <c r="QZU31" s="109"/>
      <c r="QZV31" s="109"/>
      <c r="QZW31" s="109"/>
      <c r="QZX31" s="109"/>
      <c r="QZY31" s="109"/>
      <c r="QZZ31" s="109"/>
      <c r="RAA31" s="109"/>
      <c r="RAB31" s="109"/>
      <c r="RAC31" s="109"/>
      <c r="RAD31" s="109"/>
      <c r="RAE31" s="109"/>
      <c r="RAF31" s="109"/>
      <c r="RAG31" s="109"/>
      <c r="RAH31" s="109"/>
      <c r="RAI31" s="109"/>
      <c r="RAJ31" s="109"/>
      <c r="RAK31" s="109"/>
      <c r="RAL31" s="109"/>
      <c r="RAM31" s="109"/>
      <c r="RAN31" s="109"/>
      <c r="RAO31" s="109"/>
      <c r="RAP31" s="109"/>
      <c r="RAQ31" s="109"/>
      <c r="RAR31" s="109"/>
      <c r="RAS31" s="109"/>
      <c r="RAT31" s="109"/>
      <c r="RAU31" s="109"/>
      <c r="RAV31" s="109"/>
      <c r="RAW31" s="109"/>
      <c r="RAX31" s="109"/>
      <c r="RAY31" s="109"/>
      <c r="RAZ31" s="109"/>
      <c r="RBA31" s="109"/>
      <c r="RBB31" s="109"/>
      <c r="RBC31" s="109"/>
      <c r="RBD31" s="109"/>
      <c r="RBE31" s="109"/>
      <c r="RBF31" s="109"/>
      <c r="RBG31" s="109"/>
      <c r="RBH31" s="109"/>
      <c r="RBI31" s="109"/>
      <c r="RBJ31" s="109"/>
      <c r="RBK31" s="109"/>
      <c r="RBL31" s="109"/>
      <c r="RBM31" s="109"/>
      <c r="RBN31" s="109"/>
      <c r="RBO31" s="109"/>
      <c r="RBP31" s="109"/>
      <c r="RBQ31" s="109"/>
      <c r="RBR31" s="109"/>
      <c r="RBS31" s="109"/>
      <c r="RBT31" s="109"/>
      <c r="RBU31" s="109"/>
      <c r="RBV31" s="109"/>
      <c r="RBW31" s="109"/>
      <c r="RBX31" s="109"/>
      <c r="RBY31" s="109"/>
      <c r="RBZ31" s="109"/>
      <c r="RCA31" s="109"/>
      <c r="RCB31" s="109"/>
      <c r="RCC31" s="109"/>
      <c r="RCD31" s="109"/>
      <c r="RCE31" s="109"/>
      <c r="RCF31" s="109"/>
      <c r="RCG31" s="109"/>
      <c r="RCH31" s="109"/>
      <c r="RCI31" s="109"/>
      <c r="RCJ31" s="109"/>
      <c r="RCK31" s="109"/>
      <c r="RCL31" s="109"/>
      <c r="RCM31" s="109"/>
      <c r="RCN31" s="109"/>
      <c r="RCO31" s="109"/>
      <c r="RCP31" s="109"/>
      <c r="RCQ31" s="109"/>
      <c r="RCR31" s="109"/>
      <c r="RCS31" s="109"/>
      <c r="RCT31" s="109"/>
      <c r="RCU31" s="109"/>
      <c r="RCV31" s="109"/>
      <c r="RCW31" s="109"/>
      <c r="RCX31" s="109"/>
      <c r="RCY31" s="109"/>
      <c r="RCZ31" s="109"/>
      <c r="RDA31" s="109"/>
      <c r="RDB31" s="109"/>
      <c r="RDC31" s="109"/>
      <c r="RDD31" s="109"/>
      <c r="RDE31" s="109"/>
      <c r="RDF31" s="109"/>
      <c r="RDG31" s="109"/>
      <c r="RDH31" s="109"/>
      <c r="RDI31" s="109"/>
      <c r="RDJ31" s="109"/>
      <c r="RDK31" s="109"/>
      <c r="RDL31" s="109"/>
      <c r="RDM31" s="109"/>
      <c r="RDN31" s="109"/>
      <c r="RDO31" s="109"/>
      <c r="RDP31" s="109"/>
      <c r="RDQ31" s="109"/>
      <c r="RDR31" s="109"/>
      <c r="RDS31" s="109"/>
      <c r="RDT31" s="109"/>
      <c r="RDU31" s="109"/>
      <c r="RDV31" s="109"/>
      <c r="RDW31" s="109"/>
      <c r="RDX31" s="109"/>
      <c r="RDY31" s="109"/>
      <c r="RDZ31" s="109"/>
      <c r="REA31" s="109"/>
      <c r="REB31" s="109"/>
      <c r="REC31" s="109"/>
      <c r="RED31" s="109"/>
      <c r="REE31" s="109"/>
      <c r="REF31" s="109"/>
      <c r="REG31" s="109"/>
      <c r="REH31" s="109"/>
      <c r="REI31" s="109"/>
      <c r="REJ31" s="109"/>
      <c r="REK31" s="109"/>
      <c r="REL31" s="109"/>
      <c r="REM31" s="109"/>
      <c r="REN31" s="109"/>
      <c r="REO31" s="109"/>
      <c r="REP31" s="109"/>
      <c r="REQ31" s="109"/>
      <c r="RER31" s="109"/>
      <c r="RES31" s="109"/>
      <c r="RET31" s="109"/>
      <c r="REU31" s="109"/>
      <c r="REV31" s="109"/>
      <c r="REW31" s="109"/>
      <c r="REX31" s="109"/>
      <c r="REY31" s="109"/>
      <c r="REZ31" s="109"/>
      <c r="RFA31" s="109"/>
      <c r="RFB31" s="109"/>
      <c r="RFC31" s="109"/>
      <c r="RFD31" s="109"/>
      <c r="RFE31" s="109"/>
      <c r="RFF31" s="109"/>
      <c r="RFG31" s="109"/>
      <c r="RFH31" s="109"/>
      <c r="RFI31" s="109"/>
      <c r="RFJ31" s="109"/>
      <c r="RFK31" s="109"/>
      <c r="RFL31" s="109"/>
      <c r="RFM31" s="109"/>
      <c r="RFN31" s="109"/>
      <c r="RFO31" s="109"/>
      <c r="RFP31" s="109"/>
      <c r="RFQ31" s="109"/>
      <c r="RFR31" s="109"/>
      <c r="RFS31" s="109"/>
      <c r="RFT31" s="109"/>
      <c r="RFU31" s="109"/>
      <c r="RFV31" s="109"/>
      <c r="RFW31" s="109"/>
      <c r="RFX31" s="109"/>
      <c r="RFY31" s="109"/>
      <c r="RFZ31" s="109"/>
      <c r="RGA31" s="109"/>
      <c r="RGB31" s="109"/>
      <c r="RGC31" s="109"/>
      <c r="RGD31" s="109"/>
      <c r="RGE31" s="109"/>
      <c r="RGF31" s="109"/>
      <c r="RGG31" s="109"/>
      <c r="RGH31" s="109"/>
      <c r="RGI31" s="109"/>
      <c r="RGJ31" s="109"/>
      <c r="RGK31" s="109"/>
      <c r="RGL31" s="109"/>
      <c r="RGM31" s="109"/>
      <c r="RGN31" s="109"/>
      <c r="RGO31" s="109"/>
      <c r="RGP31" s="109"/>
      <c r="RGQ31" s="109"/>
      <c r="RGR31" s="109"/>
      <c r="RGS31" s="109"/>
      <c r="RGT31" s="109"/>
      <c r="RGU31" s="109"/>
      <c r="RGV31" s="109"/>
      <c r="RGW31" s="109"/>
      <c r="RGX31" s="109"/>
      <c r="RGY31" s="109"/>
      <c r="RGZ31" s="109"/>
      <c r="RHA31" s="109"/>
      <c r="RHB31" s="109"/>
      <c r="RHC31" s="109"/>
      <c r="RHD31" s="109"/>
      <c r="RHE31" s="109"/>
      <c r="RHF31" s="109"/>
      <c r="RHG31" s="109"/>
      <c r="RHH31" s="109"/>
      <c r="RHI31" s="109"/>
      <c r="RHJ31" s="109"/>
      <c r="RHK31" s="109"/>
      <c r="RHL31" s="109"/>
      <c r="RHM31" s="109"/>
      <c r="RHN31" s="109"/>
      <c r="RHO31" s="109"/>
      <c r="RHP31" s="109"/>
      <c r="RHQ31" s="109"/>
      <c r="RHR31" s="109"/>
      <c r="RHS31" s="109"/>
      <c r="RHT31" s="109"/>
      <c r="RHU31" s="109"/>
      <c r="RHV31" s="109"/>
      <c r="RHW31" s="109"/>
      <c r="RHX31" s="109"/>
      <c r="RHY31" s="109"/>
      <c r="RHZ31" s="109"/>
      <c r="RIA31" s="109"/>
      <c r="RIB31" s="109"/>
      <c r="RIC31" s="109"/>
      <c r="RID31" s="109"/>
      <c r="RIE31" s="109"/>
      <c r="RIF31" s="109"/>
      <c r="RIG31" s="109"/>
      <c r="RIH31" s="109"/>
      <c r="RII31" s="109"/>
      <c r="RIJ31" s="109"/>
      <c r="RIK31" s="109"/>
      <c r="RIL31" s="109"/>
      <c r="RIM31" s="109"/>
      <c r="RIN31" s="109"/>
      <c r="RIO31" s="109"/>
      <c r="RIP31" s="109"/>
      <c r="RIQ31" s="109"/>
      <c r="RIR31" s="109"/>
      <c r="RIS31" s="109"/>
      <c r="RIT31" s="109"/>
      <c r="RIU31" s="109"/>
      <c r="RIV31" s="109"/>
      <c r="RIW31" s="109"/>
      <c r="RIX31" s="109"/>
      <c r="RIY31" s="109"/>
      <c r="RIZ31" s="109"/>
      <c r="RJA31" s="109"/>
      <c r="RJB31" s="109"/>
      <c r="RJC31" s="109"/>
      <c r="RJD31" s="109"/>
      <c r="RJE31" s="109"/>
      <c r="RJF31" s="109"/>
      <c r="RJG31" s="109"/>
      <c r="RJH31" s="109"/>
      <c r="RJI31" s="109"/>
      <c r="RJJ31" s="109"/>
      <c r="RJK31" s="109"/>
      <c r="RJL31" s="109"/>
      <c r="RJM31" s="109"/>
      <c r="RJN31" s="109"/>
      <c r="RJO31" s="109"/>
      <c r="RJP31" s="109"/>
      <c r="RJQ31" s="109"/>
      <c r="RJR31" s="109"/>
      <c r="RJS31" s="109"/>
      <c r="RJT31" s="109"/>
      <c r="RJU31" s="109"/>
      <c r="RJV31" s="109"/>
      <c r="RJW31" s="109"/>
      <c r="RJX31" s="109"/>
      <c r="RJY31" s="109"/>
      <c r="RJZ31" s="109"/>
      <c r="RKA31" s="109"/>
      <c r="RKB31" s="109"/>
      <c r="RKC31" s="109"/>
      <c r="RKD31" s="109"/>
      <c r="RKE31" s="109"/>
      <c r="RKF31" s="109"/>
      <c r="RKG31" s="109"/>
      <c r="RKH31" s="109"/>
      <c r="RKI31" s="109"/>
      <c r="RKJ31" s="109"/>
      <c r="RKK31" s="109"/>
      <c r="RKL31" s="109"/>
      <c r="RKM31" s="109"/>
      <c r="RKN31" s="109"/>
      <c r="RKO31" s="109"/>
      <c r="RKP31" s="109"/>
      <c r="RKQ31" s="109"/>
      <c r="RKR31" s="109"/>
      <c r="RKS31" s="109"/>
      <c r="RKT31" s="109"/>
      <c r="RKU31" s="109"/>
      <c r="RKV31" s="109"/>
      <c r="RKW31" s="109"/>
      <c r="RKX31" s="109"/>
      <c r="RKY31" s="109"/>
      <c r="RKZ31" s="109"/>
      <c r="RLA31" s="109"/>
      <c r="RLB31" s="109"/>
      <c r="RLC31" s="109"/>
      <c r="RLD31" s="109"/>
      <c r="RLE31" s="109"/>
      <c r="RLF31" s="109"/>
      <c r="RLG31" s="109"/>
      <c r="RLH31" s="109"/>
      <c r="RLI31" s="109"/>
      <c r="RLJ31" s="109"/>
      <c r="RLK31" s="109"/>
      <c r="RLL31" s="109"/>
      <c r="RLM31" s="109"/>
      <c r="RLN31" s="109"/>
      <c r="RLO31" s="109"/>
      <c r="RLP31" s="109"/>
      <c r="RLQ31" s="109"/>
      <c r="RLR31" s="109"/>
      <c r="RLS31" s="109"/>
      <c r="RLT31" s="109"/>
      <c r="RLU31" s="109"/>
      <c r="RLV31" s="109"/>
      <c r="RLW31" s="109"/>
      <c r="RLX31" s="109"/>
      <c r="RLY31" s="109"/>
      <c r="RLZ31" s="109"/>
      <c r="RMA31" s="109"/>
      <c r="RMB31" s="109"/>
      <c r="RMC31" s="109"/>
      <c r="RMD31" s="109"/>
      <c r="RME31" s="109"/>
      <c r="RMF31" s="109"/>
      <c r="RMG31" s="109"/>
      <c r="RMH31" s="109"/>
      <c r="RMI31" s="109"/>
      <c r="RMJ31" s="109"/>
      <c r="RMK31" s="109"/>
      <c r="RML31" s="109"/>
      <c r="RMM31" s="109"/>
      <c r="RMN31" s="109"/>
      <c r="RMO31" s="109"/>
      <c r="RMP31" s="109"/>
      <c r="RMQ31" s="109"/>
      <c r="RMR31" s="109"/>
      <c r="RMS31" s="109"/>
      <c r="RMT31" s="109"/>
      <c r="RMU31" s="109"/>
      <c r="RMV31" s="109"/>
      <c r="RMW31" s="109"/>
      <c r="RMX31" s="109"/>
      <c r="RMY31" s="109"/>
      <c r="RMZ31" s="109"/>
      <c r="RNA31" s="109"/>
      <c r="RNB31" s="109"/>
      <c r="RNC31" s="109"/>
      <c r="RND31" s="109"/>
      <c r="RNE31" s="109"/>
      <c r="RNF31" s="109"/>
      <c r="RNG31" s="109"/>
      <c r="RNH31" s="109"/>
      <c r="RNI31" s="109"/>
      <c r="RNJ31" s="109"/>
      <c r="RNK31" s="109"/>
      <c r="RNL31" s="109"/>
      <c r="RNM31" s="109"/>
      <c r="RNN31" s="109"/>
      <c r="RNO31" s="109"/>
      <c r="RNP31" s="109"/>
      <c r="RNQ31" s="109"/>
      <c r="RNR31" s="109"/>
      <c r="RNS31" s="109"/>
      <c r="RNT31" s="109"/>
      <c r="RNU31" s="109"/>
      <c r="RNV31" s="109"/>
      <c r="RNW31" s="109"/>
      <c r="RNX31" s="109"/>
      <c r="RNY31" s="109"/>
      <c r="RNZ31" s="109"/>
      <c r="ROA31" s="109"/>
      <c r="ROB31" s="109"/>
      <c r="ROC31" s="109"/>
      <c r="ROD31" s="109"/>
      <c r="ROE31" s="109"/>
      <c r="ROF31" s="109"/>
      <c r="ROG31" s="109"/>
      <c r="ROH31" s="109"/>
      <c r="ROI31" s="109"/>
      <c r="ROJ31" s="109"/>
      <c r="ROK31" s="109"/>
      <c r="ROL31" s="109"/>
      <c r="ROM31" s="109"/>
      <c r="RON31" s="109"/>
      <c r="ROO31" s="109"/>
      <c r="ROP31" s="109"/>
      <c r="ROQ31" s="109"/>
      <c r="ROR31" s="109"/>
      <c r="ROS31" s="109"/>
      <c r="ROT31" s="109"/>
      <c r="ROU31" s="109"/>
      <c r="ROV31" s="109"/>
      <c r="ROW31" s="109"/>
      <c r="ROX31" s="109"/>
      <c r="ROY31" s="109"/>
      <c r="ROZ31" s="109"/>
      <c r="RPA31" s="109"/>
      <c r="RPB31" s="109"/>
      <c r="RPC31" s="109"/>
      <c r="RPD31" s="109"/>
      <c r="RPE31" s="109"/>
      <c r="RPF31" s="109"/>
      <c r="RPG31" s="109"/>
      <c r="RPH31" s="109"/>
      <c r="RPI31" s="109"/>
      <c r="RPJ31" s="109"/>
      <c r="RPK31" s="109"/>
      <c r="RPL31" s="109"/>
      <c r="RPM31" s="109"/>
      <c r="RPN31" s="109"/>
      <c r="RPO31" s="109"/>
      <c r="RPP31" s="109"/>
      <c r="RPQ31" s="109"/>
      <c r="RPR31" s="109"/>
      <c r="RPS31" s="109"/>
      <c r="RPT31" s="109"/>
      <c r="RPU31" s="109"/>
      <c r="RPV31" s="109"/>
      <c r="RPW31" s="109"/>
      <c r="RPX31" s="109"/>
      <c r="RPY31" s="109"/>
      <c r="RPZ31" s="109"/>
      <c r="RQA31" s="109"/>
      <c r="RQB31" s="109"/>
      <c r="RQC31" s="109"/>
      <c r="RQD31" s="109"/>
      <c r="RQE31" s="109"/>
      <c r="RQF31" s="109"/>
      <c r="RQG31" s="109"/>
      <c r="RQH31" s="109"/>
      <c r="RQI31" s="109"/>
      <c r="RQJ31" s="109"/>
      <c r="RQK31" s="109"/>
      <c r="RQL31" s="109"/>
      <c r="RQM31" s="109"/>
      <c r="RQN31" s="109"/>
      <c r="RQO31" s="109"/>
      <c r="RQP31" s="109"/>
      <c r="RQQ31" s="109"/>
      <c r="RQR31" s="109"/>
      <c r="RQS31" s="109"/>
      <c r="RQT31" s="109"/>
      <c r="RQU31" s="109"/>
      <c r="RQV31" s="109"/>
      <c r="RQW31" s="109"/>
      <c r="RQX31" s="109"/>
      <c r="RQY31" s="109"/>
      <c r="RQZ31" s="109"/>
      <c r="RRA31" s="109"/>
      <c r="RRB31" s="109"/>
      <c r="RRC31" s="109"/>
      <c r="RRD31" s="109"/>
      <c r="RRE31" s="109"/>
      <c r="RRF31" s="109"/>
      <c r="RRG31" s="109"/>
      <c r="RRH31" s="109"/>
      <c r="RRI31" s="109"/>
      <c r="RRJ31" s="109"/>
      <c r="RRK31" s="109"/>
      <c r="RRL31" s="109"/>
      <c r="RRM31" s="109"/>
      <c r="RRN31" s="109"/>
      <c r="RRO31" s="109"/>
      <c r="RRP31" s="109"/>
      <c r="RRQ31" s="109"/>
      <c r="RRR31" s="109"/>
      <c r="RRS31" s="109"/>
      <c r="RRT31" s="109"/>
      <c r="RRU31" s="109"/>
      <c r="RRV31" s="109"/>
      <c r="RRW31" s="109"/>
      <c r="RRX31" s="109"/>
      <c r="RRY31" s="109"/>
      <c r="RRZ31" s="109"/>
      <c r="RSA31" s="109"/>
      <c r="RSB31" s="109"/>
      <c r="RSC31" s="109"/>
      <c r="RSD31" s="109"/>
      <c r="RSE31" s="109"/>
      <c r="RSF31" s="109"/>
      <c r="RSG31" s="109"/>
      <c r="RSH31" s="109"/>
      <c r="RSI31" s="109"/>
      <c r="RSJ31" s="109"/>
      <c r="RSK31" s="109"/>
      <c r="RSL31" s="109"/>
      <c r="RSM31" s="109"/>
      <c r="RSN31" s="109"/>
      <c r="RSO31" s="109"/>
      <c r="RSP31" s="109"/>
      <c r="RSQ31" s="109"/>
      <c r="RSR31" s="109"/>
      <c r="RSS31" s="109"/>
      <c r="RST31" s="109"/>
      <c r="RSU31" s="109"/>
      <c r="RSV31" s="109"/>
      <c r="RSW31" s="109"/>
      <c r="RSX31" s="109"/>
      <c r="RSY31" s="109"/>
      <c r="RSZ31" s="109"/>
      <c r="RTA31" s="109"/>
      <c r="RTB31" s="109"/>
      <c r="RTC31" s="109"/>
      <c r="RTD31" s="109"/>
      <c r="RTE31" s="109"/>
      <c r="RTF31" s="109"/>
      <c r="RTG31" s="109"/>
      <c r="RTH31" s="109"/>
      <c r="RTI31" s="109"/>
      <c r="RTJ31" s="109"/>
      <c r="RTK31" s="109"/>
      <c r="RTL31" s="109"/>
      <c r="RTM31" s="109"/>
      <c r="RTN31" s="109"/>
      <c r="RTO31" s="109"/>
      <c r="RTP31" s="109"/>
      <c r="RTQ31" s="109"/>
      <c r="RTR31" s="109"/>
      <c r="RTS31" s="109"/>
      <c r="RTT31" s="109"/>
      <c r="RTU31" s="109"/>
      <c r="RTV31" s="109"/>
      <c r="RTW31" s="109"/>
      <c r="RTX31" s="109"/>
      <c r="RTY31" s="109"/>
      <c r="RTZ31" s="109"/>
      <c r="RUA31" s="109"/>
      <c r="RUB31" s="109"/>
      <c r="RUC31" s="109"/>
      <c r="RUD31" s="109"/>
      <c r="RUE31" s="109"/>
      <c r="RUF31" s="109"/>
      <c r="RUG31" s="109"/>
      <c r="RUH31" s="109"/>
      <c r="RUI31" s="109"/>
      <c r="RUJ31" s="109"/>
      <c r="RUK31" s="109"/>
      <c r="RUL31" s="109"/>
      <c r="RUM31" s="109"/>
      <c r="RUN31" s="109"/>
      <c r="RUO31" s="109"/>
      <c r="RUP31" s="109"/>
      <c r="RUQ31" s="109"/>
      <c r="RUR31" s="109"/>
      <c r="RUS31" s="109"/>
      <c r="RUT31" s="109"/>
      <c r="RUU31" s="109"/>
      <c r="RUV31" s="109"/>
      <c r="RUW31" s="109"/>
      <c r="RUX31" s="109"/>
      <c r="RUY31" s="109"/>
      <c r="RUZ31" s="109"/>
      <c r="RVA31" s="109"/>
      <c r="RVB31" s="109"/>
      <c r="RVC31" s="109"/>
      <c r="RVD31" s="109"/>
      <c r="RVE31" s="109"/>
      <c r="RVF31" s="109"/>
      <c r="RVG31" s="109"/>
      <c r="RVH31" s="109"/>
      <c r="RVI31" s="109"/>
      <c r="RVJ31" s="109"/>
      <c r="RVK31" s="109"/>
      <c r="RVL31" s="109"/>
      <c r="RVM31" s="109"/>
      <c r="RVN31" s="109"/>
      <c r="RVO31" s="109"/>
      <c r="RVP31" s="109"/>
      <c r="RVQ31" s="109"/>
      <c r="RVR31" s="109"/>
      <c r="RVS31" s="109"/>
      <c r="RVT31" s="109"/>
      <c r="RVU31" s="109"/>
      <c r="RVV31" s="109"/>
      <c r="RVW31" s="109"/>
      <c r="RVX31" s="109"/>
      <c r="RVY31" s="109"/>
      <c r="RVZ31" s="109"/>
      <c r="RWA31" s="109"/>
      <c r="RWB31" s="109"/>
      <c r="RWC31" s="109"/>
      <c r="RWD31" s="109"/>
      <c r="RWE31" s="109"/>
      <c r="RWF31" s="109"/>
      <c r="RWG31" s="109"/>
      <c r="RWH31" s="109"/>
      <c r="RWI31" s="109"/>
      <c r="RWJ31" s="109"/>
      <c r="RWK31" s="109"/>
      <c r="RWL31" s="109"/>
      <c r="RWM31" s="109"/>
      <c r="RWN31" s="109"/>
      <c r="RWO31" s="109"/>
      <c r="RWP31" s="109"/>
      <c r="RWQ31" s="109"/>
      <c r="RWR31" s="109"/>
      <c r="RWS31" s="109"/>
      <c r="RWT31" s="109"/>
      <c r="RWU31" s="109"/>
      <c r="RWV31" s="109"/>
      <c r="RWW31" s="109"/>
      <c r="RWX31" s="109"/>
      <c r="RWY31" s="109"/>
      <c r="RWZ31" s="109"/>
      <c r="RXA31" s="109"/>
      <c r="RXB31" s="109"/>
      <c r="RXC31" s="109"/>
      <c r="RXD31" s="109"/>
      <c r="RXE31" s="109"/>
      <c r="RXF31" s="109"/>
      <c r="RXG31" s="109"/>
      <c r="RXH31" s="109"/>
      <c r="RXI31" s="109"/>
      <c r="RXJ31" s="109"/>
      <c r="RXK31" s="109"/>
      <c r="RXL31" s="109"/>
      <c r="RXM31" s="109"/>
      <c r="RXN31" s="109"/>
      <c r="RXO31" s="109"/>
      <c r="RXP31" s="109"/>
      <c r="RXQ31" s="109"/>
      <c r="RXR31" s="109"/>
      <c r="RXS31" s="109"/>
      <c r="RXT31" s="109"/>
      <c r="RXU31" s="109"/>
      <c r="RXV31" s="109"/>
      <c r="RXW31" s="109"/>
      <c r="RXX31" s="109"/>
      <c r="RXY31" s="109"/>
      <c r="RXZ31" s="109"/>
      <c r="RYA31" s="109"/>
      <c r="RYB31" s="109"/>
      <c r="RYC31" s="109"/>
      <c r="RYD31" s="109"/>
      <c r="RYE31" s="109"/>
      <c r="RYF31" s="109"/>
      <c r="RYG31" s="109"/>
      <c r="RYH31" s="109"/>
      <c r="RYI31" s="109"/>
      <c r="RYJ31" s="109"/>
      <c r="RYK31" s="109"/>
      <c r="RYL31" s="109"/>
      <c r="RYM31" s="109"/>
      <c r="RYN31" s="109"/>
      <c r="RYO31" s="109"/>
      <c r="RYP31" s="109"/>
      <c r="RYQ31" s="109"/>
      <c r="RYR31" s="109"/>
      <c r="RYS31" s="109"/>
      <c r="RYT31" s="109"/>
      <c r="RYU31" s="109"/>
      <c r="RYV31" s="109"/>
      <c r="RYW31" s="109"/>
      <c r="RYX31" s="109"/>
      <c r="RYY31" s="109"/>
      <c r="RYZ31" s="109"/>
      <c r="RZA31" s="109"/>
      <c r="RZB31" s="109"/>
      <c r="RZC31" s="109"/>
      <c r="RZD31" s="109"/>
      <c r="RZE31" s="109"/>
      <c r="RZF31" s="109"/>
      <c r="RZG31" s="109"/>
      <c r="RZH31" s="109"/>
      <c r="RZI31" s="109"/>
      <c r="RZJ31" s="109"/>
      <c r="RZK31" s="109"/>
      <c r="RZL31" s="109"/>
      <c r="RZM31" s="109"/>
      <c r="RZN31" s="109"/>
      <c r="RZO31" s="109"/>
      <c r="RZP31" s="109"/>
      <c r="RZQ31" s="109"/>
      <c r="RZR31" s="109"/>
      <c r="RZS31" s="109"/>
      <c r="RZT31" s="109"/>
      <c r="RZU31" s="109"/>
      <c r="RZV31" s="109"/>
      <c r="RZW31" s="109"/>
      <c r="RZX31" s="109"/>
      <c r="RZY31" s="109"/>
      <c r="RZZ31" s="109"/>
      <c r="SAA31" s="109"/>
      <c r="SAB31" s="109"/>
      <c r="SAC31" s="109"/>
      <c r="SAD31" s="109"/>
      <c r="SAE31" s="109"/>
      <c r="SAF31" s="109"/>
      <c r="SAG31" s="109"/>
      <c r="SAH31" s="109"/>
      <c r="SAI31" s="109"/>
      <c r="SAJ31" s="109"/>
      <c r="SAK31" s="109"/>
      <c r="SAL31" s="109"/>
      <c r="SAM31" s="109"/>
      <c r="SAN31" s="109"/>
      <c r="SAO31" s="109"/>
      <c r="SAP31" s="109"/>
      <c r="SAQ31" s="109"/>
      <c r="SAR31" s="109"/>
      <c r="SAS31" s="109"/>
      <c r="SAT31" s="109"/>
      <c r="SAU31" s="109"/>
      <c r="SAV31" s="109"/>
      <c r="SAW31" s="109"/>
      <c r="SAX31" s="109"/>
      <c r="SAY31" s="109"/>
      <c r="SAZ31" s="109"/>
      <c r="SBA31" s="109"/>
      <c r="SBB31" s="109"/>
      <c r="SBC31" s="109"/>
      <c r="SBD31" s="109"/>
      <c r="SBE31" s="109"/>
      <c r="SBF31" s="109"/>
      <c r="SBG31" s="109"/>
      <c r="SBH31" s="109"/>
      <c r="SBI31" s="109"/>
      <c r="SBJ31" s="109"/>
      <c r="SBK31" s="109"/>
      <c r="SBL31" s="109"/>
      <c r="SBM31" s="109"/>
      <c r="SBN31" s="109"/>
      <c r="SBO31" s="109"/>
      <c r="SBP31" s="109"/>
      <c r="SBQ31" s="109"/>
      <c r="SBR31" s="109"/>
      <c r="SBS31" s="109"/>
      <c r="SBT31" s="109"/>
      <c r="SBU31" s="109"/>
      <c r="SBV31" s="109"/>
      <c r="SBW31" s="109"/>
      <c r="SBX31" s="109"/>
      <c r="SBY31" s="109"/>
      <c r="SBZ31" s="109"/>
      <c r="SCA31" s="109"/>
      <c r="SCB31" s="109"/>
      <c r="SCC31" s="109"/>
      <c r="SCD31" s="109"/>
      <c r="SCE31" s="109"/>
      <c r="SCF31" s="109"/>
      <c r="SCG31" s="109"/>
      <c r="SCH31" s="109"/>
      <c r="SCI31" s="109"/>
      <c r="SCJ31" s="109"/>
      <c r="SCK31" s="109"/>
      <c r="SCL31" s="109"/>
      <c r="SCM31" s="109"/>
      <c r="SCN31" s="109"/>
      <c r="SCO31" s="109"/>
      <c r="SCP31" s="109"/>
      <c r="SCQ31" s="109"/>
      <c r="SCR31" s="109"/>
      <c r="SCS31" s="109"/>
      <c r="SCT31" s="109"/>
      <c r="SCU31" s="109"/>
      <c r="SCV31" s="109"/>
      <c r="SCW31" s="109"/>
      <c r="SCX31" s="109"/>
      <c r="SCY31" s="109"/>
      <c r="SCZ31" s="109"/>
      <c r="SDA31" s="109"/>
      <c r="SDB31" s="109"/>
      <c r="SDC31" s="109"/>
      <c r="SDD31" s="109"/>
      <c r="SDE31" s="109"/>
      <c r="SDF31" s="109"/>
      <c r="SDG31" s="109"/>
      <c r="SDH31" s="109"/>
      <c r="SDI31" s="109"/>
      <c r="SDJ31" s="109"/>
      <c r="SDK31" s="109"/>
      <c r="SDL31" s="109"/>
      <c r="SDM31" s="109"/>
      <c r="SDN31" s="109"/>
      <c r="SDO31" s="109"/>
      <c r="SDP31" s="109"/>
      <c r="SDQ31" s="109"/>
      <c r="SDR31" s="109"/>
      <c r="SDS31" s="109"/>
      <c r="SDT31" s="109"/>
      <c r="SDU31" s="109"/>
      <c r="SDV31" s="109"/>
      <c r="SDW31" s="109"/>
      <c r="SDX31" s="109"/>
      <c r="SDY31" s="109"/>
      <c r="SDZ31" s="109"/>
      <c r="SEA31" s="109"/>
      <c r="SEB31" s="109"/>
      <c r="SEC31" s="109"/>
      <c r="SED31" s="109"/>
      <c r="SEE31" s="109"/>
      <c r="SEF31" s="109"/>
      <c r="SEG31" s="109"/>
      <c r="SEH31" s="109"/>
      <c r="SEI31" s="109"/>
      <c r="SEJ31" s="109"/>
      <c r="SEK31" s="109"/>
      <c r="SEL31" s="109"/>
      <c r="SEM31" s="109"/>
      <c r="SEN31" s="109"/>
      <c r="SEO31" s="109"/>
      <c r="SEP31" s="109"/>
      <c r="SEQ31" s="109"/>
      <c r="SER31" s="109"/>
      <c r="SES31" s="109"/>
      <c r="SET31" s="109"/>
      <c r="SEU31" s="109"/>
      <c r="SEV31" s="109"/>
      <c r="SEW31" s="109"/>
      <c r="SEX31" s="109"/>
      <c r="SEY31" s="109"/>
      <c r="SEZ31" s="109"/>
      <c r="SFA31" s="109"/>
      <c r="SFB31" s="109"/>
      <c r="SFC31" s="109"/>
      <c r="SFD31" s="109"/>
      <c r="SFE31" s="109"/>
      <c r="SFF31" s="109"/>
      <c r="SFG31" s="109"/>
      <c r="SFH31" s="109"/>
      <c r="SFI31" s="109"/>
      <c r="SFJ31" s="109"/>
      <c r="SFK31" s="109"/>
      <c r="SFL31" s="109"/>
      <c r="SFM31" s="109"/>
      <c r="SFN31" s="109"/>
      <c r="SFO31" s="109"/>
      <c r="SFP31" s="109"/>
      <c r="SFQ31" s="109"/>
      <c r="SFR31" s="109"/>
      <c r="SFS31" s="109"/>
      <c r="SFT31" s="109"/>
      <c r="SFU31" s="109"/>
      <c r="SFV31" s="109"/>
      <c r="SFW31" s="109"/>
      <c r="SFX31" s="109"/>
      <c r="SFY31" s="109"/>
      <c r="SFZ31" s="109"/>
      <c r="SGA31" s="109"/>
      <c r="SGB31" s="109"/>
      <c r="SGC31" s="109"/>
      <c r="SGD31" s="109"/>
      <c r="SGE31" s="109"/>
      <c r="SGF31" s="109"/>
      <c r="SGG31" s="109"/>
      <c r="SGH31" s="109"/>
      <c r="SGI31" s="109"/>
      <c r="SGJ31" s="109"/>
      <c r="SGK31" s="109"/>
      <c r="SGL31" s="109"/>
      <c r="SGM31" s="109"/>
      <c r="SGN31" s="109"/>
      <c r="SGO31" s="109"/>
      <c r="SGP31" s="109"/>
      <c r="SGQ31" s="109"/>
      <c r="SGR31" s="109"/>
      <c r="SGS31" s="109"/>
      <c r="SGT31" s="109"/>
      <c r="SGU31" s="109"/>
      <c r="SGV31" s="109"/>
      <c r="SGW31" s="109"/>
      <c r="SGX31" s="109"/>
      <c r="SGY31" s="109"/>
      <c r="SGZ31" s="109"/>
      <c r="SHA31" s="109"/>
      <c r="SHB31" s="109"/>
      <c r="SHC31" s="109"/>
      <c r="SHD31" s="109"/>
      <c r="SHE31" s="109"/>
      <c r="SHF31" s="109"/>
      <c r="SHG31" s="109"/>
      <c r="SHH31" s="109"/>
      <c r="SHI31" s="109"/>
      <c r="SHJ31" s="109"/>
      <c r="SHK31" s="109"/>
      <c r="SHL31" s="109"/>
      <c r="SHM31" s="109"/>
      <c r="SHN31" s="109"/>
      <c r="SHO31" s="109"/>
      <c r="SHP31" s="109"/>
      <c r="SHQ31" s="109"/>
      <c r="SHR31" s="109"/>
      <c r="SHS31" s="109"/>
      <c r="SHT31" s="109"/>
      <c r="SHU31" s="109"/>
      <c r="SHV31" s="109"/>
      <c r="SHW31" s="109"/>
      <c r="SHX31" s="109"/>
      <c r="SHY31" s="109"/>
      <c r="SHZ31" s="109"/>
      <c r="SIA31" s="109"/>
      <c r="SIB31" s="109"/>
      <c r="SIC31" s="109"/>
      <c r="SID31" s="109"/>
      <c r="SIE31" s="109"/>
      <c r="SIF31" s="109"/>
      <c r="SIG31" s="109"/>
      <c r="SIH31" s="109"/>
      <c r="SII31" s="109"/>
      <c r="SIJ31" s="109"/>
      <c r="SIK31" s="109"/>
      <c r="SIL31" s="109"/>
      <c r="SIM31" s="109"/>
      <c r="SIN31" s="109"/>
      <c r="SIO31" s="109"/>
      <c r="SIP31" s="109"/>
      <c r="SIQ31" s="109"/>
      <c r="SIR31" s="109"/>
      <c r="SIS31" s="109"/>
      <c r="SIT31" s="109"/>
      <c r="SIU31" s="109"/>
      <c r="SIV31" s="109"/>
      <c r="SIW31" s="109"/>
      <c r="SIX31" s="109"/>
      <c r="SIY31" s="109"/>
      <c r="SIZ31" s="109"/>
      <c r="SJA31" s="109"/>
      <c r="SJB31" s="109"/>
      <c r="SJC31" s="109"/>
      <c r="SJD31" s="109"/>
      <c r="SJE31" s="109"/>
      <c r="SJF31" s="109"/>
      <c r="SJG31" s="109"/>
      <c r="SJH31" s="109"/>
      <c r="SJI31" s="109"/>
      <c r="SJJ31" s="109"/>
      <c r="SJK31" s="109"/>
      <c r="SJL31" s="109"/>
      <c r="SJM31" s="109"/>
      <c r="SJN31" s="109"/>
      <c r="SJO31" s="109"/>
      <c r="SJP31" s="109"/>
      <c r="SJQ31" s="109"/>
      <c r="SJR31" s="109"/>
      <c r="SJS31" s="109"/>
      <c r="SJT31" s="109"/>
      <c r="SJU31" s="109"/>
      <c r="SJV31" s="109"/>
      <c r="SJW31" s="109"/>
      <c r="SJX31" s="109"/>
      <c r="SJY31" s="109"/>
      <c r="SJZ31" s="109"/>
      <c r="SKA31" s="109"/>
      <c r="SKB31" s="109"/>
      <c r="SKC31" s="109"/>
      <c r="SKD31" s="109"/>
      <c r="SKE31" s="109"/>
      <c r="SKF31" s="109"/>
      <c r="SKG31" s="109"/>
      <c r="SKH31" s="109"/>
      <c r="SKI31" s="109"/>
      <c r="SKJ31" s="109"/>
      <c r="SKK31" s="109"/>
      <c r="SKL31" s="109"/>
      <c r="SKM31" s="109"/>
      <c r="SKN31" s="109"/>
      <c r="SKO31" s="109"/>
      <c r="SKP31" s="109"/>
      <c r="SKQ31" s="109"/>
      <c r="SKR31" s="109"/>
      <c r="SKS31" s="109"/>
      <c r="SKT31" s="109"/>
      <c r="SKU31" s="109"/>
      <c r="SKV31" s="109"/>
      <c r="SKW31" s="109"/>
      <c r="SKX31" s="109"/>
      <c r="SKY31" s="109"/>
      <c r="SKZ31" s="109"/>
      <c r="SLA31" s="109"/>
      <c r="SLB31" s="109"/>
      <c r="SLC31" s="109"/>
      <c r="SLD31" s="109"/>
      <c r="SLE31" s="109"/>
      <c r="SLF31" s="109"/>
      <c r="SLG31" s="109"/>
      <c r="SLH31" s="109"/>
      <c r="SLI31" s="109"/>
      <c r="SLJ31" s="109"/>
      <c r="SLK31" s="109"/>
      <c r="SLL31" s="109"/>
      <c r="SLM31" s="109"/>
      <c r="SLN31" s="109"/>
      <c r="SLO31" s="109"/>
      <c r="SLP31" s="109"/>
      <c r="SLQ31" s="109"/>
      <c r="SLR31" s="109"/>
      <c r="SLS31" s="109"/>
      <c r="SLT31" s="109"/>
      <c r="SLU31" s="109"/>
      <c r="SLV31" s="109"/>
      <c r="SLW31" s="109"/>
      <c r="SLX31" s="109"/>
      <c r="SLY31" s="109"/>
      <c r="SLZ31" s="109"/>
      <c r="SMA31" s="109"/>
      <c r="SMB31" s="109"/>
      <c r="SMC31" s="109"/>
      <c r="SMD31" s="109"/>
      <c r="SME31" s="109"/>
      <c r="SMF31" s="109"/>
      <c r="SMG31" s="109"/>
      <c r="SMH31" s="109"/>
      <c r="SMI31" s="109"/>
      <c r="SMJ31" s="109"/>
      <c r="SMK31" s="109"/>
      <c r="SML31" s="109"/>
      <c r="SMM31" s="109"/>
      <c r="SMN31" s="109"/>
      <c r="SMO31" s="109"/>
      <c r="SMP31" s="109"/>
      <c r="SMQ31" s="109"/>
      <c r="SMR31" s="109"/>
      <c r="SMS31" s="109"/>
      <c r="SMT31" s="109"/>
      <c r="SMU31" s="109"/>
      <c r="SMV31" s="109"/>
      <c r="SMW31" s="109"/>
      <c r="SMX31" s="109"/>
      <c r="SMY31" s="109"/>
      <c r="SMZ31" s="109"/>
      <c r="SNA31" s="109"/>
      <c r="SNB31" s="109"/>
      <c r="SNC31" s="109"/>
      <c r="SND31" s="109"/>
      <c r="SNE31" s="109"/>
      <c r="SNF31" s="109"/>
      <c r="SNG31" s="109"/>
      <c r="SNH31" s="109"/>
      <c r="SNI31" s="109"/>
      <c r="SNJ31" s="109"/>
      <c r="SNK31" s="109"/>
      <c r="SNL31" s="109"/>
      <c r="SNM31" s="109"/>
      <c r="SNN31" s="109"/>
      <c r="SNO31" s="109"/>
      <c r="SNP31" s="109"/>
      <c r="SNQ31" s="109"/>
      <c r="SNR31" s="109"/>
      <c r="SNS31" s="109"/>
      <c r="SNT31" s="109"/>
      <c r="SNU31" s="109"/>
      <c r="SNV31" s="109"/>
      <c r="SNW31" s="109"/>
      <c r="SNX31" s="109"/>
      <c r="SNY31" s="109"/>
      <c r="SNZ31" s="109"/>
      <c r="SOA31" s="109"/>
      <c r="SOB31" s="109"/>
      <c r="SOC31" s="109"/>
      <c r="SOD31" s="109"/>
      <c r="SOE31" s="109"/>
      <c r="SOF31" s="109"/>
      <c r="SOG31" s="109"/>
      <c r="SOH31" s="109"/>
      <c r="SOI31" s="109"/>
      <c r="SOJ31" s="109"/>
      <c r="SOK31" s="109"/>
      <c r="SOL31" s="109"/>
      <c r="SOM31" s="109"/>
      <c r="SON31" s="109"/>
      <c r="SOO31" s="109"/>
      <c r="SOP31" s="109"/>
      <c r="SOQ31" s="109"/>
      <c r="SOR31" s="109"/>
      <c r="SOS31" s="109"/>
      <c r="SOT31" s="109"/>
      <c r="SOU31" s="109"/>
      <c r="SOV31" s="109"/>
      <c r="SOW31" s="109"/>
      <c r="SOX31" s="109"/>
      <c r="SOY31" s="109"/>
      <c r="SOZ31" s="109"/>
      <c r="SPA31" s="109"/>
      <c r="SPB31" s="109"/>
      <c r="SPC31" s="109"/>
      <c r="SPD31" s="109"/>
      <c r="SPE31" s="109"/>
      <c r="SPF31" s="109"/>
      <c r="SPG31" s="109"/>
      <c r="SPH31" s="109"/>
      <c r="SPI31" s="109"/>
      <c r="SPJ31" s="109"/>
      <c r="SPK31" s="109"/>
      <c r="SPL31" s="109"/>
      <c r="SPM31" s="109"/>
      <c r="SPN31" s="109"/>
      <c r="SPO31" s="109"/>
      <c r="SPP31" s="109"/>
      <c r="SPQ31" s="109"/>
      <c r="SPR31" s="109"/>
      <c r="SPS31" s="109"/>
      <c r="SPT31" s="109"/>
      <c r="SPU31" s="109"/>
      <c r="SPV31" s="109"/>
      <c r="SPW31" s="109"/>
      <c r="SPX31" s="109"/>
      <c r="SPY31" s="109"/>
      <c r="SPZ31" s="109"/>
      <c r="SQA31" s="109"/>
      <c r="SQB31" s="109"/>
      <c r="SQC31" s="109"/>
      <c r="SQD31" s="109"/>
      <c r="SQE31" s="109"/>
      <c r="SQF31" s="109"/>
      <c r="SQG31" s="109"/>
      <c r="SQH31" s="109"/>
      <c r="SQI31" s="109"/>
      <c r="SQJ31" s="109"/>
      <c r="SQK31" s="109"/>
      <c r="SQL31" s="109"/>
      <c r="SQM31" s="109"/>
      <c r="SQN31" s="109"/>
      <c r="SQO31" s="109"/>
      <c r="SQP31" s="109"/>
      <c r="SQQ31" s="109"/>
      <c r="SQR31" s="109"/>
      <c r="SQS31" s="109"/>
      <c r="SQT31" s="109"/>
      <c r="SQU31" s="109"/>
      <c r="SQV31" s="109"/>
      <c r="SQW31" s="109"/>
      <c r="SQX31" s="109"/>
      <c r="SQY31" s="109"/>
      <c r="SQZ31" s="109"/>
      <c r="SRA31" s="109"/>
      <c r="SRB31" s="109"/>
      <c r="SRC31" s="109"/>
      <c r="SRD31" s="109"/>
      <c r="SRE31" s="109"/>
      <c r="SRF31" s="109"/>
      <c r="SRG31" s="109"/>
      <c r="SRH31" s="109"/>
      <c r="SRI31" s="109"/>
      <c r="SRJ31" s="109"/>
      <c r="SRK31" s="109"/>
      <c r="SRL31" s="109"/>
      <c r="SRM31" s="109"/>
      <c r="SRN31" s="109"/>
      <c r="SRO31" s="109"/>
      <c r="SRP31" s="109"/>
      <c r="SRQ31" s="109"/>
      <c r="SRR31" s="109"/>
      <c r="SRS31" s="109"/>
      <c r="SRT31" s="109"/>
      <c r="SRU31" s="109"/>
      <c r="SRV31" s="109"/>
      <c r="SRW31" s="109"/>
      <c r="SRX31" s="109"/>
      <c r="SRY31" s="109"/>
      <c r="SRZ31" s="109"/>
      <c r="SSA31" s="109"/>
      <c r="SSB31" s="109"/>
      <c r="SSC31" s="109"/>
      <c r="SSD31" s="109"/>
      <c r="SSE31" s="109"/>
      <c r="SSF31" s="109"/>
      <c r="SSG31" s="109"/>
      <c r="SSH31" s="109"/>
      <c r="SSI31" s="109"/>
      <c r="SSJ31" s="109"/>
      <c r="SSK31" s="109"/>
      <c r="SSL31" s="109"/>
      <c r="SSM31" s="109"/>
      <c r="SSN31" s="109"/>
      <c r="SSO31" s="109"/>
      <c r="SSP31" s="109"/>
      <c r="SSQ31" s="109"/>
      <c r="SSR31" s="109"/>
      <c r="SSS31" s="109"/>
      <c r="SST31" s="109"/>
      <c r="SSU31" s="109"/>
      <c r="SSV31" s="109"/>
      <c r="SSW31" s="109"/>
      <c r="SSX31" s="109"/>
      <c r="SSY31" s="109"/>
      <c r="SSZ31" s="109"/>
      <c r="STA31" s="109"/>
      <c r="STB31" s="109"/>
      <c r="STC31" s="109"/>
      <c r="STD31" s="109"/>
      <c r="STE31" s="109"/>
      <c r="STF31" s="109"/>
      <c r="STG31" s="109"/>
      <c r="STH31" s="109"/>
      <c r="STI31" s="109"/>
      <c r="STJ31" s="109"/>
      <c r="STK31" s="109"/>
      <c r="STL31" s="109"/>
      <c r="STM31" s="109"/>
      <c r="STN31" s="109"/>
      <c r="STO31" s="109"/>
      <c r="STP31" s="109"/>
      <c r="STQ31" s="109"/>
      <c r="STR31" s="109"/>
      <c r="STS31" s="109"/>
      <c r="STT31" s="109"/>
      <c r="STU31" s="109"/>
      <c r="STV31" s="109"/>
      <c r="STW31" s="109"/>
      <c r="STX31" s="109"/>
      <c r="STY31" s="109"/>
      <c r="STZ31" s="109"/>
      <c r="SUA31" s="109"/>
      <c r="SUB31" s="109"/>
      <c r="SUC31" s="109"/>
      <c r="SUD31" s="109"/>
      <c r="SUE31" s="109"/>
      <c r="SUF31" s="109"/>
      <c r="SUG31" s="109"/>
      <c r="SUH31" s="109"/>
      <c r="SUI31" s="109"/>
      <c r="SUJ31" s="109"/>
      <c r="SUK31" s="109"/>
      <c r="SUL31" s="109"/>
      <c r="SUM31" s="109"/>
      <c r="SUN31" s="109"/>
      <c r="SUO31" s="109"/>
      <c r="SUP31" s="109"/>
      <c r="SUQ31" s="109"/>
      <c r="SUR31" s="109"/>
      <c r="SUS31" s="109"/>
      <c r="SUT31" s="109"/>
      <c r="SUU31" s="109"/>
      <c r="SUV31" s="109"/>
      <c r="SUW31" s="109"/>
      <c r="SUX31" s="109"/>
      <c r="SUY31" s="109"/>
      <c r="SUZ31" s="109"/>
      <c r="SVA31" s="109"/>
      <c r="SVB31" s="109"/>
      <c r="SVC31" s="109"/>
      <c r="SVD31" s="109"/>
      <c r="SVE31" s="109"/>
      <c r="SVF31" s="109"/>
      <c r="SVG31" s="109"/>
      <c r="SVH31" s="109"/>
      <c r="SVI31" s="109"/>
      <c r="SVJ31" s="109"/>
      <c r="SVK31" s="109"/>
      <c r="SVL31" s="109"/>
      <c r="SVM31" s="109"/>
      <c r="SVN31" s="109"/>
      <c r="SVO31" s="109"/>
      <c r="SVP31" s="109"/>
      <c r="SVQ31" s="109"/>
      <c r="SVR31" s="109"/>
      <c r="SVS31" s="109"/>
      <c r="SVT31" s="109"/>
      <c r="SVU31" s="109"/>
      <c r="SVV31" s="109"/>
      <c r="SVW31" s="109"/>
      <c r="SVX31" s="109"/>
      <c r="SVY31" s="109"/>
      <c r="SVZ31" s="109"/>
      <c r="SWA31" s="109"/>
      <c r="SWB31" s="109"/>
      <c r="SWC31" s="109"/>
      <c r="SWD31" s="109"/>
      <c r="SWE31" s="109"/>
      <c r="SWF31" s="109"/>
      <c r="SWG31" s="109"/>
      <c r="SWH31" s="109"/>
      <c r="SWI31" s="109"/>
      <c r="SWJ31" s="109"/>
      <c r="SWK31" s="109"/>
      <c r="SWL31" s="109"/>
      <c r="SWM31" s="109"/>
      <c r="SWN31" s="109"/>
      <c r="SWO31" s="109"/>
      <c r="SWP31" s="109"/>
      <c r="SWQ31" s="109"/>
      <c r="SWR31" s="109"/>
      <c r="SWS31" s="109"/>
      <c r="SWT31" s="109"/>
      <c r="SWU31" s="109"/>
      <c r="SWV31" s="109"/>
      <c r="SWW31" s="109"/>
      <c r="SWX31" s="109"/>
      <c r="SWY31" s="109"/>
      <c r="SWZ31" s="109"/>
      <c r="SXA31" s="109"/>
      <c r="SXB31" s="109"/>
      <c r="SXC31" s="109"/>
      <c r="SXD31" s="109"/>
      <c r="SXE31" s="109"/>
      <c r="SXF31" s="109"/>
      <c r="SXG31" s="109"/>
      <c r="SXH31" s="109"/>
      <c r="SXI31" s="109"/>
      <c r="SXJ31" s="109"/>
      <c r="SXK31" s="109"/>
      <c r="SXL31" s="109"/>
      <c r="SXM31" s="109"/>
      <c r="SXN31" s="109"/>
      <c r="SXO31" s="109"/>
      <c r="SXP31" s="109"/>
      <c r="SXQ31" s="109"/>
      <c r="SXR31" s="109"/>
      <c r="SXS31" s="109"/>
      <c r="SXT31" s="109"/>
      <c r="SXU31" s="109"/>
      <c r="SXV31" s="109"/>
      <c r="SXW31" s="109"/>
      <c r="SXX31" s="109"/>
      <c r="SXY31" s="109"/>
      <c r="SXZ31" s="109"/>
      <c r="SYA31" s="109"/>
      <c r="SYB31" s="109"/>
      <c r="SYC31" s="109"/>
      <c r="SYD31" s="109"/>
      <c r="SYE31" s="109"/>
      <c r="SYF31" s="109"/>
      <c r="SYG31" s="109"/>
      <c r="SYH31" s="109"/>
      <c r="SYI31" s="109"/>
      <c r="SYJ31" s="109"/>
      <c r="SYK31" s="109"/>
      <c r="SYL31" s="109"/>
      <c r="SYM31" s="109"/>
      <c r="SYN31" s="109"/>
      <c r="SYO31" s="109"/>
      <c r="SYP31" s="109"/>
      <c r="SYQ31" s="109"/>
      <c r="SYR31" s="109"/>
      <c r="SYS31" s="109"/>
      <c r="SYT31" s="109"/>
      <c r="SYU31" s="109"/>
      <c r="SYV31" s="109"/>
      <c r="SYW31" s="109"/>
      <c r="SYX31" s="109"/>
      <c r="SYY31" s="109"/>
      <c r="SYZ31" s="109"/>
      <c r="SZA31" s="109"/>
      <c r="SZB31" s="109"/>
      <c r="SZC31" s="109"/>
      <c r="SZD31" s="109"/>
      <c r="SZE31" s="109"/>
      <c r="SZF31" s="109"/>
      <c r="SZG31" s="109"/>
      <c r="SZH31" s="109"/>
      <c r="SZI31" s="109"/>
      <c r="SZJ31" s="109"/>
      <c r="SZK31" s="109"/>
      <c r="SZL31" s="109"/>
      <c r="SZM31" s="109"/>
      <c r="SZN31" s="109"/>
      <c r="SZO31" s="109"/>
      <c r="SZP31" s="109"/>
      <c r="SZQ31" s="109"/>
      <c r="SZR31" s="109"/>
      <c r="SZS31" s="109"/>
      <c r="SZT31" s="109"/>
      <c r="SZU31" s="109"/>
      <c r="SZV31" s="109"/>
      <c r="SZW31" s="109"/>
      <c r="SZX31" s="109"/>
      <c r="SZY31" s="109"/>
      <c r="SZZ31" s="109"/>
      <c r="TAA31" s="109"/>
      <c r="TAB31" s="109"/>
      <c r="TAC31" s="109"/>
      <c r="TAD31" s="109"/>
      <c r="TAE31" s="109"/>
      <c r="TAF31" s="109"/>
      <c r="TAG31" s="109"/>
      <c r="TAH31" s="109"/>
      <c r="TAI31" s="109"/>
      <c r="TAJ31" s="109"/>
      <c r="TAK31" s="109"/>
      <c r="TAL31" s="109"/>
      <c r="TAM31" s="109"/>
      <c r="TAN31" s="109"/>
      <c r="TAO31" s="109"/>
      <c r="TAP31" s="109"/>
      <c r="TAQ31" s="109"/>
      <c r="TAR31" s="109"/>
      <c r="TAS31" s="109"/>
      <c r="TAT31" s="109"/>
      <c r="TAU31" s="109"/>
      <c r="TAV31" s="109"/>
      <c r="TAW31" s="109"/>
      <c r="TAX31" s="109"/>
      <c r="TAY31" s="109"/>
      <c r="TAZ31" s="109"/>
      <c r="TBA31" s="109"/>
      <c r="TBB31" s="109"/>
      <c r="TBC31" s="109"/>
      <c r="TBD31" s="109"/>
      <c r="TBE31" s="109"/>
      <c r="TBF31" s="109"/>
      <c r="TBG31" s="109"/>
      <c r="TBH31" s="109"/>
      <c r="TBI31" s="109"/>
      <c r="TBJ31" s="109"/>
      <c r="TBK31" s="109"/>
      <c r="TBL31" s="109"/>
      <c r="TBM31" s="109"/>
      <c r="TBN31" s="109"/>
      <c r="TBO31" s="109"/>
      <c r="TBP31" s="109"/>
      <c r="TBQ31" s="109"/>
      <c r="TBR31" s="109"/>
      <c r="TBS31" s="109"/>
      <c r="TBT31" s="109"/>
      <c r="TBU31" s="109"/>
      <c r="TBV31" s="109"/>
      <c r="TBW31" s="109"/>
      <c r="TBX31" s="109"/>
      <c r="TBY31" s="109"/>
      <c r="TBZ31" s="109"/>
      <c r="TCA31" s="109"/>
      <c r="TCB31" s="109"/>
      <c r="TCC31" s="109"/>
      <c r="TCD31" s="109"/>
      <c r="TCE31" s="109"/>
      <c r="TCF31" s="109"/>
      <c r="TCG31" s="109"/>
      <c r="TCH31" s="109"/>
      <c r="TCI31" s="109"/>
      <c r="TCJ31" s="109"/>
      <c r="TCK31" s="109"/>
      <c r="TCL31" s="109"/>
      <c r="TCM31" s="109"/>
      <c r="TCN31" s="109"/>
      <c r="TCO31" s="109"/>
      <c r="TCP31" s="109"/>
      <c r="TCQ31" s="109"/>
      <c r="TCR31" s="109"/>
      <c r="TCS31" s="109"/>
      <c r="TCT31" s="109"/>
      <c r="TCU31" s="109"/>
      <c r="TCV31" s="109"/>
      <c r="TCW31" s="109"/>
      <c r="TCX31" s="109"/>
      <c r="TCY31" s="109"/>
      <c r="TCZ31" s="109"/>
      <c r="TDA31" s="109"/>
      <c r="TDB31" s="109"/>
      <c r="TDC31" s="109"/>
      <c r="TDD31" s="109"/>
      <c r="TDE31" s="109"/>
      <c r="TDF31" s="109"/>
      <c r="TDG31" s="109"/>
      <c r="TDH31" s="109"/>
      <c r="TDI31" s="109"/>
      <c r="TDJ31" s="109"/>
      <c r="TDK31" s="109"/>
      <c r="TDL31" s="109"/>
      <c r="TDM31" s="109"/>
      <c r="TDN31" s="109"/>
      <c r="TDO31" s="109"/>
      <c r="TDP31" s="109"/>
      <c r="TDQ31" s="109"/>
      <c r="TDR31" s="109"/>
      <c r="TDS31" s="109"/>
      <c r="TDT31" s="109"/>
      <c r="TDU31" s="109"/>
      <c r="TDV31" s="109"/>
      <c r="TDW31" s="109"/>
      <c r="TDX31" s="109"/>
      <c r="TDY31" s="109"/>
      <c r="TDZ31" s="109"/>
      <c r="TEA31" s="109"/>
      <c r="TEB31" s="109"/>
      <c r="TEC31" s="109"/>
      <c r="TED31" s="109"/>
      <c r="TEE31" s="109"/>
      <c r="TEF31" s="109"/>
      <c r="TEG31" s="109"/>
      <c r="TEH31" s="109"/>
      <c r="TEI31" s="109"/>
      <c r="TEJ31" s="109"/>
      <c r="TEK31" s="109"/>
      <c r="TEL31" s="109"/>
      <c r="TEM31" s="109"/>
      <c r="TEN31" s="109"/>
      <c r="TEO31" s="109"/>
      <c r="TEP31" s="109"/>
      <c r="TEQ31" s="109"/>
      <c r="TER31" s="109"/>
      <c r="TES31" s="109"/>
      <c r="TET31" s="109"/>
      <c r="TEU31" s="109"/>
      <c r="TEV31" s="109"/>
      <c r="TEW31" s="109"/>
      <c r="TEX31" s="109"/>
      <c r="TEY31" s="109"/>
      <c r="TEZ31" s="109"/>
      <c r="TFA31" s="109"/>
      <c r="TFB31" s="109"/>
      <c r="TFC31" s="109"/>
      <c r="TFD31" s="109"/>
      <c r="TFE31" s="109"/>
      <c r="TFF31" s="109"/>
      <c r="TFG31" s="109"/>
      <c r="TFH31" s="109"/>
      <c r="TFI31" s="109"/>
      <c r="TFJ31" s="109"/>
      <c r="TFK31" s="109"/>
      <c r="TFL31" s="109"/>
      <c r="TFM31" s="109"/>
      <c r="TFN31" s="109"/>
      <c r="TFO31" s="109"/>
      <c r="TFP31" s="109"/>
      <c r="TFQ31" s="109"/>
      <c r="TFR31" s="109"/>
      <c r="TFS31" s="109"/>
      <c r="TFT31" s="109"/>
      <c r="TFU31" s="109"/>
      <c r="TFV31" s="109"/>
      <c r="TFW31" s="109"/>
      <c r="TFX31" s="109"/>
      <c r="TFY31" s="109"/>
      <c r="TFZ31" s="109"/>
      <c r="TGA31" s="109"/>
      <c r="TGB31" s="109"/>
      <c r="TGC31" s="109"/>
      <c r="TGD31" s="109"/>
      <c r="TGE31" s="109"/>
      <c r="TGF31" s="109"/>
      <c r="TGG31" s="109"/>
      <c r="TGH31" s="109"/>
      <c r="TGI31" s="109"/>
      <c r="TGJ31" s="109"/>
      <c r="TGK31" s="109"/>
      <c r="TGL31" s="109"/>
      <c r="TGM31" s="109"/>
      <c r="TGN31" s="109"/>
      <c r="TGO31" s="109"/>
      <c r="TGP31" s="109"/>
      <c r="TGQ31" s="109"/>
      <c r="TGR31" s="109"/>
      <c r="TGS31" s="109"/>
      <c r="TGT31" s="109"/>
      <c r="TGU31" s="109"/>
      <c r="TGV31" s="109"/>
      <c r="TGW31" s="109"/>
      <c r="TGX31" s="109"/>
      <c r="TGY31" s="109"/>
      <c r="TGZ31" s="109"/>
      <c r="THA31" s="109"/>
      <c r="THB31" s="109"/>
      <c r="THC31" s="109"/>
      <c r="THD31" s="109"/>
      <c r="THE31" s="109"/>
      <c r="THF31" s="109"/>
      <c r="THG31" s="109"/>
      <c r="THH31" s="109"/>
      <c r="THI31" s="109"/>
      <c r="THJ31" s="109"/>
      <c r="THK31" s="109"/>
      <c r="THL31" s="109"/>
      <c r="THM31" s="109"/>
      <c r="THN31" s="109"/>
      <c r="THO31" s="109"/>
      <c r="THP31" s="109"/>
      <c r="THQ31" s="109"/>
      <c r="THR31" s="109"/>
      <c r="THS31" s="109"/>
      <c r="THT31" s="109"/>
      <c r="THU31" s="109"/>
      <c r="THV31" s="109"/>
      <c r="THW31" s="109"/>
      <c r="THX31" s="109"/>
      <c r="THY31" s="109"/>
      <c r="THZ31" s="109"/>
      <c r="TIA31" s="109"/>
      <c r="TIB31" s="109"/>
      <c r="TIC31" s="109"/>
      <c r="TID31" s="109"/>
      <c r="TIE31" s="109"/>
      <c r="TIF31" s="109"/>
      <c r="TIG31" s="109"/>
      <c r="TIH31" s="109"/>
      <c r="TII31" s="109"/>
      <c r="TIJ31" s="109"/>
      <c r="TIK31" s="109"/>
      <c r="TIL31" s="109"/>
      <c r="TIM31" s="109"/>
      <c r="TIN31" s="109"/>
      <c r="TIO31" s="109"/>
      <c r="TIP31" s="109"/>
      <c r="TIQ31" s="109"/>
      <c r="TIR31" s="109"/>
      <c r="TIS31" s="109"/>
      <c r="TIT31" s="109"/>
      <c r="TIU31" s="109"/>
      <c r="TIV31" s="109"/>
      <c r="TIW31" s="109"/>
      <c r="TIX31" s="109"/>
      <c r="TIY31" s="109"/>
      <c r="TIZ31" s="109"/>
      <c r="TJA31" s="109"/>
      <c r="TJB31" s="109"/>
      <c r="TJC31" s="109"/>
      <c r="TJD31" s="109"/>
      <c r="TJE31" s="109"/>
      <c r="TJF31" s="109"/>
      <c r="TJG31" s="109"/>
      <c r="TJH31" s="109"/>
      <c r="TJI31" s="109"/>
      <c r="TJJ31" s="109"/>
      <c r="TJK31" s="109"/>
      <c r="TJL31" s="109"/>
      <c r="TJM31" s="109"/>
      <c r="TJN31" s="109"/>
      <c r="TJO31" s="109"/>
      <c r="TJP31" s="109"/>
      <c r="TJQ31" s="109"/>
      <c r="TJR31" s="109"/>
      <c r="TJS31" s="109"/>
      <c r="TJT31" s="109"/>
      <c r="TJU31" s="109"/>
      <c r="TJV31" s="109"/>
      <c r="TJW31" s="109"/>
      <c r="TJX31" s="109"/>
      <c r="TJY31" s="109"/>
      <c r="TJZ31" s="109"/>
      <c r="TKA31" s="109"/>
      <c r="TKB31" s="109"/>
      <c r="TKC31" s="109"/>
      <c r="TKD31" s="109"/>
      <c r="TKE31" s="109"/>
      <c r="TKF31" s="109"/>
      <c r="TKG31" s="109"/>
      <c r="TKH31" s="109"/>
      <c r="TKI31" s="109"/>
      <c r="TKJ31" s="109"/>
      <c r="TKK31" s="109"/>
      <c r="TKL31" s="109"/>
      <c r="TKM31" s="109"/>
      <c r="TKN31" s="109"/>
      <c r="TKO31" s="109"/>
      <c r="TKP31" s="109"/>
      <c r="TKQ31" s="109"/>
      <c r="TKR31" s="109"/>
      <c r="TKS31" s="109"/>
      <c r="TKT31" s="109"/>
      <c r="TKU31" s="109"/>
      <c r="TKV31" s="109"/>
      <c r="TKW31" s="109"/>
      <c r="TKX31" s="109"/>
      <c r="TKY31" s="109"/>
      <c r="TKZ31" s="109"/>
      <c r="TLA31" s="109"/>
      <c r="TLB31" s="109"/>
      <c r="TLC31" s="109"/>
      <c r="TLD31" s="109"/>
      <c r="TLE31" s="109"/>
      <c r="TLF31" s="109"/>
      <c r="TLG31" s="109"/>
      <c r="TLH31" s="109"/>
      <c r="TLI31" s="109"/>
      <c r="TLJ31" s="109"/>
      <c r="TLK31" s="109"/>
      <c r="TLL31" s="109"/>
      <c r="TLM31" s="109"/>
      <c r="TLN31" s="109"/>
      <c r="TLO31" s="109"/>
      <c r="TLP31" s="109"/>
      <c r="TLQ31" s="109"/>
      <c r="TLR31" s="109"/>
      <c r="TLS31" s="109"/>
      <c r="TLT31" s="109"/>
      <c r="TLU31" s="109"/>
      <c r="TLV31" s="109"/>
      <c r="TLW31" s="109"/>
      <c r="TLX31" s="109"/>
      <c r="TLY31" s="109"/>
      <c r="TLZ31" s="109"/>
      <c r="TMA31" s="109"/>
      <c r="TMB31" s="109"/>
      <c r="TMC31" s="109"/>
      <c r="TMD31" s="109"/>
      <c r="TME31" s="109"/>
      <c r="TMF31" s="109"/>
      <c r="TMG31" s="109"/>
      <c r="TMH31" s="109"/>
      <c r="TMI31" s="109"/>
      <c r="TMJ31" s="109"/>
      <c r="TMK31" s="109"/>
      <c r="TML31" s="109"/>
      <c r="TMM31" s="109"/>
      <c r="TMN31" s="109"/>
      <c r="TMO31" s="109"/>
      <c r="TMP31" s="109"/>
      <c r="TMQ31" s="109"/>
      <c r="TMR31" s="109"/>
      <c r="TMS31" s="109"/>
      <c r="TMT31" s="109"/>
      <c r="TMU31" s="109"/>
      <c r="TMV31" s="109"/>
      <c r="TMW31" s="109"/>
      <c r="TMX31" s="109"/>
      <c r="TMY31" s="109"/>
      <c r="TMZ31" s="109"/>
      <c r="TNA31" s="109"/>
      <c r="TNB31" s="109"/>
      <c r="TNC31" s="109"/>
      <c r="TND31" s="109"/>
      <c r="TNE31" s="109"/>
      <c r="TNF31" s="109"/>
      <c r="TNG31" s="109"/>
      <c r="TNH31" s="109"/>
      <c r="TNI31" s="109"/>
      <c r="TNJ31" s="109"/>
      <c r="TNK31" s="109"/>
      <c r="TNL31" s="109"/>
      <c r="TNM31" s="109"/>
      <c r="TNN31" s="109"/>
      <c r="TNO31" s="109"/>
      <c r="TNP31" s="109"/>
      <c r="TNQ31" s="109"/>
      <c r="TNR31" s="109"/>
      <c r="TNS31" s="109"/>
      <c r="TNT31" s="109"/>
      <c r="TNU31" s="109"/>
      <c r="TNV31" s="109"/>
      <c r="TNW31" s="109"/>
      <c r="TNX31" s="109"/>
      <c r="TNY31" s="109"/>
      <c r="TNZ31" s="109"/>
      <c r="TOA31" s="109"/>
      <c r="TOB31" s="109"/>
      <c r="TOC31" s="109"/>
      <c r="TOD31" s="109"/>
      <c r="TOE31" s="109"/>
      <c r="TOF31" s="109"/>
      <c r="TOG31" s="109"/>
      <c r="TOH31" s="109"/>
      <c r="TOI31" s="109"/>
      <c r="TOJ31" s="109"/>
      <c r="TOK31" s="109"/>
      <c r="TOL31" s="109"/>
      <c r="TOM31" s="109"/>
      <c r="TON31" s="109"/>
      <c r="TOO31" s="109"/>
      <c r="TOP31" s="109"/>
      <c r="TOQ31" s="109"/>
      <c r="TOR31" s="109"/>
      <c r="TOS31" s="109"/>
      <c r="TOT31" s="109"/>
      <c r="TOU31" s="109"/>
      <c r="TOV31" s="109"/>
      <c r="TOW31" s="109"/>
      <c r="TOX31" s="109"/>
      <c r="TOY31" s="109"/>
      <c r="TOZ31" s="109"/>
      <c r="TPA31" s="109"/>
      <c r="TPB31" s="109"/>
      <c r="TPC31" s="109"/>
      <c r="TPD31" s="109"/>
      <c r="TPE31" s="109"/>
      <c r="TPF31" s="109"/>
      <c r="TPG31" s="109"/>
      <c r="TPH31" s="109"/>
      <c r="TPI31" s="109"/>
      <c r="TPJ31" s="109"/>
      <c r="TPK31" s="109"/>
      <c r="TPL31" s="109"/>
      <c r="TPM31" s="109"/>
      <c r="TPN31" s="109"/>
      <c r="TPO31" s="109"/>
      <c r="TPP31" s="109"/>
      <c r="TPQ31" s="109"/>
      <c r="TPR31" s="109"/>
      <c r="TPS31" s="109"/>
      <c r="TPT31" s="109"/>
      <c r="TPU31" s="109"/>
      <c r="TPV31" s="109"/>
      <c r="TPW31" s="109"/>
      <c r="TPX31" s="109"/>
      <c r="TPY31" s="109"/>
      <c r="TPZ31" s="109"/>
      <c r="TQA31" s="109"/>
      <c r="TQB31" s="109"/>
      <c r="TQC31" s="109"/>
      <c r="TQD31" s="109"/>
      <c r="TQE31" s="109"/>
      <c r="TQF31" s="109"/>
      <c r="TQG31" s="109"/>
      <c r="TQH31" s="109"/>
      <c r="TQI31" s="109"/>
      <c r="TQJ31" s="109"/>
      <c r="TQK31" s="109"/>
      <c r="TQL31" s="109"/>
      <c r="TQM31" s="109"/>
      <c r="TQN31" s="109"/>
      <c r="TQO31" s="109"/>
      <c r="TQP31" s="109"/>
      <c r="TQQ31" s="109"/>
      <c r="TQR31" s="109"/>
      <c r="TQS31" s="109"/>
      <c r="TQT31" s="109"/>
      <c r="TQU31" s="109"/>
      <c r="TQV31" s="109"/>
      <c r="TQW31" s="109"/>
      <c r="TQX31" s="109"/>
      <c r="TQY31" s="109"/>
      <c r="TQZ31" s="109"/>
      <c r="TRA31" s="109"/>
      <c r="TRB31" s="109"/>
      <c r="TRC31" s="109"/>
      <c r="TRD31" s="109"/>
      <c r="TRE31" s="109"/>
      <c r="TRF31" s="109"/>
      <c r="TRG31" s="109"/>
      <c r="TRH31" s="109"/>
      <c r="TRI31" s="109"/>
      <c r="TRJ31" s="109"/>
      <c r="TRK31" s="109"/>
      <c r="TRL31" s="109"/>
      <c r="TRM31" s="109"/>
      <c r="TRN31" s="109"/>
      <c r="TRO31" s="109"/>
      <c r="TRP31" s="109"/>
      <c r="TRQ31" s="109"/>
      <c r="TRR31" s="109"/>
      <c r="TRS31" s="109"/>
      <c r="TRT31" s="109"/>
      <c r="TRU31" s="109"/>
      <c r="TRV31" s="109"/>
      <c r="TRW31" s="109"/>
      <c r="TRX31" s="109"/>
      <c r="TRY31" s="109"/>
      <c r="TRZ31" s="109"/>
      <c r="TSA31" s="109"/>
      <c r="TSB31" s="109"/>
      <c r="TSC31" s="109"/>
      <c r="TSD31" s="109"/>
      <c r="TSE31" s="109"/>
      <c r="TSF31" s="109"/>
      <c r="TSG31" s="109"/>
      <c r="TSH31" s="109"/>
      <c r="TSI31" s="109"/>
      <c r="TSJ31" s="109"/>
      <c r="TSK31" s="109"/>
      <c r="TSL31" s="109"/>
      <c r="TSM31" s="109"/>
      <c r="TSN31" s="109"/>
      <c r="TSO31" s="109"/>
      <c r="TSP31" s="109"/>
      <c r="TSQ31" s="109"/>
      <c r="TSR31" s="109"/>
      <c r="TSS31" s="109"/>
      <c r="TST31" s="109"/>
      <c r="TSU31" s="109"/>
      <c r="TSV31" s="109"/>
      <c r="TSW31" s="109"/>
      <c r="TSX31" s="109"/>
      <c r="TSY31" s="109"/>
      <c r="TSZ31" s="109"/>
      <c r="TTA31" s="109"/>
      <c r="TTB31" s="109"/>
      <c r="TTC31" s="109"/>
      <c r="TTD31" s="109"/>
      <c r="TTE31" s="109"/>
      <c r="TTF31" s="109"/>
      <c r="TTG31" s="109"/>
      <c r="TTH31" s="109"/>
      <c r="TTI31" s="109"/>
      <c r="TTJ31" s="109"/>
      <c r="TTK31" s="109"/>
      <c r="TTL31" s="109"/>
      <c r="TTM31" s="109"/>
      <c r="TTN31" s="109"/>
      <c r="TTO31" s="109"/>
      <c r="TTP31" s="109"/>
      <c r="TTQ31" s="109"/>
      <c r="TTR31" s="109"/>
      <c r="TTS31" s="109"/>
      <c r="TTT31" s="109"/>
      <c r="TTU31" s="109"/>
      <c r="TTV31" s="109"/>
      <c r="TTW31" s="109"/>
      <c r="TTX31" s="109"/>
      <c r="TTY31" s="109"/>
      <c r="TTZ31" s="109"/>
      <c r="TUA31" s="109"/>
      <c r="TUB31" s="109"/>
      <c r="TUC31" s="109"/>
      <c r="TUD31" s="109"/>
      <c r="TUE31" s="109"/>
      <c r="TUF31" s="109"/>
      <c r="TUG31" s="109"/>
      <c r="TUH31" s="109"/>
      <c r="TUI31" s="109"/>
      <c r="TUJ31" s="109"/>
      <c r="TUK31" s="109"/>
      <c r="TUL31" s="109"/>
      <c r="TUM31" s="109"/>
      <c r="TUN31" s="109"/>
      <c r="TUO31" s="109"/>
      <c r="TUP31" s="109"/>
      <c r="TUQ31" s="109"/>
      <c r="TUR31" s="109"/>
      <c r="TUS31" s="109"/>
      <c r="TUT31" s="109"/>
      <c r="TUU31" s="109"/>
      <c r="TUV31" s="109"/>
      <c r="TUW31" s="109"/>
      <c r="TUX31" s="109"/>
      <c r="TUY31" s="109"/>
      <c r="TUZ31" s="109"/>
      <c r="TVA31" s="109"/>
      <c r="TVB31" s="109"/>
      <c r="TVC31" s="109"/>
      <c r="TVD31" s="109"/>
      <c r="TVE31" s="109"/>
      <c r="TVF31" s="109"/>
      <c r="TVG31" s="109"/>
      <c r="TVH31" s="109"/>
      <c r="TVI31" s="109"/>
      <c r="TVJ31" s="109"/>
      <c r="TVK31" s="109"/>
      <c r="TVL31" s="109"/>
      <c r="TVM31" s="109"/>
      <c r="TVN31" s="109"/>
      <c r="TVO31" s="109"/>
      <c r="TVP31" s="109"/>
      <c r="TVQ31" s="109"/>
      <c r="TVR31" s="109"/>
      <c r="TVS31" s="109"/>
      <c r="TVT31" s="109"/>
      <c r="TVU31" s="109"/>
      <c r="TVV31" s="109"/>
      <c r="TVW31" s="109"/>
      <c r="TVX31" s="109"/>
      <c r="TVY31" s="109"/>
      <c r="TVZ31" s="109"/>
      <c r="TWA31" s="109"/>
      <c r="TWB31" s="109"/>
      <c r="TWC31" s="109"/>
      <c r="TWD31" s="109"/>
      <c r="TWE31" s="109"/>
      <c r="TWF31" s="109"/>
      <c r="TWG31" s="109"/>
      <c r="TWH31" s="109"/>
      <c r="TWI31" s="109"/>
      <c r="TWJ31" s="109"/>
      <c r="TWK31" s="109"/>
      <c r="TWL31" s="109"/>
      <c r="TWM31" s="109"/>
      <c r="TWN31" s="109"/>
      <c r="TWO31" s="109"/>
      <c r="TWP31" s="109"/>
      <c r="TWQ31" s="109"/>
      <c r="TWR31" s="109"/>
      <c r="TWS31" s="109"/>
      <c r="TWT31" s="109"/>
      <c r="TWU31" s="109"/>
      <c r="TWV31" s="109"/>
      <c r="TWW31" s="109"/>
      <c r="TWX31" s="109"/>
      <c r="TWY31" s="109"/>
      <c r="TWZ31" s="109"/>
      <c r="TXA31" s="109"/>
      <c r="TXB31" s="109"/>
      <c r="TXC31" s="109"/>
      <c r="TXD31" s="109"/>
      <c r="TXE31" s="109"/>
      <c r="TXF31" s="109"/>
      <c r="TXG31" s="109"/>
      <c r="TXH31" s="109"/>
      <c r="TXI31" s="109"/>
      <c r="TXJ31" s="109"/>
      <c r="TXK31" s="109"/>
      <c r="TXL31" s="109"/>
      <c r="TXM31" s="109"/>
      <c r="TXN31" s="109"/>
      <c r="TXO31" s="109"/>
      <c r="TXP31" s="109"/>
      <c r="TXQ31" s="109"/>
      <c r="TXR31" s="109"/>
      <c r="TXS31" s="109"/>
      <c r="TXT31" s="109"/>
      <c r="TXU31" s="109"/>
      <c r="TXV31" s="109"/>
      <c r="TXW31" s="109"/>
      <c r="TXX31" s="109"/>
      <c r="TXY31" s="109"/>
      <c r="TXZ31" s="109"/>
      <c r="TYA31" s="109"/>
      <c r="TYB31" s="109"/>
      <c r="TYC31" s="109"/>
      <c r="TYD31" s="109"/>
      <c r="TYE31" s="109"/>
      <c r="TYF31" s="109"/>
      <c r="TYG31" s="109"/>
      <c r="TYH31" s="109"/>
      <c r="TYI31" s="109"/>
      <c r="TYJ31" s="109"/>
      <c r="TYK31" s="109"/>
      <c r="TYL31" s="109"/>
      <c r="TYM31" s="109"/>
      <c r="TYN31" s="109"/>
      <c r="TYO31" s="109"/>
      <c r="TYP31" s="109"/>
      <c r="TYQ31" s="109"/>
      <c r="TYR31" s="109"/>
      <c r="TYS31" s="109"/>
      <c r="TYT31" s="109"/>
      <c r="TYU31" s="109"/>
      <c r="TYV31" s="109"/>
      <c r="TYW31" s="109"/>
      <c r="TYX31" s="109"/>
      <c r="TYY31" s="109"/>
      <c r="TYZ31" s="109"/>
      <c r="TZA31" s="109"/>
      <c r="TZB31" s="109"/>
      <c r="TZC31" s="109"/>
      <c r="TZD31" s="109"/>
      <c r="TZE31" s="109"/>
      <c r="TZF31" s="109"/>
      <c r="TZG31" s="109"/>
      <c r="TZH31" s="109"/>
      <c r="TZI31" s="109"/>
      <c r="TZJ31" s="109"/>
      <c r="TZK31" s="109"/>
      <c r="TZL31" s="109"/>
      <c r="TZM31" s="109"/>
      <c r="TZN31" s="109"/>
      <c r="TZO31" s="109"/>
      <c r="TZP31" s="109"/>
      <c r="TZQ31" s="109"/>
      <c r="TZR31" s="109"/>
      <c r="TZS31" s="109"/>
      <c r="TZT31" s="109"/>
      <c r="TZU31" s="109"/>
      <c r="TZV31" s="109"/>
      <c r="TZW31" s="109"/>
      <c r="TZX31" s="109"/>
      <c r="TZY31" s="109"/>
      <c r="TZZ31" s="109"/>
      <c r="UAA31" s="109"/>
      <c r="UAB31" s="109"/>
      <c r="UAC31" s="109"/>
      <c r="UAD31" s="109"/>
      <c r="UAE31" s="109"/>
      <c r="UAF31" s="109"/>
      <c r="UAG31" s="109"/>
      <c r="UAH31" s="109"/>
      <c r="UAI31" s="109"/>
      <c r="UAJ31" s="109"/>
      <c r="UAK31" s="109"/>
      <c r="UAL31" s="109"/>
      <c r="UAM31" s="109"/>
      <c r="UAN31" s="109"/>
      <c r="UAO31" s="109"/>
      <c r="UAP31" s="109"/>
      <c r="UAQ31" s="109"/>
      <c r="UAR31" s="109"/>
      <c r="UAS31" s="109"/>
      <c r="UAT31" s="109"/>
      <c r="UAU31" s="109"/>
      <c r="UAV31" s="109"/>
      <c r="UAW31" s="109"/>
      <c r="UAX31" s="109"/>
      <c r="UAY31" s="109"/>
      <c r="UAZ31" s="109"/>
      <c r="UBA31" s="109"/>
      <c r="UBB31" s="109"/>
      <c r="UBC31" s="109"/>
      <c r="UBD31" s="109"/>
      <c r="UBE31" s="109"/>
      <c r="UBF31" s="109"/>
      <c r="UBG31" s="109"/>
      <c r="UBH31" s="109"/>
      <c r="UBI31" s="109"/>
      <c r="UBJ31" s="109"/>
      <c r="UBK31" s="109"/>
      <c r="UBL31" s="109"/>
      <c r="UBM31" s="109"/>
      <c r="UBN31" s="109"/>
      <c r="UBO31" s="109"/>
      <c r="UBP31" s="109"/>
      <c r="UBQ31" s="109"/>
      <c r="UBR31" s="109"/>
      <c r="UBS31" s="109"/>
      <c r="UBT31" s="109"/>
      <c r="UBU31" s="109"/>
      <c r="UBV31" s="109"/>
      <c r="UBW31" s="109"/>
      <c r="UBX31" s="109"/>
      <c r="UBY31" s="109"/>
      <c r="UBZ31" s="109"/>
      <c r="UCA31" s="109"/>
      <c r="UCB31" s="109"/>
      <c r="UCC31" s="109"/>
      <c r="UCD31" s="109"/>
      <c r="UCE31" s="109"/>
      <c r="UCF31" s="109"/>
      <c r="UCG31" s="109"/>
      <c r="UCH31" s="109"/>
      <c r="UCI31" s="109"/>
      <c r="UCJ31" s="109"/>
      <c r="UCK31" s="109"/>
      <c r="UCL31" s="109"/>
      <c r="UCM31" s="109"/>
      <c r="UCN31" s="109"/>
      <c r="UCO31" s="109"/>
      <c r="UCP31" s="109"/>
      <c r="UCQ31" s="109"/>
      <c r="UCR31" s="109"/>
      <c r="UCS31" s="109"/>
      <c r="UCT31" s="109"/>
      <c r="UCU31" s="109"/>
      <c r="UCV31" s="109"/>
      <c r="UCW31" s="109"/>
      <c r="UCX31" s="109"/>
      <c r="UCY31" s="109"/>
      <c r="UCZ31" s="109"/>
      <c r="UDA31" s="109"/>
      <c r="UDB31" s="109"/>
      <c r="UDC31" s="109"/>
      <c r="UDD31" s="109"/>
      <c r="UDE31" s="109"/>
      <c r="UDF31" s="109"/>
      <c r="UDG31" s="109"/>
      <c r="UDH31" s="109"/>
      <c r="UDI31" s="109"/>
      <c r="UDJ31" s="109"/>
      <c r="UDK31" s="109"/>
      <c r="UDL31" s="109"/>
      <c r="UDM31" s="109"/>
      <c r="UDN31" s="109"/>
      <c r="UDO31" s="109"/>
      <c r="UDP31" s="109"/>
      <c r="UDQ31" s="109"/>
      <c r="UDR31" s="109"/>
      <c r="UDS31" s="109"/>
      <c r="UDT31" s="109"/>
      <c r="UDU31" s="109"/>
      <c r="UDV31" s="109"/>
      <c r="UDW31" s="109"/>
      <c r="UDX31" s="109"/>
      <c r="UDY31" s="109"/>
      <c r="UDZ31" s="109"/>
      <c r="UEA31" s="109"/>
      <c r="UEB31" s="109"/>
      <c r="UEC31" s="109"/>
      <c r="UED31" s="109"/>
      <c r="UEE31" s="109"/>
      <c r="UEF31" s="109"/>
      <c r="UEG31" s="109"/>
      <c r="UEH31" s="109"/>
      <c r="UEI31" s="109"/>
      <c r="UEJ31" s="109"/>
      <c r="UEK31" s="109"/>
      <c r="UEL31" s="109"/>
      <c r="UEM31" s="109"/>
      <c r="UEN31" s="109"/>
      <c r="UEO31" s="109"/>
      <c r="UEP31" s="109"/>
      <c r="UEQ31" s="109"/>
      <c r="UER31" s="109"/>
      <c r="UES31" s="109"/>
      <c r="UET31" s="109"/>
      <c r="UEU31" s="109"/>
      <c r="UEV31" s="109"/>
      <c r="UEW31" s="109"/>
      <c r="UEX31" s="109"/>
      <c r="UEY31" s="109"/>
      <c r="UEZ31" s="109"/>
      <c r="UFA31" s="109"/>
      <c r="UFB31" s="109"/>
      <c r="UFC31" s="109"/>
      <c r="UFD31" s="109"/>
      <c r="UFE31" s="109"/>
      <c r="UFF31" s="109"/>
      <c r="UFG31" s="109"/>
      <c r="UFH31" s="109"/>
      <c r="UFI31" s="109"/>
      <c r="UFJ31" s="109"/>
      <c r="UFK31" s="109"/>
      <c r="UFL31" s="109"/>
      <c r="UFM31" s="109"/>
      <c r="UFN31" s="109"/>
      <c r="UFO31" s="109"/>
      <c r="UFP31" s="109"/>
      <c r="UFQ31" s="109"/>
      <c r="UFR31" s="109"/>
      <c r="UFS31" s="109"/>
      <c r="UFT31" s="109"/>
      <c r="UFU31" s="109"/>
      <c r="UFV31" s="109"/>
      <c r="UFW31" s="109"/>
      <c r="UFX31" s="109"/>
      <c r="UFY31" s="109"/>
      <c r="UFZ31" s="109"/>
      <c r="UGA31" s="109"/>
      <c r="UGB31" s="109"/>
      <c r="UGC31" s="109"/>
      <c r="UGD31" s="109"/>
      <c r="UGE31" s="109"/>
      <c r="UGF31" s="109"/>
      <c r="UGG31" s="109"/>
      <c r="UGH31" s="109"/>
      <c r="UGI31" s="109"/>
      <c r="UGJ31" s="109"/>
      <c r="UGK31" s="109"/>
      <c r="UGL31" s="109"/>
      <c r="UGM31" s="109"/>
      <c r="UGN31" s="109"/>
      <c r="UGO31" s="109"/>
      <c r="UGP31" s="109"/>
      <c r="UGQ31" s="109"/>
      <c r="UGR31" s="109"/>
      <c r="UGS31" s="109"/>
      <c r="UGT31" s="109"/>
      <c r="UGU31" s="109"/>
      <c r="UGV31" s="109"/>
      <c r="UGW31" s="109"/>
      <c r="UGX31" s="109"/>
      <c r="UGY31" s="109"/>
      <c r="UGZ31" s="109"/>
      <c r="UHA31" s="109"/>
      <c r="UHB31" s="109"/>
      <c r="UHC31" s="109"/>
      <c r="UHD31" s="109"/>
      <c r="UHE31" s="109"/>
      <c r="UHF31" s="109"/>
      <c r="UHG31" s="109"/>
      <c r="UHH31" s="109"/>
      <c r="UHI31" s="109"/>
      <c r="UHJ31" s="109"/>
      <c r="UHK31" s="109"/>
      <c r="UHL31" s="109"/>
      <c r="UHM31" s="109"/>
      <c r="UHN31" s="109"/>
      <c r="UHO31" s="109"/>
      <c r="UHP31" s="109"/>
      <c r="UHQ31" s="109"/>
      <c r="UHR31" s="109"/>
      <c r="UHS31" s="109"/>
      <c r="UHT31" s="109"/>
      <c r="UHU31" s="109"/>
      <c r="UHV31" s="109"/>
      <c r="UHW31" s="109"/>
      <c r="UHX31" s="109"/>
      <c r="UHY31" s="109"/>
      <c r="UHZ31" s="109"/>
      <c r="UIA31" s="109"/>
      <c r="UIB31" s="109"/>
      <c r="UIC31" s="109"/>
      <c r="UID31" s="109"/>
      <c r="UIE31" s="109"/>
      <c r="UIF31" s="109"/>
      <c r="UIG31" s="109"/>
      <c r="UIH31" s="109"/>
      <c r="UII31" s="109"/>
      <c r="UIJ31" s="109"/>
      <c r="UIK31" s="109"/>
      <c r="UIL31" s="109"/>
      <c r="UIM31" s="109"/>
      <c r="UIN31" s="109"/>
      <c r="UIO31" s="109"/>
      <c r="UIP31" s="109"/>
      <c r="UIQ31" s="109"/>
      <c r="UIR31" s="109"/>
      <c r="UIS31" s="109"/>
      <c r="UIT31" s="109"/>
      <c r="UIU31" s="109"/>
      <c r="UIV31" s="109"/>
      <c r="UIW31" s="109"/>
      <c r="UIX31" s="109"/>
      <c r="UIY31" s="109"/>
      <c r="UIZ31" s="109"/>
      <c r="UJA31" s="109"/>
      <c r="UJB31" s="109"/>
      <c r="UJC31" s="109"/>
      <c r="UJD31" s="109"/>
      <c r="UJE31" s="109"/>
      <c r="UJF31" s="109"/>
      <c r="UJG31" s="109"/>
      <c r="UJH31" s="109"/>
      <c r="UJI31" s="109"/>
      <c r="UJJ31" s="109"/>
      <c r="UJK31" s="109"/>
      <c r="UJL31" s="109"/>
      <c r="UJM31" s="109"/>
      <c r="UJN31" s="109"/>
      <c r="UJO31" s="109"/>
      <c r="UJP31" s="109"/>
      <c r="UJQ31" s="109"/>
      <c r="UJR31" s="109"/>
      <c r="UJS31" s="109"/>
      <c r="UJT31" s="109"/>
      <c r="UJU31" s="109"/>
      <c r="UJV31" s="109"/>
      <c r="UJW31" s="109"/>
      <c r="UJX31" s="109"/>
      <c r="UJY31" s="109"/>
      <c r="UJZ31" s="109"/>
      <c r="UKA31" s="109"/>
      <c r="UKB31" s="109"/>
      <c r="UKC31" s="109"/>
      <c r="UKD31" s="109"/>
      <c r="UKE31" s="109"/>
      <c r="UKF31" s="109"/>
      <c r="UKG31" s="109"/>
      <c r="UKH31" s="109"/>
      <c r="UKI31" s="109"/>
      <c r="UKJ31" s="109"/>
      <c r="UKK31" s="109"/>
      <c r="UKL31" s="109"/>
      <c r="UKM31" s="109"/>
      <c r="UKN31" s="109"/>
      <c r="UKO31" s="109"/>
      <c r="UKP31" s="109"/>
      <c r="UKQ31" s="109"/>
      <c r="UKR31" s="109"/>
      <c r="UKS31" s="109"/>
      <c r="UKT31" s="109"/>
      <c r="UKU31" s="109"/>
      <c r="UKV31" s="109"/>
      <c r="UKW31" s="109"/>
      <c r="UKX31" s="109"/>
      <c r="UKY31" s="109"/>
      <c r="UKZ31" s="109"/>
      <c r="ULA31" s="109"/>
      <c r="ULB31" s="109"/>
      <c r="ULC31" s="109"/>
      <c r="ULD31" s="109"/>
      <c r="ULE31" s="109"/>
      <c r="ULF31" s="109"/>
      <c r="ULG31" s="109"/>
      <c r="ULH31" s="109"/>
      <c r="ULI31" s="109"/>
      <c r="ULJ31" s="109"/>
      <c r="ULK31" s="109"/>
      <c r="ULL31" s="109"/>
      <c r="ULM31" s="109"/>
      <c r="ULN31" s="109"/>
      <c r="ULO31" s="109"/>
      <c r="ULP31" s="109"/>
      <c r="ULQ31" s="109"/>
      <c r="ULR31" s="109"/>
      <c r="ULS31" s="109"/>
      <c r="ULT31" s="109"/>
      <c r="ULU31" s="109"/>
      <c r="ULV31" s="109"/>
      <c r="ULW31" s="109"/>
      <c r="ULX31" s="109"/>
      <c r="ULY31" s="109"/>
      <c r="ULZ31" s="109"/>
      <c r="UMA31" s="109"/>
      <c r="UMB31" s="109"/>
      <c r="UMC31" s="109"/>
      <c r="UMD31" s="109"/>
      <c r="UME31" s="109"/>
      <c r="UMF31" s="109"/>
      <c r="UMG31" s="109"/>
      <c r="UMH31" s="109"/>
      <c r="UMI31" s="109"/>
      <c r="UMJ31" s="109"/>
      <c r="UMK31" s="109"/>
      <c r="UML31" s="109"/>
      <c r="UMM31" s="109"/>
      <c r="UMN31" s="109"/>
      <c r="UMO31" s="109"/>
      <c r="UMP31" s="109"/>
      <c r="UMQ31" s="109"/>
      <c r="UMR31" s="109"/>
      <c r="UMS31" s="109"/>
      <c r="UMT31" s="109"/>
      <c r="UMU31" s="109"/>
      <c r="UMV31" s="109"/>
      <c r="UMW31" s="109"/>
      <c r="UMX31" s="109"/>
      <c r="UMY31" s="109"/>
      <c r="UMZ31" s="109"/>
      <c r="UNA31" s="109"/>
      <c r="UNB31" s="109"/>
      <c r="UNC31" s="109"/>
      <c r="UND31" s="109"/>
      <c r="UNE31" s="109"/>
      <c r="UNF31" s="109"/>
      <c r="UNG31" s="109"/>
      <c r="UNH31" s="109"/>
      <c r="UNI31" s="109"/>
      <c r="UNJ31" s="109"/>
      <c r="UNK31" s="109"/>
      <c r="UNL31" s="109"/>
      <c r="UNM31" s="109"/>
      <c r="UNN31" s="109"/>
      <c r="UNO31" s="109"/>
      <c r="UNP31" s="109"/>
      <c r="UNQ31" s="109"/>
      <c r="UNR31" s="109"/>
      <c r="UNS31" s="109"/>
      <c r="UNT31" s="109"/>
      <c r="UNU31" s="109"/>
      <c r="UNV31" s="109"/>
      <c r="UNW31" s="109"/>
      <c r="UNX31" s="109"/>
      <c r="UNY31" s="109"/>
      <c r="UNZ31" s="109"/>
      <c r="UOA31" s="109"/>
      <c r="UOB31" s="109"/>
      <c r="UOC31" s="109"/>
      <c r="UOD31" s="109"/>
      <c r="UOE31" s="109"/>
      <c r="UOF31" s="109"/>
      <c r="UOG31" s="109"/>
      <c r="UOH31" s="109"/>
      <c r="UOI31" s="109"/>
      <c r="UOJ31" s="109"/>
      <c r="UOK31" s="109"/>
      <c r="UOL31" s="109"/>
      <c r="UOM31" s="109"/>
      <c r="UON31" s="109"/>
      <c r="UOO31" s="109"/>
      <c r="UOP31" s="109"/>
      <c r="UOQ31" s="109"/>
      <c r="UOR31" s="109"/>
      <c r="UOS31" s="109"/>
      <c r="UOT31" s="109"/>
      <c r="UOU31" s="109"/>
      <c r="UOV31" s="109"/>
      <c r="UOW31" s="109"/>
      <c r="UOX31" s="109"/>
      <c r="UOY31" s="109"/>
      <c r="UOZ31" s="109"/>
      <c r="UPA31" s="109"/>
      <c r="UPB31" s="109"/>
      <c r="UPC31" s="109"/>
      <c r="UPD31" s="109"/>
      <c r="UPE31" s="109"/>
      <c r="UPF31" s="109"/>
      <c r="UPG31" s="109"/>
      <c r="UPH31" s="109"/>
      <c r="UPI31" s="109"/>
      <c r="UPJ31" s="109"/>
      <c r="UPK31" s="109"/>
      <c r="UPL31" s="109"/>
      <c r="UPM31" s="109"/>
      <c r="UPN31" s="109"/>
      <c r="UPO31" s="109"/>
      <c r="UPP31" s="109"/>
      <c r="UPQ31" s="109"/>
      <c r="UPR31" s="109"/>
      <c r="UPS31" s="109"/>
      <c r="UPT31" s="109"/>
      <c r="UPU31" s="109"/>
      <c r="UPV31" s="109"/>
      <c r="UPW31" s="109"/>
      <c r="UPX31" s="109"/>
      <c r="UPY31" s="109"/>
      <c r="UPZ31" s="109"/>
      <c r="UQA31" s="109"/>
      <c r="UQB31" s="109"/>
      <c r="UQC31" s="109"/>
      <c r="UQD31" s="109"/>
      <c r="UQE31" s="109"/>
      <c r="UQF31" s="109"/>
      <c r="UQG31" s="109"/>
      <c r="UQH31" s="109"/>
      <c r="UQI31" s="109"/>
      <c r="UQJ31" s="109"/>
      <c r="UQK31" s="109"/>
      <c r="UQL31" s="109"/>
      <c r="UQM31" s="109"/>
      <c r="UQN31" s="109"/>
      <c r="UQO31" s="109"/>
      <c r="UQP31" s="109"/>
      <c r="UQQ31" s="109"/>
      <c r="UQR31" s="109"/>
      <c r="UQS31" s="109"/>
      <c r="UQT31" s="109"/>
      <c r="UQU31" s="109"/>
      <c r="UQV31" s="109"/>
      <c r="UQW31" s="109"/>
      <c r="UQX31" s="109"/>
      <c r="UQY31" s="109"/>
      <c r="UQZ31" s="109"/>
      <c r="URA31" s="109"/>
      <c r="URB31" s="109"/>
      <c r="URC31" s="109"/>
      <c r="URD31" s="109"/>
      <c r="URE31" s="109"/>
      <c r="URF31" s="109"/>
      <c r="URG31" s="109"/>
      <c r="URH31" s="109"/>
      <c r="URI31" s="109"/>
      <c r="URJ31" s="109"/>
      <c r="URK31" s="109"/>
      <c r="URL31" s="109"/>
      <c r="URM31" s="109"/>
      <c r="URN31" s="109"/>
      <c r="URO31" s="109"/>
      <c r="URP31" s="109"/>
      <c r="URQ31" s="109"/>
      <c r="URR31" s="109"/>
      <c r="URS31" s="109"/>
      <c r="URT31" s="109"/>
      <c r="URU31" s="109"/>
      <c r="URV31" s="109"/>
      <c r="URW31" s="109"/>
      <c r="URX31" s="109"/>
      <c r="URY31" s="109"/>
      <c r="URZ31" s="109"/>
      <c r="USA31" s="109"/>
      <c r="USB31" s="109"/>
      <c r="USC31" s="109"/>
      <c r="USD31" s="109"/>
      <c r="USE31" s="109"/>
      <c r="USF31" s="109"/>
      <c r="USG31" s="109"/>
      <c r="USH31" s="109"/>
      <c r="USI31" s="109"/>
      <c r="USJ31" s="109"/>
      <c r="USK31" s="109"/>
      <c r="USL31" s="109"/>
      <c r="USM31" s="109"/>
      <c r="USN31" s="109"/>
      <c r="USO31" s="109"/>
      <c r="USP31" s="109"/>
      <c r="USQ31" s="109"/>
      <c r="USR31" s="109"/>
      <c r="USS31" s="109"/>
      <c r="UST31" s="109"/>
      <c r="USU31" s="109"/>
      <c r="USV31" s="109"/>
      <c r="USW31" s="109"/>
      <c r="USX31" s="109"/>
      <c r="USY31" s="109"/>
      <c r="USZ31" s="109"/>
      <c r="UTA31" s="109"/>
      <c r="UTB31" s="109"/>
      <c r="UTC31" s="109"/>
      <c r="UTD31" s="109"/>
      <c r="UTE31" s="109"/>
      <c r="UTF31" s="109"/>
      <c r="UTG31" s="109"/>
      <c r="UTH31" s="109"/>
      <c r="UTI31" s="109"/>
      <c r="UTJ31" s="109"/>
      <c r="UTK31" s="109"/>
      <c r="UTL31" s="109"/>
      <c r="UTM31" s="109"/>
      <c r="UTN31" s="109"/>
      <c r="UTO31" s="109"/>
      <c r="UTP31" s="109"/>
      <c r="UTQ31" s="109"/>
      <c r="UTR31" s="109"/>
      <c r="UTS31" s="109"/>
      <c r="UTT31" s="109"/>
      <c r="UTU31" s="109"/>
      <c r="UTV31" s="109"/>
      <c r="UTW31" s="109"/>
      <c r="UTX31" s="109"/>
      <c r="UTY31" s="109"/>
      <c r="UTZ31" s="109"/>
      <c r="UUA31" s="109"/>
      <c r="UUB31" s="109"/>
      <c r="UUC31" s="109"/>
      <c r="UUD31" s="109"/>
      <c r="UUE31" s="109"/>
      <c r="UUF31" s="109"/>
      <c r="UUG31" s="109"/>
      <c r="UUH31" s="109"/>
      <c r="UUI31" s="109"/>
      <c r="UUJ31" s="109"/>
      <c r="UUK31" s="109"/>
      <c r="UUL31" s="109"/>
      <c r="UUM31" s="109"/>
      <c r="UUN31" s="109"/>
      <c r="UUO31" s="109"/>
      <c r="UUP31" s="109"/>
      <c r="UUQ31" s="109"/>
      <c r="UUR31" s="109"/>
      <c r="UUS31" s="109"/>
      <c r="UUT31" s="109"/>
      <c r="UUU31" s="109"/>
      <c r="UUV31" s="109"/>
      <c r="UUW31" s="109"/>
      <c r="UUX31" s="109"/>
      <c r="UUY31" s="109"/>
      <c r="UUZ31" s="109"/>
      <c r="UVA31" s="109"/>
      <c r="UVB31" s="109"/>
      <c r="UVC31" s="109"/>
      <c r="UVD31" s="109"/>
      <c r="UVE31" s="109"/>
      <c r="UVF31" s="109"/>
      <c r="UVG31" s="109"/>
      <c r="UVH31" s="109"/>
      <c r="UVI31" s="109"/>
      <c r="UVJ31" s="109"/>
      <c r="UVK31" s="109"/>
      <c r="UVL31" s="109"/>
      <c r="UVM31" s="109"/>
      <c r="UVN31" s="109"/>
      <c r="UVO31" s="109"/>
      <c r="UVP31" s="109"/>
      <c r="UVQ31" s="109"/>
      <c r="UVR31" s="109"/>
      <c r="UVS31" s="109"/>
      <c r="UVT31" s="109"/>
      <c r="UVU31" s="109"/>
      <c r="UVV31" s="109"/>
      <c r="UVW31" s="109"/>
      <c r="UVX31" s="109"/>
      <c r="UVY31" s="109"/>
      <c r="UVZ31" s="109"/>
      <c r="UWA31" s="109"/>
      <c r="UWB31" s="109"/>
      <c r="UWC31" s="109"/>
      <c r="UWD31" s="109"/>
      <c r="UWE31" s="109"/>
      <c r="UWF31" s="109"/>
      <c r="UWG31" s="109"/>
      <c r="UWH31" s="109"/>
      <c r="UWI31" s="109"/>
      <c r="UWJ31" s="109"/>
      <c r="UWK31" s="109"/>
      <c r="UWL31" s="109"/>
      <c r="UWM31" s="109"/>
      <c r="UWN31" s="109"/>
      <c r="UWO31" s="109"/>
      <c r="UWP31" s="109"/>
      <c r="UWQ31" s="109"/>
      <c r="UWR31" s="109"/>
      <c r="UWS31" s="109"/>
      <c r="UWT31" s="109"/>
      <c r="UWU31" s="109"/>
      <c r="UWV31" s="109"/>
      <c r="UWW31" s="109"/>
      <c r="UWX31" s="109"/>
      <c r="UWY31" s="109"/>
      <c r="UWZ31" s="109"/>
      <c r="UXA31" s="109"/>
      <c r="UXB31" s="109"/>
      <c r="UXC31" s="109"/>
      <c r="UXD31" s="109"/>
      <c r="UXE31" s="109"/>
      <c r="UXF31" s="109"/>
      <c r="UXG31" s="109"/>
      <c r="UXH31" s="109"/>
      <c r="UXI31" s="109"/>
      <c r="UXJ31" s="109"/>
      <c r="UXK31" s="109"/>
      <c r="UXL31" s="109"/>
      <c r="UXM31" s="109"/>
      <c r="UXN31" s="109"/>
      <c r="UXO31" s="109"/>
      <c r="UXP31" s="109"/>
      <c r="UXQ31" s="109"/>
      <c r="UXR31" s="109"/>
      <c r="UXS31" s="109"/>
      <c r="UXT31" s="109"/>
      <c r="UXU31" s="109"/>
      <c r="UXV31" s="109"/>
      <c r="UXW31" s="109"/>
      <c r="UXX31" s="109"/>
      <c r="UXY31" s="109"/>
      <c r="UXZ31" s="109"/>
      <c r="UYA31" s="109"/>
      <c r="UYB31" s="109"/>
      <c r="UYC31" s="109"/>
      <c r="UYD31" s="109"/>
      <c r="UYE31" s="109"/>
      <c r="UYF31" s="109"/>
      <c r="UYG31" s="109"/>
      <c r="UYH31" s="109"/>
      <c r="UYI31" s="109"/>
      <c r="UYJ31" s="109"/>
      <c r="UYK31" s="109"/>
      <c r="UYL31" s="109"/>
      <c r="UYM31" s="109"/>
      <c r="UYN31" s="109"/>
      <c r="UYO31" s="109"/>
      <c r="UYP31" s="109"/>
      <c r="UYQ31" s="109"/>
      <c r="UYR31" s="109"/>
      <c r="UYS31" s="109"/>
      <c r="UYT31" s="109"/>
      <c r="UYU31" s="109"/>
      <c r="UYV31" s="109"/>
      <c r="UYW31" s="109"/>
      <c r="UYX31" s="109"/>
      <c r="UYY31" s="109"/>
      <c r="UYZ31" s="109"/>
      <c r="UZA31" s="109"/>
      <c r="UZB31" s="109"/>
      <c r="UZC31" s="109"/>
      <c r="UZD31" s="109"/>
      <c r="UZE31" s="109"/>
      <c r="UZF31" s="109"/>
      <c r="UZG31" s="109"/>
      <c r="UZH31" s="109"/>
      <c r="UZI31" s="109"/>
      <c r="UZJ31" s="109"/>
      <c r="UZK31" s="109"/>
      <c r="UZL31" s="109"/>
      <c r="UZM31" s="109"/>
      <c r="UZN31" s="109"/>
      <c r="UZO31" s="109"/>
      <c r="UZP31" s="109"/>
      <c r="UZQ31" s="109"/>
      <c r="UZR31" s="109"/>
      <c r="UZS31" s="109"/>
      <c r="UZT31" s="109"/>
      <c r="UZU31" s="109"/>
      <c r="UZV31" s="109"/>
      <c r="UZW31" s="109"/>
      <c r="UZX31" s="109"/>
      <c r="UZY31" s="109"/>
      <c r="UZZ31" s="109"/>
      <c r="VAA31" s="109"/>
      <c r="VAB31" s="109"/>
      <c r="VAC31" s="109"/>
      <c r="VAD31" s="109"/>
      <c r="VAE31" s="109"/>
      <c r="VAF31" s="109"/>
      <c r="VAG31" s="109"/>
      <c r="VAH31" s="109"/>
      <c r="VAI31" s="109"/>
      <c r="VAJ31" s="109"/>
      <c r="VAK31" s="109"/>
      <c r="VAL31" s="109"/>
      <c r="VAM31" s="109"/>
      <c r="VAN31" s="109"/>
      <c r="VAO31" s="109"/>
      <c r="VAP31" s="109"/>
      <c r="VAQ31" s="109"/>
      <c r="VAR31" s="109"/>
      <c r="VAS31" s="109"/>
      <c r="VAT31" s="109"/>
      <c r="VAU31" s="109"/>
      <c r="VAV31" s="109"/>
      <c r="VAW31" s="109"/>
      <c r="VAX31" s="109"/>
      <c r="VAY31" s="109"/>
      <c r="VAZ31" s="109"/>
      <c r="VBA31" s="109"/>
      <c r="VBB31" s="109"/>
      <c r="VBC31" s="109"/>
      <c r="VBD31" s="109"/>
      <c r="VBE31" s="109"/>
      <c r="VBF31" s="109"/>
      <c r="VBG31" s="109"/>
      <c r="VBH31" s="109"/>
      <c r="VBI31" s="109"/>
      <c r="VBJ31" s="109"/>
      <c r="VBK31" s="109"/>
      <c r="VBL31" s="109"/>
      <c r="VBM31" s="109"/>
      <c r="VBN31" s="109"/>
      <c r="VBO31" s="109"/>
      <c r="VBP31" s="109"/>
      <c r="VBQ31" s="109"/>
      <c r="VBR31" s="109"/>
      <c r="VBS31" s="109"/>
      <c r="VBT31" s="109"/>
      <c r="VBU31" s="109"/>
      <c r="VBV31" s="109"/>
      <c r="VBW31" s="109"/>
      <c r="VBX31" s="109"/>
      <c r="VBY31" s="109"/>
      <c r="VBZ31" s="109"/>
      <c r="VCA31" s="109"/>
      <c r="VCB31" s="109"/>
      <c r="VCC31" s="109"/>
      <c r="VCD31" s="109"/>
      <c r="VCE31" s="109"/>
      <c r="VCF31" s="109"/>
      <c r="VCG31" s="109"/>
      <c r="VCH31" s="109"/>
      <c r="VCI31" s="109"/>
      <c r="VCJ31" s="109"/>
      <c r="VCK31" s="109"/>
      <c r="VCL31" s="109"/>
      <c r="VCM31" s="109"/>
      <c r="VCN31" s="109"/>
      <c r="VCO31" s="109"/>
      <c r="VCP31" s="109"/>
      <c r="VCQ31" s="109"/>
      <c r="VCR31" s="109"/>
      <c r="VCS31" s="109"/>
      <c r="VCT31" s="109"/>
      <c r="VCU31" s="109"/>
      <c r="VCV31" s="109"/>
      <c r="VCW31" s="109"/>
      <c r="VCX31" s="109"/>
      <c r="VCY31" s="109"/>
      <c r="VCZ31" s="109"/>
      <c r="VDA31" s="109"/>
      <c r="VDB31" s="109"/>
      <c r="VDC31" s="109"/>
      <c r="VDD31" s="109"/>
      <c r="VDE31" s="109"/>
      <c r="VDF31" s="109"/>
      <c r="VDG31" s="109"/>
      <c r="VDH31" s="109"/>
      <c r="VDI31" s="109"/>
      <c r="VDJ31" s="109"/>
      <c r="VDK31" s="109"/>
      <c r="VDL31" s="109"/>
      <c r="VDM31" s="109"/>
      <c r="VDN31" s="109"/>
      <c r="VDO31" s="109"/>
      <c r="VDP31" s="109"/>
      <c r="VDQ31" s="109"/>
      <c r="VDR31" s="109"/>
      <c r="VDS31" s="109"/>
      <c r="VDT31" s="109"/>
      <c r="VDU31" s="109"/>
      <c r="VDV31" s="109"/>
      <c r="VDW31" s="109"/>
      <c r="VDX31" s="109"/>
      <c r="VDY31" s="109"/>
      <c r="VDZ31" s="109"/>
      <c r="VEA31" s="109"/>
      <c r="VEB31" s="109"/>
      <c r="VEC31" s="109"/>
      <c r="VED31" s="109"/>
      <c r="VEE31" s="109"/>
      <c r="VEF31" s="109"/>
      <c r="VEG31" s="109"/>
      <c r="VEH31" s="109"/>
      <c r="VEI31" s="109"/>
      <c r="VEJ31" s="109"/>
      <c r="VEK31" s="109"/>
      <c r="VEL31" s="109"/>
      <c r="VEM31" s="109"/>
      <c r="VEN31" s="109"/>
      <c r="VEO31" s="109"/>
      <c r="VEP31" s="109"/>
      <c r="VEQ31" s="109"/>
      <c r="VER31" s="109"/>
      <c r="VES31" s="109"/>
      <c r="VET31" s="109"/>
      <c r="VEU31" s="109"/>
      <c r="VEV31" s="109"/>
      <c r="VEW31" s="109"/>
      <c r="VEX31" s="109"/>
      <c r="VEY31" s="109"/>
      <c r="VEZ31" s="109"/>
      <c r="VFA31" s="109"/>
      <c r="VFB31" s="109"/>
      <c r="VFC31" s="109"/>
      <c r="VFD31" s="109"/>
      <c r="VFE31" s="109"/>
      <c r="VFF31" s="109"/>
      <c r="VFG31" s="109"/>
      <c r="VFH31" s="109"/>
      <c r="VFI31" s="109"/>
      <c r="VFJ31" s="109"/>
      <c r="VFK31" s="109"/>
      <c r="VFL31" s="109"/>
      <c r="VFM31" s="109"/>
      <c r="VFN31" s="109"/>
      <c r="VFO31" s="109"/>
      <c r="VFP31" s="109"/>
      <c r="VFQ31" s="109"/>
      <c r="VFR31" s="109"/>
      <c r="VFS31" s="109"/>
      <c r="VFT31" s="109"/>
      <c r="VFU31" s="109"/>
      <c r="VFV31" s="109"/>
      <c r="VFW31" s="109"/>
      <c r="VFX31" s="109"/>
      <c r="VFY31" s="109"/>
      <c r="VFZ31" s="109"/>
      <c r="VGA31" s="109"/>
      <c r="VGB31" s="109"/>
      <c r="VGC31" s="109"/>
      <c r="VGD31" s="109"/>
      <c r="VGE31" s="109"/>
      <c r="VGF31" s="109"/>
      <c r="VGG31" s="109"/>
      <c r="VGH31" s="109"/>
      <c r="VGI31" s="109"/>
      <c r="VGJ31" s="109"/>
      <c r="VGK31" s="109"/>
      <c r="VGL31" s="109"/>
      <c r="VGM31" s="109"/>
      <c r="VGN31" s="109"/>
      <c r="VGO31" s="109"/>
      <c r="VGP31" s="109"/>
      <c r="VGQ31" s="109"/>
      <c r="VGR31" s="109"/>
      <c r="VGS31" s="109"/>
      <c r="VGT31" s="109"/>
      <c r="VGU31" s="109"/>
      <c r="VGV31" s="109"/>
      <c r="VGW31" s="109"/>
      <c r="VGX31" s="109"/>
      <c r="VGY31" s="109"/>
      <c r="VGZ31" s="109"/>
      <c r="VHA31" s="109"/>
      <c r="VHB31" s="109"/>
      <c r="VHC31" s="109"/>
      <c r="VHD31" s="109"/>
      <c r="VHE31" s="109"/>
      <c r="VHF31" s="109"/>
      <c r="VHG31" s="109"/>
      <c r="VHH31" s="109"/>
      <c r="VHI31" s="109"/>
      <c r="VHJ31" s="109"/>
      <c r="VHK31" s="109"/>
      <c r="VHL31" s="109"/>
      <c r="VHM31" s="109"/>
      <c r="VHN31" s="109"/>
      <c r="VHO31" s="109"/>
      <c r="VHP31" s="109"/>
      <c r="VHQ31" s="109"/>
      <c r="VHR31" s="109"/>
      <c r="VHS31" s="109"/>
      <c r="VHT31" s="109"/>
      <c r="VHU31" s="109"/>
      <c r="VHV31" s="109"/>
      <c r="VHW31" s="109"/>
      <c r="VHX31" s="109"/>
      <c r="VHY31" s="109"/>
      <c r="VHZ31" s="109"/>
      <c r="VIA31" s="109"/>
      <c r="VIB31" s="109"/>
      <c r="VIC31" s="109"/>
      <c r="VID31" s="109"/>
      <c r="VIE31" s="109"/>
      <c r="VIF31" s="109"/>
      <c r="VIG31" s="109"/>
      <c r="VIH31" s="109"/>
      <c r="VII31" s="109"/>
      <c r="VIJ31" s="109"/>
      <c r="VIK31" s="109"/>
      <c r="VIL31" s="109"/>
      <c r="VIM31" s="109"/>
      <c r="VIN31" s="109"/>
      <c r="VIO31" s="109"/>
      <c r="VIP31" s="109"/>
      <c r="VIQ31" s="109"/>
      <c r="VIR31" s="109"/>
      <c r="VIS31" s="109"/>
      <c r="VIT31" s="109"/>
      <c r="VIU31" s="109"/>
      <c r="VIV31" s="109"/>
      <c r="VIW31" s="109"/>
      <c r="VIX31" s="109"/>
      <c r="VIY31" s="109"/>
      <c r="VIZ31" s="109"/>
      <c r="VJA31" s="109"/>
      <c r="VJB31" s="109"/>
      <c r="VJC31" s="109"/>
      <c r="VJD31" s="109"/>
      <c r="VJE31" s="109"/>
      <c r="VJF31" s="109"/>
      <c r="VJG31" s="109"/>
      <c r="VJH31" s="109"/>
      <c r="VJI31" s="109"/>
      <c r="VJJ31" s="109"/>
      <c r="VJK31" s="109"/>
      <c r="VJL31" s="109"/>
      <c r="VJM31" s="109"/>
      <c r="VJN31" s="109"/>
      <c r="VJO31" s="109"/>
      <c r="VJP31" s="109"/>
      <c r="VJQ31" s="109"/>
      <c r="VJR31" s="109"/>
      <c r="VJS31" s="109"/>
      <c r="VJT31" s="109"/>
      <c r="VJU31" s="109"/>
      <c r="VJV31" s="109"/>
      <c r="VJW31" s="109"/>
      <c r="VJX31" s="109"/>
      <c r="VJY31" s="109"/>
      <c r="VJZ31" s="109"/>
      <c r="VKA31" s="109"/>
      <c r="VKB31" s="109"/>
      <c r="VKC31" s="109"/>
      <c r="VKD31" s="109"/>
      <c r="VKE31" s="109"/>
      <c r="VKF31" s="109"/>
      <c r="VKG31" s="109"/>
      <c r="VKH31" s="109"/>
      <c r="VKI31" s="109"/>
      <c r="VKJ31" s="109"/>
      <c r="VKK31" s="109"/>
      <c r="VKL31" s="109"/>
      <c r="VKM31" s="109"/>
      <c r="VKN31" s="109"/>
      <c r="VKO31" s="109"/>
      <c r="VKP31" s="109"/>
      <c r="VKQ31" s="109"/>
      <c r="VKR31" s="109"/>
      <c r="VKS31" s="109"/>
      <c r="VKT31" s="109"/>
      <c r="VKU31" s="109"/>
      <c r="VKV31" s="109"/>
      <c r="VKW31" s="109"/>
      <c r="VKX31" s="109"/>
      <c r="VKY31" s="109"/>
      <c r="VKZ31" s="109"/>
      <c r="VLA31" s="109"/>
      <c r="VLB31" s="109"/>
      <c r="VLC31" s="109"/>
      <c r="VLD31" s="109"/>
      <c r="VLE31" s="109"/>
      <c r="VLF31" s="109"/>
      <c r="VLG31" s="109"/>
      <c r="VLH31" s="109"/>
      <c r="VLI31" s="109"/>
      <c r="VLJ31" s="109"/>
      <c r="VLK31" s="109"/>
      <c r="VLL31" s="109"/>
      <c r="VLM31" s="109"/>
      <c r="VLN31" s="109"/>
      <c r="VLO31" s="109"/>
      <c r="VLP31" s="109"/>
      <c r="VLQ31" s="109"/>
      <c r="VLR31" s="109"/>
      <c r="VLS31" s="109"/>
      <c r="VLT31" s="109"/>
      <c r="VLU31" s="109"/>
      <c r="VLV31" s="109"/>
      <c r="VLW31" s="109"/>
      <c r="VLX31" s="109"/>
      <c r="VLY31" s="109"/>
      <c r="VLZ31" s="109"/>
      <c r="VMA31" s="109"/>
      <c r="VMB31" s="109"/>
      <c r="VMC31" s="109"/>
      <c r="VMD31" s="109"/>
      <c r="VME31" s="109"/>
      <c r="VMF31" s="109"/>
      <c r="VMG31" s="109"/>
      <c r="VMH31" s="109"/>
      <c r="VMI31" s="109"/>
      <c r="VMJ31" s="109"/>
      <c r="VMK31" s="109"/>
      <c r="VML31" s="109"/>
      <c r="VMM31" s="109"/>
      <c r="VMN31" s="109"/>
      <c r="VMO31" s="109"/>
      <c r="VMP31" s="109"/>
      <c r="VMQ31" s="109"/>
      <c r="VMR31" s="109"/>
      <c r="VMS31" s="109"/>
      <c r="VMT31" s="109"/>
      <c r="VMU31" s="109"/>
      <c r="VMV31" s="109"/>
      <c r="VMW31" s="109"/>
      <c r="VMX31" s="109"/>
      <c r="VMY31" s="109"/>
      <c r="VMZ31" s="109"/>
      <c r="VNA31" s="109"/>
      <c r="VNB31" s="109"/>
      <c r="VNC31" s="109"/>
      <c r="VND31" s="109"/>
      <c r="VNE31" s="109"/>
      <c r="VNF31" s="109"/>
      <c r="VNG31" s="109"/>
      <c r="VNH31" s="109"/>
      <c r="VNI31" s="109"/>
      <c r="VNJ31" s="109"/>
      <c r="VNK31" s="109"/>
      <c r="VNL31" s="109"/>
      <c r="VNM31" s="109"/>
      <c r="VNN31" s="109"/>
      <c r="VNO31" s="109"/>
      <c r="VNP31" s="109"/>
      <c r="VNQ31" s="109"/>
      <c r="VNR31" s="109"/>
      <c r="VNS31" s="109"/>
      <c r="VNT31" s="109"/>
      <c r="VNU31" s="109"/>
      <c r="VNV31" s="109"/>
      <c r="VNW31" s="109"/>
      <c r="VNX31" s="109"/>
      <c r="VNY31" s="109"/>
      <c r="VNZ31" s="109"/>
      <c r="VOA31" s="109"/>
      <c r="VOB31" s="109"/>
      <c r="VOC31" s="109"/>
      <c r="VOD31" s="109"/>
      <c r="VOE31" s="109"/>
      <c r="VOF31" s="109"/>
      <c r="VOG31" s="109"/>
      <c r="VOH31" s="109"/>
      <c r="VOI31" s="109"/>
      <c r="VOJ31" s="109"/>
      <c r="VOK31" s="109"/>
      <c r="VOL31" s="109"/>
      <c r="VOM31" s="109"/>
      <c r="VON31" s="109"/>
      <c r="VOO31" s="109"/>
      <c r="VOP31" s="109"/>
      <c r="VOQ31" s="109"/>
      <c r="VOR31" s="109"/>
      <c r="VOS31" s="109"/>
      <c r="VOT31" s="109"/>
      <c r="VOU31" s="109"/>
      <c r="VOV31" s="109"/>
      <c r="VOW31" s="109"/>
      <c r="VOX31" s="109"/>
      <c r="VOY31" s="109"/>
      <c r="VOZ31" s="109"/>
      <c r="VPA31" s="109"/>
      <c r="VPB31" s="109"/>
      <c r="VPC31" s="109"/>
      <c r="VPD31" s="109"/>
      <c r="VPE31" s="109"/>
      <c r="VPF31" s="109"/>
      <c r="VPG31" s="109"/>
      <c r="VPH31" s="109"/>
      <c r="VPI31" s="109"/>
      <c r="VPJ31" s="109"/>
      <c r="VPK31" s="109"/>
      <c r="VPL31" s="109"/>
      <c r="VPM31" s="109"/>
      <c r="VPN31" s="109"/>
      <c r="VPO31" s="109"/>
      <c r="VPP31" s="109"/>
      <c r="VPQ31" s="109"/>
      <c r="VPR31" s="109"/>
      <c r="VPS31" s="109"/>
      <c r="VPT31" s="109"/>
      <c r="VPU31" s="109"/>
      <c r="VPV31" s="109"/>
      <c r="VPW31" s="109"/>
      <c r="VPX31" s="109"/>
      <c r="VPY31" s="109"/>
      <c r="VPZ31" s="109"/>
      <c r="VQA31" s="109"/>
      <c r="VQB31" s="109"/>
      <c r="VQC31" s="109"/>
      <c r="VQD31" s="109"/>
      <c r="VQE31" s="109"/>
      <c r="VQF31" s="109"/>
      <c r="VQG31" s="109"/>
      <c r="VQH31" s="109"/>
      <c r="VQI31" s="109"/>
      <c r="VQJ31" s="109"/>
      <c r="VQK31" s="109"/>
      <c r="VQL31" s="109"/>
      <c r="VQM31" s="109"/>
      <c r="VQN31" s="109"/>
      <c r="VQO31" s="109"/>
      <c r="VQP31" s="109"/>
      <c r="VQQ31" s="109"/>
      <c r="VQR31" s="109"/>
      <c r="VQS31" s="109"/>
      <c r="VQT31" s="109"/>
      <c r="VQU31" s="109"/>
      <c r="VQV31" s="109"/>
      <c r="VQW31" s="109"/>
      <c r="VQX31" s="109"/>
      <c r="VQY31" s="109"/>
      <c r="VQZ31" s="109"/>
      <c r="VRA31" s="109"/>
      <c r="VRB31" s="109"/>
      <c r="VRC31" s="109"/>
      <c r="VRD31" s="109"/>
      <c r="VRE31" s="109"/>
      <c r="VRF31" s="109"/>
      <c r="VRG31" s="109"/>
      <c r="VRH31" s="109"/>
      <c r="VRI31" s="109"/>
      <c r="VRJ31" s="109"/>
      <c r="VRK31" s="109"/>
      <c r="VRL31" s="109"/>
      <c r="VRM31" s="109"/>
      <c r="VRN31" s="109"/>
      <c r="VRO31" s="109"/>
      <c r="VRP31" s="109"/>
      <c r="VRQ31" s="109"/>
      <c r="VRR31" s="109"/>
      <c r="VRS31" s="109"/>
      <c r="VRT31" s="109"/>
      <c r="VRU31" s="109"/>
      <c r="VRV31" s="109"/>
      <c r="VRW31" s="109"/>
      <c r="VRX31" s="109"/>
      <c r="VRY31" s="109"/>
      <c r="VRZ31" s="109"/>
      <c r="VSA31" s="109"/>
      <c r="VSB31" s="109"/>
      <c r="VSC31" s="109"/>
      <c r="VSD31" s="109"/>
      <c r="VSE31" s="109"/>
      <c r="VSF31" s="109"/>
      <c r="VSG31" s="109"/>
      <c r="VSH31" s="109"/>
      <c r="VSI31" s="109"/>
      <c r="VSJ31" s="109"/>
      <c r="VSK31" s="109"/>
      <c r="VSL31" s="109"/>
      <c r="VSM31" s="109"/>
      <c r="VSN31" s="109"/>
      <c r="VSO31" s="109"/>
      <c r="VSP31" s="109"/>
      <c r="VSQ31" s="109"/>
      <c r="VSR31" s="109"/>
      <c r="VSS31" s="109"/>
      <c r="VST31" s="109"/>
      <c r="VSU31" s="109"/>
      <c r="VSV31" s="109"/>
      <c r="VSW31" s="109"/>
      <c r="VSX31" s="109"/>
      <c r="VSY31" s="109"/>
      <c r="VSZ31" s="109"/>
      <c r="VTA31" s="109"/>
      <c r="VTB31" s="109"/>
      <c r="VTC31" s="109"/>
      <c r="VTD31" s="109"/>
      <c r="VTE31" s="109"/>
      <c r="VTF31" s="109"/>
      <c r="VTG31" s="109"/>
      <c r="VTH31" s="109"/>
      <c r="VTI31" s="109"/>
      <c r="VTJ31" s="109"/>
      <c r="VTK31" s="109"/>
      <c r="VTL31" s="109"/>
      <c r="VTM31" s="109"/>
      <c r="VTN31" s="109"/>
      <c r="VTO31" s="109"/>
      <c r="VTP31" s="109"/>
      <c r="VTQ31" s="109"/>
      <c r="VTR31" s="109"/>
      <c r="VTS31" s="109"/>
      <c r="VTT31" s="109"/>
      <c r="VTU31" s="109"/>
      <c r="VTV31" s="109"/>
      <c r="VTW31" s="109"/>
      <c r="VTX31" s="109"/>
      <c r="VTY31" s="109"/>
      <c r="VTZ31" s="109"/>
      <c r="VUA31" s="109"/>
      <c r="VUB31" s="109"/>
      <c r="VUC31" s="109"/>
      <c r="VUD31" s="109"/>
      <c r="VUE31" s="109"/>
      <c r="VUF31" s="109"/>
      <c r="VUG31" s="109"/>
      <c r="VUH31" s="109"/>
      <c r="VUI31" s="109"/>
      <c r="VUJ31" s="109"/>
      <c r="VUK31" s="109"/>
      <c r="VUL31" s="109"/>
      <c r="VUM31" s="109"/>
      <c r="VUN31" s="109"/>
      <c r="VUO31" s="109"/>
      <c r="VUP31" s="109"/>
      <c r="VUQ31" s="109"/>
      <c r="VUR31" s="109"/>
      <c r="VUS31" s="109"/>
      <c r="VUT31" s="109"/>
      <c r="VUU31" s="109"/>
      <c r="VUV31" s="109"/>
      <c r="VUW31" s="109"/>
      <c r="VUX31" s="109"/>
      <c r="VUY31" s="109"/>
      <c r="VUZ31" s="109"/>
      <c r="VVA31" s="109"/>
      <c r="VVB31" s="109"/>
      <c r="VVC31" s="109"/>
      <c r="VVD31" s="109"/>
      <c r="VVE31" s="109"/>
      <c r="VVF31" s="109"/>
      <c r="VVG31" s="109"/>
      <c r="VVH31" s="109"/>
      <c r="VVI31" s="109"/>
      <c r="VVJ31" s="109"/>
      <c r="VVK31" s="109"/>
      <c r="VVL31" s="109"/>
      <c r="VVM31" s="109"/>
      <c r="VVN31" s="109"/>
      <c r="VVO31" s="109"/>
      <c r="VVP31" s="109"/>
      <c r="VVQ31" s="109"/>
      <c r="VVR31" s="109"/>
      <c r="VVS31" s="109"/>
      <c r="VVT31" s="109"/>
      <c r="VVU31" s="109"/>
      <c r="VVV31" s="109"/>
      <c r="VVW31" s="109"/>
      <c r="VVX31" s="109"/>
      <c r="VVY31" s="109"/>
      <c r="VVZ31" s="109"/>
      <c r="VWA31" s="109"/>
      <c r="VWB31" s="109"/>
      <c r="VWC31" s="109"/>
      <c r="VWD31" s="109"/>
      <c r="VWE31" s="109"/>
      <c r="VWF31" s="109"/>
      <c r="VWG31" s="109"/>
      <c r="VWH31" s="109"/>
      <c r="VWI31" s="109"/>
      <c r="VWJ31" s="109"/>
      <c r="VWK31" s="109"/>
      <c r="VWL31" s="109"/>
      <c r="VWM31" s="109"/>
      <c r="VWN31" s="109"/>
      <c r="VWO31" s="109"/>
      <c r="VWP31" s="109"/>
      <c r="VWQ31" s="109"/>
      <c r="VWR31" s="109"/>
      <c r="VWS31" s="109"/>
      <c r="VWT31" s="109"/>
      <c r="VWU31" s="109"/>
      <c r="VWV31" s="109"/>
      <c r="VWW31" s="109"/>
      <c r="VWX31" s="109"/>
      <c r="VWY31" s="109"/>
      <c r="VWZ31" s="109"/>
      <c r="VXA31" s="109"/>
      <c r="VXB31" s="109"/>
      <c r="VXC31" s="109"/>
      <c r="VXD31" s="109"/>
      <c r="VXE31" s="109"/>
      <c r="VXF31" s="109"/>
      <c r="VXG31" s="109"/>
      <c r="VXH31" s="109"/>
      <c r="VXI31" s="109"/>
      <c r="VXJ31" s="109"/>
      <c r="VXK31" s="109"/>
      <c r="VXL31" s="109"/>
      <c r="VXM31" s="109"/>
      <c r="VXN31" s="109"/>
      <c r="VXO31" s="109"/>
      <c r="VXP31" s="109"/>
      <c r="VXQ31" s="109"/>
      <c r="VXR31" s="109"/>
      <c r="VXS31" s="109"/>
      <c r="VXT31" s="109"/>
      <c r="VXU31" s="109"/>
      <c r="VXV31" s="109"/>
      <c r="VXW31" s="109"/>
      <c r="VXX31" s="109"/>
      <c r="VXY31" s="109"/>
      <c r="VXZ31" s="109"/>
      <c r="VYA31" s="109"/>
      <c r="VYB31" s="109"/>
      <c r="VYC31" s="109"/>
      <c r="VYD31" s="109"/>
      <c r="VYE31" s="109"/>
      <c r="VYF31" s="109"/>
      <c r="VYG31" s="109"/>
      <c r="VYH31" s="109"/>
      <c r="VYI31" s="109"/>
      <c r="VYJ31" s="109"/>
      <c r="VYK31" s="109"/>
      <c r="VYL31" s="109"/>
      <c r="VYM31" s="109"/>
      <c r="VYN31" s="109"/>
      <c r="VYO31" s="109"/>
      <c r="VYP31" s="109"/>
      <c r="VYQ31" s="109"/>
      <c r="VYR31" s="109"/>
      <c r="VYS31" s="109"/>
      <c r="VYT31" s="109"/>
      <c r="VYU31" s="109"/>
      <c r="VYV31" s="109"/>
      <c r="VYW31" s="109"/>
      <c r="VYX31" s="109"/>
      <c r="VYY31" s="109"/>
      <c r="VYZ31" s="109"/>
      <c r="VZA31" s="109"/>
      <c r="VZB31" s="109"/>
      <c r="VZC31" s="109"/>
      <c r="VZD31" s="109"/>
      <c r="VZE31" s="109"/>
      <c r="VZF31" s="109"/>
      <c r="VZG31" s="109"/>
      <c r="VZH31" s="109"/>
      <c r="VZI31" s="109"/>
      <c r="VZJ31" s="109"/>
      <c r="VZK31" s="109"/>
      <c r="VZL31" s="109"/>
      <c r="VZM31" s="109"/>
      <c r="VZN31" s="109"/>
      <c r="VZO31" s="109"/>
      <c r="VZP31" s="109"/>
      <c r="VZQ31" s="109"/>
      <c r="VZR31" s="109"/>
      <c r="VZS31" s="109"/>
      <c r="VZT31" s="109"/>
      <c r="VZU31" s="109"/>
      <c r="VZV31" s="109"/>
      <c r="VZW31" s="109"/>
      <c r="VZX31" s="109"/>
      <c r="VZY31" s="109"/>
      <c r="VZZ31" s="109"/>
      <c r="WAA31" s="109"/>
      <c r="WAB31" s="109"/>
      <c r="WAC31" s="109"/>
      <c r="WAD31" s="109"/>
      <c r="WAE31" s="109"/>
      <c r="WAF31" s="109"/>
      <c r="WAG31" s="109"/>
      <c r="WAH31" s="109"/>
      <c r="WAI31" s="109"/>
      <c r="WAJ31" s="109"/>
      <c r="WAK31" s="109"/>
      <c r="WAL31" s="109"/>
      <c r="WAM31" s="109"/>
      <c r="WAN31" s="109"/>
      <c r="WAO31" s="109"/>
      <c r="WAP31" s="109"/>
      <c r="WAQ31" s="109"/>
      <c r="WAR31" s="109"/>
      <c r="WAS31" s="109"/>
      <c r="WAT31" s="109"/>
      <c r="WAU31" s="109"/>
      <c r="WAV31" s="109"/>
      <c r="WAW31" s="109"/>
      <c r="WAX31" s="109"/>
      <c r="WAY31" s="109"/>
      <c r="WAZ31" s="109"/>
      <c r="WBA31" s="109"/>
      <c r="WBB31" s="109"/>
      <c r="WBC31" s="109"/>
      <c r="WBD31" s="109"/>
      <c r="WBE31" s="109"/>
      <c r="WBF31" s="109"/>
      <c r="WBG31" s="109"/>
      <c r="WBH31" s="109"/>
      <c r="WBI31" s="109"/>
      <c r="WBJ31" s="109"/>
      <c r="WBK31" s="109"/>
      <c r="WBL31" s="109"/>
      <c r="WBM31" s="109"/>
      <c r="WBN31" s="109"/>
      <c r="WBO31" s="109"/>
      <c r="WBP31" s="109"/>
      <c r="WBQ31" s="109"/>
      <c r="WBR31" s="109"/>
      <c r="WBS31" s="109"/>
      <c r="WBT31" s="109"/>
      <c r="WBU31" s="109"/>
      <c r="WBV31" s="109"/>
      <c r="WBW31" s="109"/>
      <c r="WBX31" s="109"/>
      <c r="WBY31" s="109"/>
      <c r="WBZ31" s="109"/>
      <c r="WCA31" s="109"/>
      <c r="WCB31" s="109"/>
      <c r="WCC31" s="109"/>
      <c r="WCD31" s="109"/>
      <c r="WCE31" s="109"/>
      <c r="WCF31" s="109"/>
      <c r="WCG31" s="109"/>
      <c r="WCH31" s="109"/>
      <c r="WCI31" s="109"/>
      <c r="WCJ31" s="109"/>
      <c r="WCK31" s="109"/>
      <c r="WCL31" s="109"/>
      <c r="WCM31" s="109"/>
      <c r="WCN31" s="109"/>
      <c r="WCO31" s="109"/>
      <c r="WCP31" s="109"/>
      <c r="WCQ31" s="109"/>
      <c r="WCR31" s="109"/>
      <c r="WCS31" s="109"/>
      <c r="WCT31" s="109"/>
      <c r="WCU31" s="109"/>
      <c r="WCV31" s="109"/>
      <c r="WCW31" s="109"/>
      <c r="WCX31" s="109"/>
      <c r="WCY31" s="109"/>
      <c r="WCZ31" s="109"/>
      <c r="WDA31" s="109"/>
      <c r="WDB31" s="109"/>
      <c r="WDC31" s="109"/>
      <c r="WDD31" s="109"/>
      <c r="WDE31" s="109"/>
      <c r="WDF31" s="109"/>
      <c r="WDG31" s="109"/>
      <c r="WDH31" s="109"/>
      <c r="WDI31" s="109"/>
      <c r="WDJ31" s="109"/>
      <c r="WDK31" s="109"/>
      <c r="WDL31" s="109"/>
      <c r="WDM31" s="109"/>
      <c r="WDN31" s="109"/>
      <c r="WDO31" s="109"/>
      <c r="WDP31" s="109"/>
      <c r="WDQ31" s="109"/>
      <c r="WDR31" s="109"/>
      <c r="WDS31" s="109"/>
      <c r="WDT31" s="109"/>
      <c r="WDU31" s="109"/>
      <c r="WDV31" s="109"/>
      <c r="WDW31" s="109"/>
      <c r="WDX31" s="109"/>
      <c r="WDY31" s="109"/>
      <c r="WDZ31" s="109"/>
      <c r="WEA31" s="109"/>
      <c r="WEB31" s="109"/>
      <c r="WEC31" s="109"/>
      <c r="WED31" s="109"/>
      <c r="WEE31" s="109"/>
      <c r="WEF31" s="109"/>
      <c r="WEG31" s="109"/>
      <c r="WEH31" s="109"/>
      <c r="WEI31" s="109"/>
      <c r="WEJ31" s="109"/>
      <c r="WEK31" s="109"/>
      <c r="WEL31" s="109"/>
      <c r="WEM31" s="109"/>
      <c r="WEN31" s="109"/>
      <c r="WEO31" s="109"/>
      <c r="WEP31" s="109"/>
      <c r="WEQ31" s="109"/>
      <c r="WER31" s="109"/>
      <c r="WES31" s="109"/>
      <c r="WET31" s="109"/>
      <c r="WEU31" s="109"/>
      <c r="WEV31" s="109"/>
      <c r="WEW31" s="109"/>
      <c r="WEX31" s="109"/>
      <c r="WEY31" s="109"/>
      <c r="WEZ31" s="109"/>
      <c r="WFA31" s="109"/>
      <c r="WFB31" s="109"/>
      <c r="WFC31" s="109"/>
      <c r="WFD31" s="109"/>
      <c r="WFE31" s="109"/>
      <c r="WFF31" s="109"/>
      <c r="WFG31" s="109"/>
      <c r="WFH31" s="109"/>
      <c r="WFI31" s="109"/>
      <c r="WFJ31" s="109"/>
      <c r="WFK31" s="109"/>
      <c r="WFL31" s="109"/>
      <c r="WFM31" s="109"/>
      <c r="WFN31" s="109"/>
      <c r="WFO31" s="109"/>
      <c r="WFP31" s="109"/>
      <c r="WFQ31" s="109"/>
      <c r="WFR31" s="109"/>
      <c r="WFS31" s="109"/>
      <c r="WFT31" s="109"/>
      <c r="WFU31" s="109"/>
      <c r="WFV31" s="109"/>
      <c r="WFW31" s="109"/>
      <c r="WFX31" s="109"/>
      <c r="WFY31" s="109"/>
      <c r="WFZ31" s="109"/>
      <c r="WGA31" s="109"/>
      <c r="WGB31" s="109"/>
      <c r="WGC31" s="109"/>
      <c r="WGD31" s="109"/>
      <c r="WGE31" s="109"/>
      <c r="WGF31" s="109"/>
      <c r="WGG31" s="109"/>
      <c r="WGH31" s="109"/>
      <c r="WGI31" s="109"/>
      <c r="WGJ31" s="109"/>
      <c r="WGK31" s="109"/>
      <c r="WGL31" s="109"/>
      <c r="WGM31" s="109"/>
      <c r="WGN31" s="109"/>
      <c r="WGO31" s="109"/>
      <c r="WGP31" s="109"/>
      <c r="WGQ31" s="109"/>
      <c r="WGR31" s="109"/>
      <c r="WGS31" s="109"/>
      <c r="WGT31" s="109"/>
      <c r="WGU31" s="109"/>
      <c r="WGV31" s="109"/>
      <c r="WGW31" s="109"/>
      <c r="WGX31" s="109"/>
      <c r="WGY31" s="109"/>
      <c r="WGZ31" s="109"/>
      <c r="WHA31" s="109"/>
      <c r="WHB31" s="109"/>
      <c r="WHC31" s="109"/>
      <c r="WHD31" s="109"/>
      <c r="WHE31" s="109"/>
      <c r="WHF31" s="109"/>
      <c r="WHG31" s="109"/>
      <c r="WHH31" s="109"/>
      <c r="WHI31" s="109"/>
      <c r="WHJ31" s="109"/>
      <c r="WHK31" s="109"/>
      <c r="WHL31" s="109"/>
      <c r="WHM31" s="109"/>
      <c r="WHN31" s="109"/>
      <c r="WHO31" s="109"/>
      <c r="WHP31" s="109"/>
      <c r="WHQ31" s="109"/>
      <c r="WHR31" s="109"/>
      <c r="WHS31" s="109"/>
      <c r="WHT31" s="109"/>
      <c r="WHU31" s="109"/>
      <c r="WHV31" s="109"/>
      <c r="WHW31" s="109"/>
      <c r="WHX31" s="109"/>
      <c r="WHY31" s="109"/>
      <c r="WHZ31" s="109"/>
      <c r="WIA31" s="109"/>
      <c r="WIB31" s="109"/>
      <c r="WIC31" s="109"/>
      <c r="WID31" s="109"/>
      <c r="WIE31" s="109"/>
      <c r="WIF31" s="109"/>
      <c r="WIG31" s="109"/>
      <c r="WIH31" s="109"/>
      <c r="WII31" s="109"/>
      <c r="WIJ31" s="109"/>
      <c r="WIK31" s="109"/>
      <c r="WIL31" s="109"/>
      <c r="WIM31" s="109"/>
      <c r="WIN31" s="109"/>
      <c r="WIO31" s="109"/>
      <c r="WIP31" s="109"/>
      <c r="WIQ31" s="109"/>
      <c r="WIR31" s="109"/>
      <c r="WIS31" s="109"/>
      <c r="WIT31" s="109"/>
      <c r="WIU31" s="109"/>
      <c r="WIV31" s="109"/>
      <c r="WIW31" s="109"/>
      <c r="WIX31" s="109"/>
      <c r="WIY31" s="109"/>
      <c r="WIZ31" s="109"/>
      <c r="WJA31" s="109"/>
      <c r="WJB31" s="109"/>
      <c r="WJC31" s="109"/>
      <c r="WJD31" s="109"/>
      <c r="WJE31" s="109"/>
      <c r="WJF31" s="109"/>
      <c r="WJG31" s="109"/>
      <c r="WJH31" s="109"/>
      <c r="WJI31" s="109"/>
      <c r="WJJ31" s="109"/>
      <c r="WJK31" s="109"/>
      <c r="WJL31" s="109"/>
      <c r="WJM31" s="109"/>
      <c r="WJN31" s="109"/>
      <c r="WJO31" s="109"/>
      <c r="WJP31" s="109"/>
      <c r="WJQ31" s="109"/>
      <c r="WJR31" s="109"/>
      <c r="WJS31" s="109"/>
      <c r="WJT31" s="109"/>
      <c r="WJU31" s="109"/>
      <c r="WJV31" s="109"/>
      <c r="WJW31" s="109"/>
      <c r="WJX31" s="109"/>
      <c r="WJY31" s="109"/>
      <c r="WJZ31" s="109"/>
      <c r="WKA31" s="109"/>
      <c r="WKB31" s="109"/>
      <c r="WKC31" s="109"/>
      <c r="WKD31" s="109"/>
      <c r="WKE31" s="109"/>
      <c r="WKF31" s="109"/>
      <c r="WKG31" s="109"/>
      <c r="WKH31" s="109"/>
      <c r="WKI31" s="109"/>
      <c r="WKJ31" s="109"/>
      <c r="WKK31" s="109"/>
      <c r="WKL31" s="109"/>
      <c r="WKM31" s="109"/>
      <c r="WKN31" s="109"/>
      <c r="WKO31" s="109"/>
      <c r="WKP31" s="109"/>
      <c r="WKQ31" s="109"/>
      <c r="WKR31" s="109"/>
      <c r="WKS31" s="109"/>
      <c r="WKT31" s="109"/>
      <c r="WKU31" s="109"/>
      <c r="WKV31" s="109"/>
      <c r="WKW31" s="109"/>
      <c r="WKX31" s="109"/>
      <c r="WKY31" s="109"/>
      <c r="WKZ31" s="109"/>
      <c r="WLA31" s="109"/>
      <c r="WLB31" s="109"/>
      <c r="WLC31" s="109"/>
      <c r="WLD31" s="109"/>
      <c r="WLE31" s="109"/>
      <c r="WLF31" s="109"/>
      <c r="WLG31" s="109"/>
      <c r="WLH31" s="109"/>
      <c r="WLI31" s="109"/>
      <c r="WLJ31" s="109"/>
      <c r="WLK31" s="109"/>
      <c r="WLL31" s="109"/>
      <c r="WLM31" s="109"/>
      <c r="WLN31" s="109"/>
      <c r="WLO31" s="109"/>
      <c r="WLP31" s="109"/>
      <c r="WLQ31" s="109"/>
      <c r="WLR31" s="109"/>
      <c r="WLS31" s="109"/>
      <c r="WLT31" s="109"/>
      <c r="WLU31" s="109"/>
      <c r="WLV31" s="109"/>
      <c r="WLW31" s="109"/>
      <c r="WLX31" s="109"/>
      <c r="WLY31" s="109"/>
      <c r="WLZ31" s="109"/>
      <c r="WMA31" s="109"/>
      <c r="WMB31" s="109"/>
      <c r="WMC31" s="109"/>
      <c r="WMD31" s="109"/>
      <c r="WME31" s="109"/>
      <c r="WMF31" s="109"/>
      <c r="WMG31" s="109"/>
      <c r="WMH31" s="109"/>
      <c r="WMI31" s="109"/>
      <c r="WMJ31" s="109"/>
      <c r="WMK31" s="109"/>
      <c r="WML31" s="109"/>
      <c r="WMM31" s="109"/>
      <c r="WMN31" s="109"/>
      <c r="WMO31" s="109"/>
      <c r="WMP31" s="109"/>
      <c r="WMQ31" s="109"/>
      <c r="WMR31" s="109"/>
      <c r="WMS31" s="109"/>
      <c r="WMT31" s="109"/>
      <c r="WMU31" s="109"/>
      <c r="WMV31" s="109"/>
      <c r="WMW31" s="109"/>
      <c r="WMX31" s="109"/>
      <c r="WMY31" s="109"/>
      <c r="WMZ31" s="109"/>
      <c r="WNA31" s="109"/>
      <c r="WNB31" s="109"/>
      <c r="WNC31" s="109"/>
      <c r="WND31" s="109"/>
      <c r="WNE31" s="109"/>
      <c r="WNF31" s="109"/>
      <c r="WNG31" s="109"/>
      <c r="WNH31" s="109"/>
      <c r="WNI31" s="109"/>
      <c r="WNJ31" s="109"/>
      <c r="WNK31" s="109"/>
      <c r="WNL31" s="109"/>
      <c r="WNM31" s="109"/>
      <c r="WNN31" s="109"/>
      <c r="WNO31" s="109"/>
      <c r="WNP31" s="109"/>
      <c r="WNQ31" s="109"/>
      <c r="WNR31" s="109"/>
      <c r="WNS31" s="109"/>
      <c r="WNT31" s="109"/>
      <c r="WNU31" s="109"/>
      <c r="WNV31" s="109"/>
      <c r="WNW31" s="109"/>
      <c r="WNX31" s="109"/>
      <c r="WNY31" s="109"/>
      <c r="WNZ31" s="109"/>
      <c r="WOA31" s="109"/>
      <c r="WOB31" s="109"/>
      <c r="WOC31" s="109"/>
      <c r="WOD31" s="109"/>
      <c r="WOE31" s="109"/>
      <c r="WOF31" s="109"/>
      <c r="WOG31" s="109"/>
      <c r="WOH31" s="109"/>
      <c r="WOI31" s="109"/>
      <c r="WOJ31" s="109"/>
      <c r="WOK31" s="109"/>
      <c r="WOL31" s="109"/>
      <c r="WOM31" s="109"/>
      <c r="WON31" s="109"/>
      <c r="WOO31" s="109"/>
      <c r="WOP31" s="109"/>
      <c r="WOQ31" s="109"/>
      <c r="WOR31" s="109"/>
      <c r="WOS31" s="109"/>
      <c r="WOT31" s="109"/>
      <c r="WOU31" s="109"/>
      <c r="WOV31" s="109"/>
      <c r="WOW31" s="109"/>
      <c r="WOX31" s="109"/>
      <c r="WOY31" s="109"/>
      <c r="WOZ31" s="109"/>
      <c r="WPA31" s="109"/>
      <c r="WPB31" s="109"/>
      <c r="WPC31" s="109"/>
      <c r="WPD31" s="109"/>
      <c r="WPE31" s="109"/>
      <c r="WPF31" s="109"/>
      <c r="WPG31" s="109"/>
      <c r="WPH31" s="109"/>
      <c r="WPI31" s="109"/>
      <c r="WPJ31" s="109"/>
      <c r="WPK31" s="109"/>
      <c r="WPL31" s="109"/>
      <c r="WPM31" s="109"/>
      <c r="WPN31" s="109"/>
      <c r="WPO31" s="109"/>
      <c r="WPP31" s="109"/>
      <c r="WPQ31" s="109"/>
      <c r="WPR31" s="109"/>
      <c r="WPS31" s="109"/>
      <c r="WPT31" s="109"/>
      <c r="WPU31" s="109"/>
      <c r="WPV31" s="109"/>
      <c r="WPW31" s="109"/>
      <c r="WPX31" s="109"/>
      <c r="WPY31" s="109"/>
      <c r="WPZ31" s="109"/>
      <c r="WQA31" s="109"/>
      <c r="WQB31" s="109"/>
      <c r="WQC31" s="109"/>
      <c r="WQD31" s="109"/>
      <c r="WQE31" s="109"/>
      <c r="WQF31" s="109"/>
      <c r="WQG31" s="109"/>
      <c r="WQH31" s="109"/>
      <c r="WQI31" s="109"/>
      <c r="WQJ31" s="109"/>
      <c r="WQK31" s="109"/>
      <c r="WQL31" s="109"/>
      <c r="WQM31" s="109"/>
      <c r="WQN31" s="109"/>
      <c r="WQO31" s="109"/>
      <c r="WQP31" s="109"/>
      <c r="WQQ31" s="109"/>
      <c r="WQR31" s="109"/>
      <c r="WQS31" s="109"/>
      <c r="WQT31" s="109"/>
      <c r="WQU31" s="109"/>
      <c r="WQV31" s="109"/>
      <c r="WQW31" s="109"/>
      <c r="WQX31" s="109"/>
      <c r="WQY31" s="109"/>
      <c r="WQZ31" s="109"/>
      <c r="WRA31" s="109"/>
      <c r="WRB31" s="109"/>
      <c r="WRC31" s="109"/>
      <c r="WRD31" s="109"/>
      <c r="WRE31" s="109"/>
      <c r="WRF31" s="109"/>
      <c r="WRG31" s="109"/>
      <c r="WRH31" s="109"/>
      <c r="WRI31" s="109"/>
      <c r="WRJ31" s="109"/>
      <c r="WRK31" s="109"/>
      <c r="WRL31" s="109"/>
      <c r="WRM31" s="109"/>
      <c r="WRN31" s="109"/>
      <c r="WRO31" s="109"/>
      <c r="WRP31" s="109"/>
      <c r="WRQ31" s="109"/>
      <c r="WRR31" s="109"/>
      <c r="WRS31" s="109"/>
      <c r="WRT31" s="109"/>
      <c r="WRU31" s="109"/>
      <c r="WRV31" s="109"/>
      <c r="WRW31" s="109"/>
      <c r="WRX31" s="109"/>
      <c r="WRY31" s="109"/>
      <c r="WRZ31" s="109"/>
      <c r="WSA31" s="109"/>
      <c r="WSB31" s="109"/>
      <c r="WSC31" s="109"/>
      <c r="WSD31" s="109"/>
      <c r="WSE31" s="109"/>
      <c r="WSF31" s="109"/>
      <c r="WSG31" s="109"/>
      <c r="WSH31" s="109"/>
      <c r="WSI31" s="109"/>
      <c r="WSJ31" s="109"/>
      <c r="WSK31" s="109"/>
      <c r="WSL31" s="109"/>
      <c r="WSM31" s="109"/>
      <c r="WSN31" s="109"/>
      <c r="WSO31" s="109"/>
      <c r="WSP31" s="109"/>
      <c r="WSQ31" s="109"/>
      <c r="WSR31" s="109"/>
      <c r="WSS31" s="109"/>
      <c r="WST31" s="109"/>
      <c r="WSU31" s="109"/>
      <c r="WSV31" s="109"/>
      <c r="WSW31" s="109"/>
      <c r="WSX31" s="109"/>
      <c r="WSY31" s="109"/>
      <c r="WSZ31" s="109"/>
      <c r="WTA31" s="109"/>
      <c r="WTB31" s="109"/>
      <c r="WTC31" s="109"/>
      <c r="WTD31" s="109"/>
      <c r="WTE31" s="109"/>
      <c r="WTF31" s="109"/>
      <c r="WTG31" s="109"/>
      <c r="WTH31" s="109"/>
      <c r="WTI31" s="109"/>
      <c r="WTJ31" s="109"/>
      <c r="WTK31" s="109"/>
      <c r="WTL31" s="109"/>
      <c r="WTM31" s="109"/>
      <c r="WTN31" s="109"/>
      <c r="WTO31" s="109"/>
      <c r="WTP31" s="109"/>
      <c r="WTQ31" s="109"/>
      <c r="WTR31" s="109"/>
      <c r="WTS31" s="109"/>
      <c r="WTT31" s="109"/>
      <c r="WTU31" s="109"/>
      <c r="WTV31" s="109"/>
      <c r="WTW31" s="109"/>
      <c r="WTX31" s="109"/>
      <c r="WTY31" s="109"/>
      <c r="WTZ31" s="109"/>
      <c r="WUA31" s="109"/>
      <c r="WUB31" s="109"/>
      <c r="WUC31" s="109"/>
      <c r="WUD31" s="109"/>
      <c r="WUE31" s="109"/>
      <c r="WUF31" s="109"/>
      <c r="WUG31" s="109"/>
      <c r="WUH31" s="109"/>
      <c r="WUI31" s="109"/>
      <c r="WUJ31" s="109"/>
      <c r="WUK31" s="109"/>
      <c r="WUL31" s="109"/>
      <c r="WUM31" s="109"/>
      <c r="WUN31" s="109"/>
      <c r="WUO31" s="109"/>
      <c r="WUP31" s="109"/>
      <c r="WUQ31" s="109"/>
      <c r="WUR31" s="109"/>
      <c r="WUS31" s="109"/>
      <c r="WUT31" s="109"/>
      <c r="WUU31" s="109"/>
      <c r="WUV31" s="109"/>
      <c r="WUW31" s="109"/>
      <c r="WUX31" s="109"/>
      <c r="WUY31" s="109"/>
      <c r="WUZ31" s="109"/>
      <c r="WVA31" s="109"/>
      <c r="WVB31" s="109"/>
      <c r="WVC31" s="109"/>
      <c r="WVD31" s="109"/>
      <c r="WVE31" s="109"/>
      <c r="WVF31" s="109"/>
      <c r="WVG31" s="109"/>
      <c r="WVH31" s="109"/>
      <c r="WVI31" s="109"/>
      <c r="WVJ31" s="109"/>
      <c r="WVK31" s="109"/>
      <c r="WVL31" s="109"/>
      <c r="WVM31" s="109"/>
      <c r="WVN31" s="109"/>
      <c r="WVO31" s="109"/>
      <c r="WVP31" s="109"/>
      <c r="WVQ31" s="109"/>
      <c r="WVR31" s="109"/>
      <c r="WVS31" s="109"/>
      <c r="WVT31" s="109"/>
      <c r="WVU31" s="109"/>
      <c r="WVV31" s="109"/>
      <c r="WVW31" s="109"/>
      <c r="WVX31" s="109"/>
      <c r="WVY31" s="109"/>
      <c r="WVZ31" s="109"/>
      <c r="WWA31" s="109"/>
      <c r="WWB31" s="109"/>
      <c r="WWC31" s="109"/>
      <c r="WWD31" s="109"/>
      <c r="WWE31" s="109"/>
      <c r="WWF31" s="109"/>
      <c r="WWG31" s="109"/>
      <c r="WWH31" s="109"/>
      <c r="WWI31" s="109"/>
      <c r="WWJ31" s="109"/>
      <c r="WWK31" s="109"/>
      <c r="WWL31" s="109"/>
      <c r="WWM31" s="109"/>
      <c r="WWN31" s="109"/>
      <c r="WWO31" s="109"/>
      <c r="WWP31" s="109"/>
      <c r="WWQ31" s="109"/>
      <c r="WWR31" s="109"/>
      <c r="WWS31" s="109"/>
      <c r="WWT31" s="109"/>
      <c r="WWU31" s="109"/>
      <c r="WWV31" s="109"/>
      <c r="WWW31" s="109"/>
      <c r="WWX31" s="109"/>
      <c r="WWY31" s="109"/>
      <c r="WWZ31" s="109"/>
      <c r="WXA31" s="109"/>
      <c r="WXB31" s="109"/>
      <c r="WXC31" s="109"/>
      <c r="WXD31" s="109"/>
      <c r="WXE31" s="109"/>
      <c r="WXF31" s="109"/>
      <c r="WXG31" s="109"/>
      <c r="WXH31" s="109"/>
      <c r="WXI31" s="109"/>
      <c r="WXJ31" s="109"/>
      <c r="WXK31" s="109"/>
      <c r="WXL31" s="109"/>
      <c r="WXM31" s="109"/>
      <c r="WXN31" s="109"/>
      <c r="WXO31" s="109"/>
      <c r="WXP31" s="109"/>
      <c r="WXQ31" s="109"/>
      <c r="WXR31" s="109"/>
      <c r="WXS31" s="109"/>
      <c r="WXT31" s="109"/>
      <c r="WXU31" s="109"/>
      <c r="WXV31" s="109"/>
      <c r="WXW31" s="109"/>
      <c r="WXX31" s="109"/>
      <c r="WXY31" s="109"/>
      <c r="WXZ31" s="109"/>
      <c r="WYA31" s="109"/>
      <c r="WYB31" s="109"/>
      <c r="WYC31" s="109"/>
      <c r="WYD31" s="109"/>
      <c r="WYE31" s="109"/>
      <c r="WYF31" s="109"/>
      <c r="WYG31" s="109"/>
      <c r="WYH31" s="109"/>
      <c r="WYI31" s="109"/>
      <c r="WYJ31" s="109"/>
      <c r="WYK31" s="109"/>
      <c r="WYL31" s="109"/>
      <c r="WYM31" s="109"/>
      <c r="WYN31" s="109"/>
      <c r="WYO31" s="109"/>
      <c r="WYP31" s="109"/>
      <c r="WYQ31" s="109"/>
      <c r="WYR31" s="109"/>
      <c r="WYS31" s="109"/>
      <c r="WYT31" s="109"/>
      <c r="WYU31" s="109"/>
      <c r="WYV31" s="109"/>
      <c r="WYW31" s="109"/>
      <c r="WYX31" s="109"/>
      <c r="WYY31" s="109"/>
      <c r="WYZ31" s="109"/>
      <c r="WZA31" s="109"/>
      <c r="WZB31" s="109"/>
      <c r="WZC31" s="109"/>
      <c r="WZD31" s="109"/>
      <c r="WZE31" s="109"/>
      <c r="WZF31" s="109"/>
      <c r="WZG31" s="109"/>
      <c r="WZH31" s="109"/>
      <c r="WZI31" s="109"/>
      <c r="WZJ31" s="109"/>
      <c r="WZK31" s="109"/>
      <c r="WZL31" s="109"/>
      <c r="WZM31" s="109"/>
      <c r="WZN31" s="109"/>
      <c r="WZO31" s="109"/>
      <c r="WZP31" s="109"/>
      <c r="WZQ31" s="109"/>
      <c r="WZR31" s="109"/>
      <c r="WZS31" s="109"/>
      <c r="WZT31" s="109"/>
      <c r="WZU31" s="109"/>
      <c r="WZV31" s="109"/>
      <c r="WZW31" s="109"/>
      <c r="WZX31" s="109"/>
      <c r="WZY31" s="109"/>
      <c r="WZZ31" s="109"/>
      <c r="XAA31" s="109"/>
      <c r="XAB31" s="109"/>
      <c r="XAC31" s="109"/>
      <c r="XAD31" s="109"/>
      <c r="XAE31" s="109"/>
      <c r="XAF31" s="109"/>
      <c r="XAG31" s="109"/>
      <c r="XAH31" s="109"/>
      <c r="XAI31" s="109"/>
      <c r="XAJ31" s="109"/>
      <c r="XAK31" s="109"/>
      <c r="XAL31" s="109"/>
      <c r="XAM31" s="109"/>
      <c r="XAN31" s="109"/>
      <c r="XAO31" s="109"/>
      <c r="XAP31" s="109"/>
      <c r="XAQ31" s="109"/>
      <c r="XAR31" s="109"/>
      <c r="XAS31" s="109"/>
      <c r="XAT31" s="109"/>
      <c r="XAU31" s="109"/>
      <c r="XAV31" s="109"/>
      <c r="XAW31" s="109"/>
      <c r="XAX31" s="109"/>
      <c r="XAY31" s="109"/>
      <c r="XAZ31" s="109"/>
      <c r="XBA31" s="109"/>
      <c r="XBB31" s="109"/>
      <c r="XBC31" s="109"/>
      <c r="XBD31" s="109"/>
      <c r="XBE31" s="109"/>
      <c r="XBF31" s="109"/>
      <c r="XBG31" s="109"/>
      <c r="XBH31" s="109"/>
      <c r="XBI31" s="109"/>
      <c r="XBJ31" s="109"/>
      <c r="XBK31" s="109"/>
      <c r="XBL31" s="109"/>
      <c r="XBM31" s="109"/>
      <c r="XBN31" s="109"/>
      <c r="XBO31" s="109"/>
      <c r="XBP31" s="109"/>
      <c r="XBQ31" s="109"/>
      <c r="XBR31" s="109"/>
      <c r="XBS31" s="109"/>
      <c r="XBT31" s="109"/>
      <c r="XBU31" s="109"/>
      <c r="XBV31" s="109"/>
      <c r="XBW31" s="109"/>
      <c r="XBX31" s="109"/>
      <c r="XBY31" s="109"/>
      <c r="XBZ31" s="109"/>
      <c r="XCA31" s="109"/>
      <c r="XCB31" s="109"/>
      <c r="XCC31" s="109"/>
      <c r="XCD31" s="109"/>
      <c r="XCE31" s="109"/>
      <c r="XCF31" s="109"/>
      <c r="XCG31" s="109"/>
      <c r="XCH31" s="109"/>
      <c r="XCI31" s="109"/>
      <c r="XCJ31" s="109"/>
      <c r="XCK31" s="109"/>
      <c r="XCL31" s="109"/>
      <c r="XCM31" s="109"/>
      <c r="XCN31" s="109"/>
      <c r="XCO31" s="109"/>
      <c r="XCP31" s="109"/>
      <c r="XCQ31" s="109"/>
      <c r="XCR31" s="109"/>
      <c r="XCS31" s="109"/>
      <c r="XCT31" s="109"/>
      <c r="XCU31" s="109"/>
      <c r="XCV31" s="109"/>
      <c r="XCW31" s="109"/>
      <c r="XCX31" s="109"/>
      <c r="XCY31" s="109"/>
      <c r="XCZ31" s="109"/>
      <c r="XDA31" s="109"/>
      <c r="XDB31" s="109"/>
      <c r="XDC31" s="109"/>
      <c r="XDD31" s="109"/>
      <c r="XDE31" s="109"/>
      <c r="XDF31" s="109"/>
      <c r="XDG31" s="109"/>
      <c r="XDH31" s="109"/>
      <c r="XDI31" s="109"/>
      <c r="XDJ31" s="109"/>
      <c r="XDK31" s="109"/>
      <c r="XDL31" s="109"/>
      <c r="XDM31" s="109"/>
      <c r="XDN31" s="109"/>
      <c r="XDO31" s="109"/>
      <c r="XDP31" s="109"/>
      <c r="XDQ31" s="109"/>
      <c r="XDR31" s="109"/>
      <c r="XDS31" s="109"/>
      <c r="XDT31" s="109"/>
      <c r="XDU31" s="109"/>
      <c r="XDV31" s="109"/>
      <c r="XDW31" s="109"/>
      <c r="XDX31" s="109"/>
      <c r="XDY31" s="109"/>
      <c r="XDZ31" s="109"/>
      <c r="XEA31" s="109"/>
      <c r="XEB31" s="109"/>
      <c r="XEC31" s="109"/>
      <c r="XED31" s="109"/>
      <c r="XEE31" s="109"/>
      <c r="XEF31" s="109"/>
      <c r="XEG31" s="109"/>
      <c r="XEH31" s="109"/>
      <c r="XEI31" s="109"/>
      <c r="XEJ31" s="109"/>
      <c r="XEK31" s="109"/>
      <c r="XEL31" s="109"/>
      <c r="XEM31" s="109"/>
      <c r="XEN31" s="109"/>
      <c r="XEO31" s="109"/>
      <c r="XEP31" s="109"/>
      <c r="XEQ31" s="109"/>
      <c r="XER31" s="109"/>
      <c r="XES31" s="109"/>
      <c r="XET31" s="109"/>
      <c r="XEU31" s="109"/>
      <c r="XEV31" s="109"/>
      <c r="XEW31" s="109"/>
      <c r="XEX31" s="109"/>
      <c r="XEY31" s="109"/>
      <c r="XEZ31" s="109"/>
      <c r="XFA31" s="109"/>
      <c r="XFB31" s="109"/>
      <c r="XFC31" s="109"/>
      <c r="XFD31" s="109"/>
    </row>
    <row r="32" spans="1:16384" s="98" customFormat="1" ht="12.75" x14ac:dyDescent="0.25">
      <c r="A32" s="20" t="str">
        <f ca="1">IF(ISERROR(VALUE(SUBSTITUTE(OFFSET(A32,-1,0,1,1),".",""))),"0.1",IF(ISERROR(FIND("`",SUBSTITUTE(OFFSET(A32,-1,0,1,1),".","`",1))),OFFSET(A32,-1,0,1,1)&amp;".1",LEFT(OFFSET(A32,-1,0,1,1),FIND("`",SUBSTITUTE(OFFSET(A32,-1,0,1,1),".","`",1)))&amp;IF(ISERROR(FIND("`",SUBSTITUTE(OFFSET(A32,-1,0,1,1),".","`",2))),VALUE(RIGHT(OFFSET(A32,-1,0,1,1),LEN(OFFSET(A32,-1,0,1,1))-FIND("`",SUBSTITUTE(OFFSET(A32,-1,0,1,1),".","`",1))))+1,VALUE(MID(OFFSET(A32,-1,0,1,1),FIND("`",SUBSTITUTE(OFFSET(A32,-1,0,1,1),".","`",1))+1,(FIND("`",SUBSTITUTE(OFFSET(A32,-1,0,1,1),".","`",2))-FIND("`",SUBSTITUTE(OFFSET(A32,-1,0,1,1),".","`",1))-1)))+1)))</f>
        <v>9072.3</v>
      </c>
      <c r="B32" s="74" t="str">
        <f>B$29</f>
        <v>C</v>
      </c>
      <c r="C32" s="28" t="s">
        <v>23</v>
      </c>
      <c r="D32" s="28"/>
      <c r="E32" s="28" t="s">
        <v>31</v>
      </c>
      <c r="F32" s="28"/>
      <c r="G32" s="74"/>
      <c r="H32" s="105">
        <v>2015</v>
      </c>
      <c r="I32" s="63">
        <v>45</v>
      </c>
      <c r="J32" s="64">
        <f>IsoWeekToDateB2(H32,I32)</f>
        <v>42310</v>
      </c>
      <c r="K32" s="21">
        <f>J32+L32-1</f>
        <v>42337</v>
      </c>
      <c r="L32" s="22">
        <f t="shared" si="722"/>
        <v>28</v>
      </c>
      <c r="M32" s="52">
        <v>4</v>
      </c>
      <c r="N32" s="53">
        <v>0</v>
      </c>
      <c r="O32" s="22">
        <f t="shared" si="723"/>
        <v>20</v>
      </c>
      <c r="P32" s="23">
        <f t="shared" si="724"/>
        <v>0</v>
      </c>
      <c r="Q32" s="22">
        <f t="shared" si="725"/>
        <v>28</v>
      </c>
      <c r="R32" s="2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09"/>
      <c r="BX32" s="109"/>
      <c r="BY32" s="109"/>
      <c r="BZ32" s="109"/>
      <c r="CA32" s="109"/>
      <c r="CB32" s="109"/>
      <c r="CC32" s="109"/>
      <c r="CD32" s="109"/>
      <c r="CE32" s="109"/>
      <c r="CF32" s="109"/>
      <c r="CG32" s="109"/>
      <c r="CH32" s="109"/>
      <c r="CI32" s="109"/>
      <c r="CJ32" s="109"/>
      <c r="CK32" s="109"/>
      <c r="CL32" s="109"/>
      <c r="CM32" s="109"/>
      <c r="CN32" s="109"/>
      <c r="CO32" s="109"/>
      <c r="CP32" s="109"/>
      <c r="CQ32" s="109"/>
      <c r="CR32" s="109"/>
      <c r="CS32" s="109"/>
      <c r="CT32" s="109"/>
      <c r="CU32" s="109"/>
      <c r="CV32" s="109"/>
      <c r="CW32" s="109"/>
      <c r="CX32" s="109"/>
      <c r="CY32" s="109"/>
      <c r="CZ32" s="109"/>
      <c r="DA32" s="109"/>
      <c r="DB32" s="109"/>
      <c r="DC32" s="109"/>
      <c r="DD32" s="109"/>
      <c r="DE32" s="109"/>
      <c r="DF32" s="109"/>
      <c r="DG32" s="109"/>
      <c r="DH32" s="109"/>
      <c r="DI32" s="109"/>
      <c r="DJ32" s="109"/>
      <c r="DK32" s="109"/>
      <c r="DL32" s="109"/>
      <c r="DM32" s="109"/>
      <c r="DN32" s="109"/>
      <c r="DO32" s="109"/>
      <c r="DP32" s="109"/>
      <c r="DQ32" s="109"/>
      <c r="DR32" s="109"/>
      <c r="DS32" s="109"/>
      <c r="DT32" s="109"/>
      <c r="DU32" s="109"/>
      <c r="DV32" s="109"/>
      <c r="DW32" s="109"/>
      <c r="DX32" s="109"/>
      <c r="DY32" s="109"/>
      <c r="DZ32" s="109"/>
      <c r="EA32" s="109"/>
      <c r="EB32" s="109"/>
      <c r="EC32" s="109"/>
      <c r="ED32" s="109"/>
      <c r="EE32" s="109"/>
      <c r="EF32" s="109"/>
      <c r="EG32" s="109"/>
      <c r="EH32" s="109"/>
      <c r="EI32" s="109"/>
      <c r="EJ32" s="109"/>
      <c r="EK32" s="109"/>
      <c r="EL32" s="109"/>
      <c r="EM32" s="109"/>
      <c r="EN32" s="109"/>
      <c r="EO32" s="109"/>
      <c r="EP32" s="109"/>
      <c r="EQ32" s="109"/>
      <c r="ER32" s="109"/>
      <c r="ES32" s="109"/>
      <c r="ET32" s="109"/>
      <c r="EU32" s="109"/>
      <c r="EV32" s="109"/>
      <c r="EW32" s="109"/>
      <c r="EX32" s="109"/>
      <c r="EY32" s="109"/>
      <c r="EZ32" s="109"/>
      <c r="FA32" s="109"/>
      <c r="FB32" s="109"/>
      <c r="FC32" s="109"/>
      <c r="FD32" s="109"/>
      <c r="FE32" s="109"/>
      <c r="FF32" s="109"/>
      <c r="FG32" s="109"/>
      <c r="FH32" s="109"/>
      <c r="FI32" s="109"/>
      <c r="FJ32" s="109"/>
      <c r="FK32" s="109"/>
      <c r="FL32" s="109"/>
      <c r="FM32" s="109"/>
      <c r="FN32" s="109"/>
      <c r="FO32" s="109"/>
      <c r="FP32" s="109"/>
      <c r="FQ32" s="109"/>
      <c r="FR32" s="109"/>
      <c r="FS32" s="109"/>
      <c r="FT32" s="109"/>
      <c r="FU32" s="109"/>
      <c r="FV32" s="109"/>
      <c r="FW32" s="109"/>
      <c r="FX32" s="109"/>
      <c r="FY32" s="109"/>
      <c r="FZ32" s="109"/>
      <c r="GA32" s="109"/>
      <c r="GB32" s="109"/>
      <c r="GC32" s="109"/>
      <c r="GD32" s="109"/>
      <c r="GE32" s="109"/>
      <c r="GF32" s="109"/>
      <c r="GG32" s="109"/>
      <c r="GH32" s="109"/>
      <c r="GI32" s="109"/>
      <c r="GJ32" s="109"/>
      <c r="GK32" s="109"/>
      <c r="GL32" s="109"/>
      <c r="GM32" s="109"/>
      <c r="GN32" s="109"/>
      <c r="GO32" s="109"/>
      <c r="GP32" s="109"/>
      <c r="GQ32" s="109"/>
      <c r="GR32" s="109"/>
      <c r="GS32" s="109"/>
      <c r="GT32" s="109"/>
      <c r="GU32" s="109"/>
      <c r="GV32" s="109"/>
      <c r="GW32" s="109"/>
      <c r="GX32" s="109"/>
      <c r="GY32" s="109"/>
      <c r="GZ32" s="109"/>
      <c r="HA32" s="109"/>
      <c r="HB32" s="109"/>
      <c r="HC32" s="109"/>
      <c r="HD32" s="109"/>
      <c r="HE32" s="109"/>
      <c r="HF32" s="109"/>
      <c r="HG32" s="109"/>
      <c r="HH32" s="109"/>
      <c r="HI32" s="109"/>
      <c r="HJ32" s="109"/>
      <c r="HK32" s="109"/>
      <c r="HL32" s="109"/>
      <c r="HM32" s="109"/>
      <c r="HN32" s="109"/>
      <c r="HO32" s="109"/>
      <c r="HP32" s="109"/>
      <c r="HQ32" s="109"/>
      <c r="HR32" s="109"/>
      <c r="HS32" s="109"/>
      <c r="HT32" s="109"/>
      <c r="HU32" s="109"/>
      <c r="HV32" s="109"/>
      <c r="HW32" s="109"/>
      <c r="HX32" s="109"/>
      <c r="HY32" s="109"/>
      <c r="HZ32" s="109"/>
      <c r="IA32" s="109"/>
      <c r="IB32" s="109"/>
      <c r="IC32" s="109"/>
      <c r="ID32" s="109"/>
      <c r="IE32" s="109"/>
      <c r="IF32" s="109"/>
      <c r="IG32" s="109"/>
      <c r="IH32" s="109"/>
      <c r="II32" s="109"/>
      <c r="IJ32" s="109"/>
      <c r="IK32" s="109"/>
      <c r="IL32" s="109"/>
      <c r="IM32" s="109"/>
      <c r="IN32" s="109"/>
      <c r="IO32" s="109"/>
      <c r="IP32" s="109"/>
      <c r="IQ32" s="109"/>
      <c r="IR32" s="109"/>
      <c r="IS32" s="109"/>
      <c r="IT32" s="109"/>
      <c r="IU32" s="109"/>
      <c r="IV32" s="109"/>
      <c r="IW32" s="109"/>
      <c r="IX32" s="109"/>
      <c r="IY32" s="109"/>
      <c r="IZ32" s="109"/>
      <c r="JA32" s="109"/>
      <c r="JB32" s="109"/>
      <c r="JC32" s="109"/>
      <c r="JD32" s="109"/>
      <c r="JE32" s="109"/>
      <c r="JF32" s="109"/>
      <c r="JG32" s="109"/>
      <c r="JH32" s="109"/>
      <c r="JI32" s="109"/>
      <c r="JJ32" s="109"/>
      <c r="JK32" s="109"/>
      <c r="JL32" s="109"/>
      <c r="JM32" s="109"/>
      <c r="JN32" s="109"/>
      <c r="JO32" s="109"/>
      <c r="JP32" s="109"/>
      <c r="JQ32" s="109"/>
      <c r="JR32" s="109"/>
      <c r="JS32" s="109"/>
      <c r="JT32" s="109"/>
      <c r="JU32" s="109"/>
      <c r="JV32" s="109"/>
      <c r="JW32" s="109"/>
      <c r="JX32" s="109"/>
      <c r="JY32" s="109"/>
      <c r="JZ32" s="109"/>
      <c r="KA32" s="109"/>
      <c r="KB32" s="109"/>
      <c r="KC32" s="109"/>
      <c r="KD32" s="109"/>
      <c r="KE32" s="109"/>
      <c r="KF32" s="109"/>
      <c r="KG32" s="109"/>
      <c r="KH32" s="109"/>
      <c r="KI32" s="109"/>
      <c r="KJ32" s="109"/>
      <c r="KK32" s="109"/>
      <c r="KL32" s="109"/>
      <c r="KM32" s="109"/>
      <c r="KN32" s="109"/>
      <c r="KO32" s="109"/>
      <c r="KP32" s="109"/>
      <c r="KQ32" s="109"/>
      <c r="KR32" s="109"/>
      <c r="KS32" s="109"/>
      <c r="KT32" s="109"/>
      <c r="KU32" s="109"/>
      <c r="KV32" s="109"/>
      <c r="KW32" s="109"/>
      <c r="KX32" s="109"/>
      <c r="KY32" s="109"/>
      <c r="KZ32" s="109"/>
      <c r="LA32" s="109"/>
      <c r="LB32" s="109"/>
      <c r="LC32" s="109"/>
      <c r="LD32" s="109"/>
      <c r="LE32" s="109"/>
      <c r="LF32" s="109"/>
      <c r="LG32" s="109"/>
      <c r="LH32" s="109"/>
      <c r="LI32" s="109"/>
      <c r="LJ32" s="109"/>
      <c r="LK32" s="109"/>
      <c r="LL32" s="109"/>
      <c r="LM32" s="109"/>
      <c r="LN32" s="109"/>
      <c r="LO32" s="109"/>
      <c r="LP32" s="109"/>
      <c r="LQ32" s="109"/>
      <c r="LR32" s="109"/>
      <c r="LS32" s="109"/>
      <c r="LT32" s="109"/>
      <c r="LU32" s="109"/>
      <c r="LV32" s="109"/>
      <c r="LW32" s="109"/>
      <c r="LX32" s="109"/>
      <c r="LY32" s="109"/>
      <c r="LZ32" s="109"/>
      <c r="MA32" s="109"/>
      <c r="MB32" s="109"/>
      <c r="MC32" s="109"/>
      <c r="MD32" s="109"/>
      <c r="ME32" s="109"/>
      <c r="MF32" s="109"/>
      <c r="MG32" s="109"/>
      <c r="MH32" s="109"/>
      <c r="MI32" s="109"/>
      <c r="MJ32" s="109"/>
      <c r="MK32" s="109"/>
      <c r="ML32" s="109"/>
      <c r="MM32" s="109"/>
      <c r="MN32" s="109"/>
      <c r="MO32" s="109"/>
      <c r="MP32" s="109"/>
      <c r="MQ32" s="109"/>
      <c r="MR32" s="109"/>
      <c r="MS32" s="109"/>
      <c r="MT32" s="109"/>
      <c r="MU32" s="109"/>
      <c r="MV32" s="109"/>
      <c r="MW32" s="109"/>
      <c r="MX32" s="109"/>
      <c r="MY32" s="109"/>
      <c r="MZ32" s="109"/>
      <c r="NA32" s="109"/>
      <c r="NB32" s="109"/>
      <c r="NC32" s="109"/>
      <c r="ND32" s="109"/>
      <c r="NE32" s="109"/>
      <c r="NF32" s="109"/>
      <c r="NG32" s="109"/>
      <c r="NH32" s="109"/>
      <c r="NI32" s="109"/>
      <c r="NJ32" s="109"/>
      <c r="NK32" s="109"/>
      <c r="NL32" s="109"/>
      <c r="NM32" s="109"/>
      <c r="NN32" s="109"/>
      <c r="NO32" s="109"/>
      <c r="NP32" s="109"/>
      <c r="NQ32" s="109"/>
      <c r="NR32" s="109"/>
      <c r="NS32" s="109"/>
      <c r="NT32" s="109"/>
      <c r="NU32" s="109"/>
      <c r="NV32" s="109"/>
      <c r="NW32" s="109"/>
      <c r="NX32" s="109"/>
      <c r="NY32" s="109"/>
      <c r="NZ32" s="109"/>
      <c r="OA32" s="109"/>
      <c r="OB32" s="109"/>
      <c r="OC32" s="109"/>
      <c r="OD32" s="109"/>
      <c r="OE32" s="109"/>
      <c r="OF32" s="109"/>
      <c r="OG32" s="109"/>
      <c r="OH32" s="109"/>
      <c r="OI32" s="109"/>
      <c r="OJ32" s="109"/>
      <c r="OK32" s="109"/>
      <c r="OL32" s="109"/>
      <c r="OM32" s="109"/>
      <c r="ON32" s="109"/>
      <c r="OO32" s="109"/>
      <c r="OP32" s="109"/>
      <c r="OQ32" s="109"/>
      <c r="OR32" s="109"/>
      <c r="OS32" s="109"/>
      <c r="OT32" s="109"/>
      <c r="OU32" s="109"/>
      <c r="OV32" s="109"/>
      <c r="OW32" s="109"/>
      <c r="OX32" s="109"/>
      <c r="OY32" s="109"/>
      <c r="OZ32" s="109"/>
      <c r="PA32" s="109"/>
      <c r="PB32" s="109"/>
      <c r="PC32" s="109"/>
      <c r="PD32" s="109"/>
      <c r="PE32" s="109"/>
      <c r="PF32" s="109"/>
      <c r="PG32" s="109"/>
      <c r="PH32" s="109"/>
      <c r="PI32" s="109"/>
      <c r="PJ32" s="109"/>
      <c r="PK32" s="109"/>
      <c r="PL32" s="109"/>
      <c r="PM32" s="109"/>
      <c r="PN32" s="109"/>
      <c r="PO32" s="109"/>
      <c r="PP32" s="109"/>
      <c r="PQ32" s="109"/>
      <c r="PR32" s="109"/>
      <c r="PS32" s="109"/>
      <c r="PT32" s="109"/>
      <c r="PU32" s="109"/>
      <c r="PV32" s="109"/>
      <c r="PW32" s="109"/>
      <c r="PX32" s="109"/>
      <c r="PY32" s="109"/>
      <c r="PZ32" s="109"/>
      <c r="QA32" s="109"/>
      <c r="QB32" s="109"/>
      <c r="QC32" s="109"/>
      <c r="QD32" s="109"/>
      <c r="QE32" s="109"/>
      <c r="QF32" s="109"/>
      <c r="QG32" s="109"/>
      <c r="QH32" s="109"/>
      <c r="QI32" s="109"/>
      <c r="QJ32" s="109"/>
      <c r="QK32" s="109"/>
      <c r="QL32" s="109"/>
      <c r="QM32" s="109"/>
      <c r="QN32" s="109"/>
      <c r="QO32" s="109"/>
      <c r="QP32" s="109"/>
      <c r="QQ32" s="109"/>
      <c r="QR32" s="109"/>
      <c r="QS32" s="109"/>
      <c r="QT32" s="109"/>
      <c r="QU32" s="109"/>
      <c r="QV32" s="109"/>
      <c r="QW32" s="109"/>
      <c r="QX32" s="109"/>
      <c r="QY32" s="109"/>
      <c r="QZ32" s="109"/>
      <c r="RA32" s="109"/>
      <c r="RB32" s="109"/>
      <c r="RC32" s="109"/>
      <c r="RD32" s="109"/>
      <c r="RE32" s="109"/>
      <c r="RF32" s="109"/>
      <c r="RG32" s="109"/>
      <c r="RH32" s="109"/>
      <c r="RI32" s="109"/>
      <c r="RJ32" s="109"/>
      <c r="RK32" s="109"/>
      <c r="RL32" s="109"/>
      <c r="RM32" s="109"/>
      <c r="RN32" s="109"/>
      <c r="RO32" s="109"/>
      <c r="RP32" s="109"/>
      <c r="RQ32" s="109"/>
      <c r="RR32" s="109"/>
      <c r="RS32" s="109"/>
      <c r="RT32" s="109"/>
      <c r="RU32" s="109"/>
      <c r="RV32" s="109"/>
      <c r="RW32" s="109"/>
      <c r="RX32" s="109"/>
      <c r="RY32" s="109"/>
      <c r="RZ32" s="109"/>
      <c r="SA32" s="109"/>
      <c r="SB32" s="109"/>
      <c r="SC32" s="109"/>
      <c r="SD32" s="109"/>
      <c r="SE32" s="109"/>
      <c r="SF32" s="109"/>
      <c r="SG32" s="109"/>
      <c r="SH32" s="109"/>
      <c r="SI32" s="109"/>
      <c r="SJ32" s="109"/>
      <c r="SK32" s="109"/>
      <c r="SL32" s="109"/>
      <c r="SM32" s="109"/>
      <c r="SN32" s="109"/>
      <c r="SO32" s="109"/>
      <c r="SP32" s="109"/>
      <c r="SQ32" s="109"/>
      <c r="SR32" s="109"/>
      <c r="SS32" s="109"/>
      <c r="ST32" s="109"/>
      <c r="SU32" s="109"/>
      <c r="SV32" s="109"/>
      <c r="SW32" s="109"/>
      <c r="SX32" s="109"/>
      <c r="SY32" s="109"/>
      <c r="SZ32" s="109"/>
      <c r="TA32" s="109"/>
      <c r="TB32" s="109"/>
      <c r="TC32" s="109"/>
      <c r="TD32" s="109"/>
      <c r="TE32" s="109"/>
      <c r="TF32" s="109"/>
      <c r="TG32" s="109"/>
      <c r="TH32" s="109"/>
      <c r="TI32" s="109"/>
      <c r="TJ32" s="109"/>
      <c r="TK32" s="109"/>
      <c r="TL32" s="109"/>
      <c r="TM32" s="109"/>
      <c r="TN32" s="109"/>
      <c r="TO32" s="109"/>
      <c r="TP32" s="109"/>
      <c r="TQ32" s="109"/>
      <c r="TR32" s="109"/>
      <c r="TS32" s="109"/>
      <c r="TT32" s="109"/>
      <c r="TU32" s="109"/>
      <c r="TV32" s="109"/>
      <c r="TW32" s="109"/>
      <c r="TX32" s="109"/>
      <c r="TY32" s="109"/>
      <c r="TZ32" s="109"/>
      <c r="UA32" s="109"/>
      <c r="UB32" s="109"/>
      <c r="UC32" s="109"/>
      <c r="UD32" s="109"/>
      <c r="UE32" s="109"/>
      <c r="UF32" s="109"/>
      <c r="UG32" s="109"/>
      <c r="UH32" s="109"/>
      <c r="UI32" s="109"/>
      <c r="UJ32" s="109"/>
      <c r="UK32" s="109"/>
      <c r="UL32" s="109"/>
      <c r="UM32" s="109"/>
      <c r="UN32" s="109"/>
      <c r="UO32" s="109"/>
      <c r="UP32" s="109"/>
      <c r="UQ32" s="109"/>
      <c r="UR32" s="109"/>
      <c r="US32" s="109"/>
      <c r="UT32" s="109"/>
      <c r="UU32" s="109"/>
      <c r="UV32" s="109"/>
      <c r="UW32" s="109"/>
      <c r="UX32" s="109"/>
      <c r="UY32" s="109"/>
      <c r="UZ32" s="109"/>
      <c r="VA32" s="109"/>
      <c r="VB32" s="109"/>
      <c r="VC32" s="109"/>
      <c r="VD32" s="109"/>
      <c r="VE32" s="109"/>
      <c r="VF32" s="109"/>
      <c r="VG32" s="109"/>
      <c r="VH32" s="109"/>
      <c r="VI32" s="109"/>
      <c r="VJ32" s="109"/>
      <c r="VK32" s="109"/>
      <c r="VL32" s="109"/>
      <c r="VM32" s="109"/>
      <c r="VN32" s="109"/>
      <c r="VO32" s="109"/>
      <c r="VP32" s="109"/>
      <c r="VQ32" s="109"/>
      <c r="VR32" s="109"/>
      <c r="VS32" s="109"/>
      <c r="VT32" s="109"/>
      <c r="VU32" s="109"/>
      <c r="VV32" s="109"/>
      <c r="VW32" s="109"/>
      <c r="VX32" s="109"/>
      <c r="VY32" s="109"/>
      <c r="VZ32" s="109"/>
      <c r="WA32" s="109"/>
      <c r="WB32" s="109"/>
      <c r="WC32" s="109"/>
      <c r="WD32" s="109"/>
      <c r="WE32" s="109"/>
      <c r="WF32" s="109"/>
      <c r="WG32" s="109"/>
      <c r="WH32" s="109"/>
      <c r="WI32" s="109"/>
      <c r="WJ32" s="109"/>
      <c r="WK32" s="109"/>
      <c r="WL32" s="109"/>
      <c r="WM32" s="109"/>
      <c r="WN32" s="109"/>
      <c r="WO32" s="109"/>
      <c r="WP32" s="109"/>
      <c r="WQ32" s="109"/>
      <c r="WR32" s="109"/>
      <c r="WS32" s="109"/>
      <c r="WT32" s="109"/>
      <c r="WU32" s="109"/>
      <c r="WV32" s="109"/>
      <c r="WW32" s="109"/>
      <c r="WX32" s="109"/>
      <c r="WY32" s="109"/>
      <c r="WZ32" s="109"/>
      <c r="XA32" s="109"/>
      <c r="XB32" s="109"/>
      <c r="XC32" s="109"/>
      <c r="XD32" s="109"/>
      <c r="XE32" s="109"/>
      <c r="XF32" s="109"/>
      <c r="XG32" s="109"/>
      <c r="XH32" s="109"/>
      <c r="XI32" s="109"/>
      <c r="XJ32" s="109"/>
      <c r="XK32" s="109"/>
      <c r="XL32" s="109"/>
      <c r="XM32" s="109"/>
      <c r="XN32" s="109"/>
      <c r="XO32" s="109"/>
      <c r="XP32" s="109"/>
      <c r="XQ32" s="109"/>
      <c r="XR32" s="109"/>
      <c r="XS32" s="109"/>
      <c r="XT32" s="109"/>
      <c r="XU32" s="109"/>
      <c r="XV32" s="109"/>
      <c r="XW32" s="109"/>
      <c r="XX32" s="109"/>
      <c r="XY32" s="109"/>
      <c r="XZ32" s="109"/>
      <c r="YA32" s="109"/>
      <c r="YB32" s="109"/>
      <c r="YC32" s="109"/>
      <c r="YD32" s="109"/>
      <c r="YE32" s="109"/>
      <c r="YF32" s="109"/>
      <c r="YG32" s="109"/>
      <c r="YH32" s="109"/>
      <c r="YI32" s="109"/>
      <c r="YJ32" s="109"/>
      <c r="YK32" s="109"/>
      <c r="YL32" s="109"/>
      <c r="YM32" s="109"/>
      <c r="YN32" s="109"/>
      <c r="YO32" s="109"/>
      <c r="YP32" s="109"/>
      <c r="YQ32" s="109"/>
      <c r="YR32" s="109"/>
      <c r="YS32" s="109"/>
      <c r="YT32" s="109"/>
      <c r="YU32" s="109"/>
      <c r="YV32" s="109"/>
      <c r="YW32" s="109"/>
      <c r="YX32" s="109"/>
      <c r="YY32" s="109"/>
      <c r="YZ32" s="109"/>
      <c r="ZA32" s="109"/>
      <c r="ZB32" s="109"/>
      <c r="ZC32" s="109"/>
      <c r="ZD32" s="109"/>
      <c r="ZE32" s="109"/>
      <c r="ZF32" s="109"/>
      <c r="ZG32" s="109"/>
      <c r="ZH32" s="109"/>
      <c r="ZI32" s="109"/>
      <c r="ZJ32" s="109"/>
      <c r="ZK32" s="109"/>
      <c r="ZL32" s="109"/>
      <c r="ZM32" s="109"/>
      <c r="ZN32" s="109"/>
      <c r="ZO32" s="109"/>
      <c r="ZP32" s="109"/>
      <c r="ZQ32" s="109"/>
      <c r="ZR32" s="109"/>
      <c r="ZS32" s="109"/>
      <c r="ZT32" s="109"/>
      <c r="ZU32" s="109"/>
      <c r="ZV32" s="109"/>
      <c r="ZW32" s="109"/>
      <c r="ZX32" s="109"/>
      <c r="ZY32" s="109"/>
      <c r="ZZ32" s="109"/>
      <c r="AAA32" s="109"/>
      <c r="AAB32" s="109"/>
      <c r="AAC32" s="109"/>
      <c r="AAD32" s="109"/>
      <c r="AAE32" s="109"/>
      <c r="AAF32" s="109"/>
      <c r="AAG32" s="109"/>
      <c r="AAH32" s="109"/>
      <c r="AAI32" s="109"/>
      <c r="AAJ32" s="109"/>
      <c r="AAK32" s="109"/>
      <c r="AAL32" s="109"/>
      <c r="AAM32" s="109"/>
      <c r="AAN32" s="109"/>
      <c r="AAO32" s="109"/>
      <c r="AAP32" s="109"/>
      <c r="AAQ32" s="109"/>
      <c r="AAR32" s="109"/>
      <c r="AAS32" s="109"/>
      <c r="AAT32" s="109"/>
      <c r="AAU32" s="109"/>
      <c r="AAV32" s="109"/>
      <c r="AAW32" s="109"/>
      <c r="AAX32" s="109"/>
      <c r="AAY32" s="109"/>
      <c r="AAZ32" s="109"/>
      <c r="ABA32" s="109"/>
      <c r="ABB32" s="109"/>
      <c r="ABC32" s="109"/>
      <c r="ABD32" s="109"/>
      <c r="ABE32" s="109"/>
      <c r="ABF32" s="109"/>
      <c r="ABG32" s="109"/>
      <c r="ABH32" s="109"/>
      <c r="ABI32" s="109"/>
      <c r="ABJ32" s="109"/>
      <c r="ABK32" s="109"/>
      <c r="ABL32" s="109"/>
      <c r="ABM32" s="109"/>
      <c r="ABN32" s="109"/>
      <c r="ABO32" s="109"/>
      <c r="ABP32" s="109"/>
      <c r="ABQ32" s="109"/>
      <c r="ABR32" s="109"/>
      <c r="ABS32" s="109"/>
      <c r="ABT32" s="109"/>
      <c r="ABU32" s="109"/>
      <c r="ABV32" s="109"/>
      <c r="ABW32" s="109"/>
      <c r="ABX32" s="109"/>
      <c r="ABY32" s="109"/>
      <c r="ABZ32" s="109"/>
      <c r="ACA32" s="109"/>
      <c r="ACB32" s="109"/>
      <c r="ACC32" s="109"/>
      <c r="ACD32" s="109"/>
      <c r="ACE32" s="109"/>
      <c r="ACF32" s="109"/>
      <c r="ACG32" s="109"/>
      <c r="ACH32" s="109"/>
      <c r="ACI32" s="109"/>
      <c r="ACJ32" s="109"/>
      <c r="ACK32" s="109"/>
      <c r="ACL32" s="109"/>
      <c r="ACM32" s="109"/>
      <c r="ACN32" s="109"/>
      <c r="ACO32" s="109"/>
      <c r="ACP32" s="109"/>
      <c r="ACQ32" s="109"/>
      <c r="ACR32" s="109"/>
      <c r="ACS32" s="109"/>
      <c r="ACT32" s="109"/>
      <c r="ACU32" s="109"/>
      <c r="ACV32" s="109"/>
      <c r="ACW32" s="109"/>
      <c r="ACX32" s="109"/>
      <c r="ACY32" s="109"/>
      <c r="ACZ32" s="109"/>
      <c r="ADA32" s="109"/>
      <c r="ADB32" s="109"/>
      <c r="ADC32" s="109"/>
      <c r="ADD32" s="109"/>
      <c r="ADE32" s="109"/>
      <c r="ADF32" s="109"/>
      <c r="ADG32" s="109"/>
      <c r="ADH32" s="109"/>
      <c r="ADI32" s="109"/>
      <c r="ADJ32" s="109"/>
      <c r="ADK32" s="109"/>
      <c r="ADL32" s="109"/>
      <c r="ADM32" s="109"/>
      <c r="ADN32" s="109"/>
      <c r="ADO32" s="109"/>
      <c r="ADP32" s="109"/>
      <c r="ADQ32" s="109"/>
      <c r="ADR32" s="109"/>
      <c r="ADS32" s="109"/>
      <c r="ADT32" s="109"/>
      <c r="ADU32" s="109"/>
      <c r="ADV32" s="109"/>
      <c r="ADW32" s="109"/>
      <c r="ADX32" s="109"/>
      <c r="ADY32" s="109"/>
      <c r="ADZ32" s="109"/>
      <c r="AEA32" s="109"/>
      <c r="AEB32" s="109"/>
      <c r="AEC32" s="109"/>
      <c r="AED32" s="109"/>
      <c r="AEE32" s="109"/>
      <c r="AEF32" s="109"/>
      <c r="AEG32" s="109"/>
      <c r="AEH32" s="109"/>
      <c r="AEI32" s="109"/>
      <c r="AEJ32" s="109"/>
      <c r="AEK32" s="109"/>
      <c r="AEL32" s="109"/>
      <c r="AEM32" s="109"/>
      <c r="AEN32" s="109"/>
      <c r="AEO32" s="109"/>
      <c r="AEP32" s="109"/>
      <c r="AEQ32" s="109"/>
      <c r="AER32" s="109"/>
      <c r="AES32" s="109"/>
      <c r="AET32" s="109"/>
      <c r="AEU32" s="109"/>
      <c r="AEV32" s="109"/>
      <c r="AEW32" s="109"/>
      <c r="AEX32" s="109"/>
      <c r="AEY32" s="109"/>
      <c r="AEZ32" s="109"/>
      <c r="AFA32" s="109"/>
      <c r="AFB32" s="109"/>
      <c r="AFC32" s="109"/>
      <c r="AFD32" s="109"/>
      <c r="AFE32" s="109"/>
      <c r="AFF32" s="109"/>
      <c r="AFG32" s="109"/>
      <c r="AFH32" s="109"/>
      <c r="AFI32" s="109"/>
      <c r="AFJ32" s="109"/>
      <c r="AFK32" s="109"/>
      <c r="AFL32" s="109"/>
      <c r="AFM32" s="109"/>
      <c r="AFN32" s="109"/>
      <c r="AFO32" s="109"/>
      <c r="AFP32" s="109"/>
      <c r="AFQ32" s="109"/>
      <c r="AFR32" s="109"/>
      <c r="AFS32" s="109"/>
      <c r="AFT32" s="109"/>
      <c r="AFU32" s="109"/>
      <c r="AFV32" s="109"/>
      <c r="AFW32" s="109"/>
      <c r="AFX32" s="109"/>
      <c r="AFY32" s="109"/>
      <c r="AFZ32" s="109"/>
      <c r="AGA32" s="109"/>
      <c r="AGB32" s="109"/>
      <c r="AGC32" s="109"/>
      <c r="AGD32" s="109"/>
      <c r="AGE32" s="109"/>
      <c r="AGF32" s="109"/>
      <c r="AGG32" s="109"/>
      <c r="AGH32" s="109"/>
      <c r="AGI32" s="109"/>
      <c r="AGJ32" s="109"/>
      <c r="AGK32" s="109"/>
      <c r="AGL32" s="109"/>
      <c r="AGM32" s="109"/>
      <c r="AGN32" s="109"/>
      <c r="AGO32" s="109"/>
      <c r="AGP32" s="109"/>
      <c r="AGQ32" s="109"/>
      <c r="AGR32" s="109"/>
      <c r="AGS32" s="109"/>
      <c r="AGT32" s="109"/>
      <c r="AGU32" s="109"/>
      <c r="AGV32" s="109"/>
      <c r="AGW32" s="109"/>
      <c r="AGX32" s="109"/>
      <c r="AGY32" s="109"/>
      <c r="AGZ32" s="109"/>
      <c r="AHA32" s="109"/>
      <c r="AHB32" s="109"/>
      <c r="AHC32" s="109"/>
      <c r="AHD32" s="109"/>
      <c r="AHE32" s="109"/>
      <c r="AHF32" s="109"/>
      <c r="AHG32" s="109"/>
      <c r="AHH32" s="109"/>
      <c r="AHI32" s="109"/>
      <c r="AHJ32" s="109"/>
      <c r="AHK32" s="109"/>
      <c r="AHL32" s="109"/>
      <c r="AHM32" s="109"/>
      <c r="AHN32" s="109"/>
      <c r="AHO32" s="109"/>
      <c r="AHP32" s="109"/>
      <c r="AHQ32" s="109"/>
      <c r="AHR32" s="109"/>
      <c r="AHS32" s="109"/>
      <c r="AHT32" s="109"/>
      <c r="AHU32" s="109"/>
      <c r="AHV32" s="109"/>
      <c r="AHW32" s="109"/>
      <c r="AHX32" s="109"/>
      <c r="AHY32" s="109"/>
      <c r="AHZ32" s="109"/>
      <c r="AIA32" s="109"/>
      <c r="AIB32" s="109"/>
      <c r="AIC32" s="109"/>
      <c r="AID32" s="109"/>
      <c r="AIE32" s="109"/>
      <c r="AIF32" s="109"/>
      <c r="AIG32" s="109"/>
      <c r="AIH32" s="109"/>
      <c r="AII32" s="109"/>
      <c r="AIJ32" s="109"/>
      <c r="AIK32" s="109"/>
      <c r="AIL32" s="109"/>
      <c r="AIM32" s="109"/>
      <c r="AIN32" s="109"/>
      <c r="AIO32" s="109"/>
      <c r="AIP32" s="109"/>
      <c r="AIQ32" s="109"/>
      <c r="AIR32" s="109"/>
      <c r="AIS32" s="109"/>
      <c r="AIT32" s="109"/>
      <c r="AIU32" s="109"/>
      <c r="AIV32" s="109"/>
      <c r="AIW32" s="109"/>
      <c r="AIX32" s="109"/>
      <c r="AIY32" s="109"/>
      <c r="AIZ32" s="109"/>
      <c r="AJA32" s="109"/>
      <c r="AJB32" s="109"/>
      <c r="AJC32" s="109"/>
      <c r="AJD32" s="109"/>
      <c r="AJE32" s="109"/>
      <c r="AJF32" s="109"/>
      <c r="AJG32" s="109"/>
      <c r="AJH32" s="109"/>
      <c r="AJI32" s="109"/>
      <c r="AJJ32" s="109"/>
      <c r="AJK32" s="109"/>
      <c r="AJL32" s="109"/>
      <c r="AJM32" s="109"/>
      <c r="AJN32" s="109"/>
      <c r="AJO32" s="109"/>
      <c r="AJP32" s="109"/>
      <c r="AJQ32" s="109"/>
      <c r="AJR32" s="109"/>
      <c r="AJS32" s="109"/>
      <c r="AJT32" s="109"/>
      <c r="AJU32" s="109"/>
      <c r="AJV32" s="109"/>
      <c r="AJW32" s="109"/>
      <c r="AJX32" s="109"/>
      <c r="AJY32" s="109"/>
      <c r="AJZ32" s="109"/>
      <c r="AKA32" s="109"/>
      <c r="AKB32" s="109"/>
      <c r="AKC32" s="109"/>
      <c r="AKD32" s="109"/>
      <c r="AKE32" s="109"/>
      <c r="AKF32" s="109"/>
      <c r="AKG32" s="109"/>
      <c r="AKH32" s="109"/>
      <c r="AKI32" s="109"/>
      <c r="AKJ32" s="109"/>
      <c r="AKK32" s="109"/>
      <c r="AKL32" s="109"/>
      <c r="AKM32" s="109"/>
      <c r="AKN32" s="109"/>
      <c r="AKO32" s="109"/>
      <c r="AKP32" s="109"/>
      <c r="AKQ32" s="109"/>
      <c r="AKR32" s="109"/>
      <c r="AKS32" s="109"/>
      <c r="AKT32" s="109"/>
      <c r="AKU32" s="109"/>
      <c r="AKV32" s="109"/>
      <c r="AKW32" s="109"/>
      <c r="AKX32" s="109"/>
      <c r="AKY32" s="109"/>
      <c r="AKZ32" s="109"/>
      <c r="ALA32" s="109"/>
      <c r="ALB32" s="109"/>
      <c r="ALC32" s="109"/>
      <c r="ALD32" s="109"/>
      <c r="ALE32" s="109"/>
      <c r="ALF32" s="109"/>
      <c r="ALG32" s="109"/>
      <c r="ALH32" s="109"/>
      <c r="ALI32" s="109"/>
      <c r="ALJ32" s="109"/>
      <c r="ALK32" s="109"/>
      <c r="ALL32" s="109"/>
      <c r="ALM32" s="109"/>
      <c r="ALN32" s="109"/>
      <c r="ALO32" s="109"/>
      <c r="ALP32" s="109"/>
      <c r="ALQ32" s="109"/>
      <c r="ALR32" s="109"/>
      <c r="ALS32" s="109"/>
      <c r="ALT32" s="109"/>
      <c r="ALU32" s="109"/>
      <c r="ALV32" s="109"/>
      <c r="ALW32" s="109"/>
      <c r="ALX32" s="109"/>
      <c r="ALY32" s="109"/>
      <c r="ALZ32" s="109"/>
      <c r="AMA32" s="109"/>
      <c r="AMB32" s="109"/>
      <c r="AMC32" s="109"/>
      <c r="AMD32" s="109"/>
      <c r="AME32" s="109"/>
      <c r="AMF32" s="109"/>
      <c r="AMG32" s="109"/>
      <c r="AMH32" s="109"/>
      <c r="AMI32" s="109"/>
      <c r="AMJ32" s="109"/>
      <c r="AMK32" s="109"/>
      <c r="AML32" s="109"/>
      <c r="AMM32" s="109"/>
      <c r="AMN32" s="109"/>
      <c r="AMO32" s="109"/>
      <c r="AMP32" s="109"/>
      <c r="AMQ32" s="109"/>
      <c r="AMR32" s="109"/>
      <c r="AMS32" s="109"/>
      <c r="AMT32" s="109"/>
      <c r="AMU32" s="109"/>
      <c r="AMV32" s="109"/>
      <c r="AMW32" s="109"/>
      <c r="AMX32" s="109"/>
      <c r="AMY32" s="109"/>
      <c r="AMZ32" s="109"/>
      <c r="ANA32" s="109"/>
      <c r="ANB32" s="109"/>
      <c r="ANC32" s="109"/>
      <c r="AND32" s="109"/>
      <c r="ANE32" s="109"/>
      <c r="ANF32" s="109"/>
      <c r="ANG32" s="109"/>
      <c r="ANH32" s="109"/>
      <c r="ANI32" s="109"/>
      <c r="ANJ32" s="109"/>
      <c r="ANK32" s="109"/>
      <c r="ANL32" s="109"/>
      <c r="ANM32" s="109"/>
      <c r="ANN32" s="109"/>
      <c r="ANO32" s="109"/>
      <c r="ANP32" s="109"/>
      <c r="ANQ32" s="109"/>
      <c r="ANR32" s="109"/>
      <c r="ANS32" s="109"/>
      <c r="ANT32" s="109"/>
      <c r="ANU32" s="109"/>
      <c r="ANV32" s="109"/>
      <c r="ANW32" s="109"/>
      <c r="ANX32" s="109"/>
      <c r="ANY32" s="109"/>
      <c r="ANZ32" s="109"/>
      <c r="AOA32" s="109"/>
      <c r="AOB32" s="109"/>
      <c r="AOC32" s="109"/>
      <c r="AOD32" s="109"/>
      <c r="AOE32" s="109"/>
      <c r="AOF32" s="109"/>
      <c r="AOG32" s="109"/>
      <c r="AOH32" s="109"/>
      <c r="AOI32" s="109"/>
      <c r="AOJ32" s="109"/>
      <c r="AOK32" s="109"/>
      <c r="AOL32" s="109"/>
      <c r="AOM32" s="109"/>
      <c r="AON32" s="109"/>
      <c r="AOO32" s="109"/>
      <c r="AOP32" s="109"/>
      <c r="AOQ32" s="109"/>
      <c r="AOR32" s="109"/>
      <c r="AOS32" s="109"/>
      <c r="AOT32" s="109"/>
      <c r="AOU32" s="109"/>
      <c r="AOV32" s="109"/>
      <c r="AOW32" s="109"/>
      <c r="AOX32" s="109"/>
      <c r="AOY32" s="109"/>
      <c r="AOZ32" s="109"/>
      <c r="APA32" s="109"/>
      <c r="APB32" s="109"/>
      <c r="APC32" s="109"/>
      <c r="APD32" s="109"/>
      <c r="APE32" s="109"/>
      <c r="APF32" s="109"/>
      <c r="APG32" s="109"/>
      <c r="APH32" s="109"/>
      <c r="API32" s="109"/>
      <c r="APJ32" s="109"/>
      <c r="APK32" s="109"/>
      <c r="APL32" s="109"/>
      <c r="APM32" s="109"/>
      <c r="APN32" s="109"/>
      <c r="APO32" s="109"/>
      <c r="APP32" s="109"/>
      <c r="APQ32" s="109"/>
      <c r="APR32" s="109"/>
      <c r="APS32" s="109"/>
      <c r="APT32" s="109"/>
      <c r="APU32" s="109"/>
      <c r="APV32" s="109"/>
      <c r="APW32" s="109"/>
      <c r="APX32" s="109"/>
      <c r="APY32" s="109"/>
      <c r="APZ32" s="109"/>
      <c r="AQA32" s="109"/>
      <c r="AQB32" s="109"/>
      <c r="AQC32" s="109"/>
      <c r="AQD32" s="109"/>
      <c r="AQE32" s="109"/>
      <c r="AQF32" s="109"/>
      <c r="AQG32" s="109"/>
      <c r="AQH32" s="109"/>
      <c r="AQI32" s="109"/>
      <c r="AQJ32" s="109"/>
      <c r="AQK32" s="109"/>
      <c r="AQL32" s="109"/>
      <c r="AQM32" s="109"/>
      <c r="AQN32" s="109"/>
      <c r="AQO32" s="109"/>
      <c r="AQP32" s="109"/>
      <c r="AQQ32" s="109"/>
      <c r="AQR32" s="109"/>
      <c r="AQS32" s="109"/>
      <c r="AQT32" s="109"/>
      <c r="AQU32" s="109"/>
      <c r="AQV32" s="109"/>
      <c r="AQW32" s="109"/>
      <c r="AQX32" s="109"/>
      <c r="AQY32" s="109"/>
      <c r="AQZ32" s="109"/>
      <c r="ARA32" s="109"/>
      <c r="ARB32" s="109"/>
      <c r="ARC32" s="109"/>
      <c r="ARD32" s="109"/>
      <c r="ARE32" s="109"/>
      <c r="ARF32" s="109"/>
      <c r="ARG32" s="109"/>
      <c r="ARH32" s="109"/>
      <c r="ARI32" s="109"/>
      <c r="ARJ32" s="109"/>
      <c r="ARK32" s="109"/>
      <c r="ARL32" s="109"/>
      <c r="ARM32" s="109"/>
      <c r="ARN32" s="109"/>
      <c r="ARO32" s="109"/>
      <c r="ARP32" s="109"/>
      <c r="ARQ32" s="109"/>
      <c r="ARR32" s="109"/>
      <c r="ARS32" s="109"/>
      <c r="ART32" s="109"/>
      <c r="ARU32" s="109"/>
      <c r="ARV32" s="109"/>
      <c r="ARW32" s="109"/>
      <c r="ARX32" s="109"/>
      <c r="ARY32" s="109"/>
      <c r="ARZ32" s="109"/>
      <c r="ASA32" s="109"/>
      <c r="ASB32" s="109"/>
      <c r="ASC32" s="109"/>
      <c r="ASD32" s="109"/>
      <c r="ASE32" s="109"/>
      <c r="ASF32" s="109"/>
      <c r="ASG32" s="109"/>
      <c r="ASH32" s="109"/>
      <c r="ASI32" s="109"/>
      <c r="ASJ32" s="109"/>
      <c r="ASK32" s="109"/>
      <c r="ASL32" s="109"/>
      <c r="ASM32" s="109"/>
      <c r="ASN32" s="109"/>
      <c r="ASO32" s="109"/>
      <c r="ASP32" s="109"/>
      <c r="ASQ32" s="109"/>
      <c r="ASR32" s="109"/>
      <c r="ASS32" s="109"/>
      <c r="AST32" s="109"/>
      <c r="ASU32" s="109"/>
      <c r="ASV32" s="109"/>
      <c r="ASW32" s="109"/>
      <c r="ASX32" s="109"/>
      <c r="ASY32" s="109"/>
      <c r="ASZ32" s="109"/>
      <c r="ATA32" s="109"/>
      <c r="ATB32" s="109"/>
      <c r="ATC32" s="109"/>
      <c r="ATD32" s="109"/>
      <c r="ATE32" s="109"/>
      <c r="ATF32" s="109"/>
      <c r="ATG32" s="109"/>
      <c r="ATH32" s="109"/>
      <c r="ATI32" s="109"/>
      <c r="ATJ32" s="109"/>
      <c r="ATK32" s="109"/>
      <c r="ATL32" s="109"/>
      <c r="ATM32" s="109"/>
      <c r="ATN32" s="109"/>
      <c r="ATO32" s="109"/>
      <c r="ATP32" s="109"/>
      <c r="ATQ32" s="109"/>
      <c r="ATR32" s="109"/>
      <c r="ATS32" s="109"/>
      <c r="ATT32" s="109"/>
      <c r="ATU32" s="109"/>
      <c r="ATV32" s="109"/>
      <c r="ATW32" s="109"/>
      <c r="ATX32" s="109"/>
      <c r="ATY32" s="109"/>
      <c r="ATZ32" s="109"/>
      <c r="AUA32" s="109"/>
      <c r="AUB32" s="109"/>
      <c r="AUC32" s="109"/>
      <c r="AUD32" s="109"/>
      <c r="AUE32" s="109"/>
      <c r="AUF32" s="109"/>
      <c r="AUG32" s="109"/>
      <c r="AUH32" s="109"/>
      <c r="AUI32" s="109"/>
      <c r="AUJ32" s="109"/>
      <c r="AUK32" s="109"/>
      <c r="AUL32" s="109"/>
      <c r="AUM32" s="109"/>
      <c r="AUN32" s="109"/>
      <c r="AUO32" s="109"/>
      <c r="AUP32" s="109"/>
      <c r="AUQ32" s="109"/>
      <c r="AUR32" s="109"/>
      <c r="AUS32" s="109"/>
      <c r="AUT32" s="109"/>
      <c r="AUU32" s="109"/>
      <c r="AUV32" s="109"/>
      <c r="AUW32" s="109"/>
      <c r="AUX32" s="109"/>
      <c r="AUY32" s="109"/>
      <c r="AUZ32" s="109"/>
      <c r="AVA32" s="109"/>
      <c r="AVB32" s="109"/>
      <c r="AVC32" s="109"/>
      <c r="AVD32" s="109"/>
      <c r="AVE32" s="109"/>
      <c r="AVF32" s="109"/>
      <c r="AVG32" s="109"/>
      <c r="AVH32" s="109"/>
      <c r="AVI32" s="109"/>
      <c r="AVJ32" s="109"/>
      <c r="AVK32" s="109"/>
      <c r="AVL32" s="109"/>
      <c r="AVM32" s="109"/>
      <c r="AVN32" s="109"/>
      <c r="AVO32" s="109"/>
      <c r="AVP32" s="109"/>
      <c r="AVQ32" s="109"/>
      <c r="AVR32" s="109"/>
      <c r="AVS32" s="109"/>
      <c r="AVT32" s="109"/>
      <c r="AVU32" s="109"/>
      <c r="AVV32" s="109"/>
      <c r="AVW32" s="109"/>
      <c r="AVX32" s="109"/>
      <c r="AVY32" s="109"/>
      <c r="AVZ32" s="109"/>
      <c r="AWA32" s="109"/>
      <c r="AWB32" s="109"/>
      <c r="AWC32" s="109"/>
      <c r="AWD32" s="109"/>
      <c r="AWE32" s="109"/>
      <c r="AWF32" s="109"/>
      <c r="AWG32" s="109"/>
      <c r="AWH32" s="109"/>
      <c r="AWI32" s="109"/>
      <c r="AWJ32" s="109"/>
      <c r="AWK32" s="109"/>
      <c r="AWL32" s="109"/>
      <c r="AWM32" s="109"/>
      <c r="AWN32" s="109"/>
      <c r="AWO32" s="109"/>
      <c r="AWP32" s="109"/>
      <c r="AWQ32" s="109"/>
      <c r="AWR32" s="109"/>
      <c r="AWS32" s="109"/>
      <c r="AWT32" s="109"/>
      <c r="AWU32" s="109"/>
      <c r="AWV32" s="109"/>
      <c r="AWW32" s="109"/>
      <c r="AWX32" s="109"/>
      <c r="AWY32" s="109"/>
      <c r="AWZ32" s="109"/>
      <c r="AXA32" s="109"/>
      <c r="AXB32" s="109"/>
      <c r="AXC32" s="109"/>
      <c r="AXD32" s="109"/>
      <c r="AXE32" s="109"/>
      <c r="AXF32" s="109"/>
      <c r="AXG32" s="109"/>
      <c r="AXH32" s="109"/>
      <c r="AXI32" s="109"/>
      <c r="AXJ32" s="109"/>
      <c r="AXK32" s="109"/>
      <c r="AXL32" s="109"/>
      <c r="AXM32" s="109"/>
      <c r="AXN32" s="109"/>
      <c r="AXO32" s="109"/>
      <c r="AXP32" s="109"/>
      <c r="AXQ32" s="109"/>
      <c r="AXR32" s="109"/>
      <c r="AXS32" s="109"/>
      <c r="AXT32" s="109"/>
      <c r="AXU32" s="109"/>
      <c r="AXV32" s="109"/>
      <c r="AXW32" s="109"/>
      <c r="AXX32" s="109"/>
      <c r="AXY32" s="109"/>
      <c r="AXZ32" s="109"/>
      <c r="AYA32" s="109"/>
      <c r="AYB32" s="109"/>
      <c r="AYC32" s="109"/>
      <c r="AYD32" s="109"/>
      <c r="AYE32" s="109"/>
      <c r="AYF32" s="109"/>
      <c r="AYG32" s="109"/>
      <c r="AYH32" s="109"/>
      <c r="AYI32" s="109"/>
      <c r="AYJ32" s="109"/>
      <c r="AYK32" s="109"/>
      <c r="AYL32" s="109"/>
      <c r="AYM32" s="109"/>
      <c r="AYN32" s="109"/>
      <c r="AYO32" s="109"/>
      <c r="AYP32" s="109"/>
      <c r="AYQ32" s="109"/>
      <c r="AYR32" s="109"/>
      <c r="AYS32" s="109"/>
      <c r="AYT32" s="109"/>
      <c r="AYU32" s="109"/>
      <c r="AYV32" s="109"/>
      <c r="AYW32" s="109"/>
      <c r="AYX32" s="109"/>
      <c r="AYY32" s="109"/>
      <c r="AYZ32" s="109"/>
      <c r="AZA32" s="109"/>
      <c r="AZB32" s="109"/>
      <c r="AZC32" s="109"/>
      <c r="AZD32" s="109"/>
      <c r="AZE32" s="109"/>
      <c r="AZF32" s="109"/>
      <c r="AZG32" s="109"/>
      <c r="AZH32" s="109"/>
      <c r="AZI32" s="109"/>
      <c r="AZJ32" s="109"/>
      <c r="AZK32" s="109"/>
      <c r="AZL32" s="109"/>
      <c r="AZM32" s="109"/>
      <c r="AZN32" s="109"/>
      <c r="AZO32" s="109"/>
      <c r="AZP32" s="109"/>
      <c r="AZQ32" s="109"/>
      <c r="AZR32" s="109"/>
      <c r="AZS32" s="109"/>
      <c r="AZT32" s="109"/>
      <c r="AZU32" s="109"/>
      <c r="AZV32" s="109"/>
      <c r="AZW32" s="109"/>
      <c r="AZX32" s="109"/>
      <c r="AZY32" s="109"/>
      <c r="AZZ32" s="109"/>
      <c r="BAA32" s="109"/>
      <c r="BAB32" s="109"/>
      <c r="BAC32" s="109"/>
      <c r="BAD32" s="109"/>
      <c r="BAE32" s="109"/>
      <c r="BAF32" s="109"/>
      <c r="BAG32" s="109"/>
      <c r="BAH32" s="109"/>
      <c r="BAI32" s="109"/>
      <c r="BAJ32" s="109"/>
      <c r="BAK32" s="109"/>
      <c r="BAL32" s="109"/>
      <c r="BAM32" s="109"/>
      <c r="BAN32" s="109"/>
      <c r="BAO32" s="109"/>
      <c r="BAP32" s="109"/>
      <c r="BAQ32" s="109"/>
      <c r="BAR32" s="109"/>
      <c r="BAS32" s="109"/>
      <c r="BAT32" s="109"/>
      <c r="BAU32" s="109"/>
      <c r="BAV32" s="109"/>
      <c r="BAW32" s="109"/>
      <c r="BAX32" s="109"/>
      <c r="BAY32" s="109"/>
      <c r="BAZ32" s="109"/>
      <c r="BBA32" s="109"/>
      <c r="BBB32" s="109"/>
      <c r="BBC32" s="109"/>
      <c r="BBD32" s="109"/>
      <c r="BBE32" s="109"/>
      <c r="BBF32" s="109"/>
      <c r="BBG32" s="109"/>
      <c r="BBH32" s="109"/>
      <c r="BBI32" s="109"/>
      <c r="BBJ32" s="109"/>
      <c r="BBK32" s="109"/>
      <c r="BBL32" s="109"/>
      <c r="BBM32" s="109"/>
      <c r="BBN32" s="109"/>
      <c r="BBO32" s="109"/>
      <c r="BBP32" s="109"/>
      <c r="BBQ32" s="109"/>
      <c r="BBR32" s="109"/>
      <c r="BBS32" s="109"/>
      <c r="BBT32" s="109"/>
      <c r="BBU32" s="109"/>
      <c r="BBV32" s="109"/>
      <c r="BBW32" s="109"/>
      <c r="BBX32" s="109"/>
      <c r="BBY32" s="109"/>
      <c r="BBZ32" s="109"/>
      <c r="BCA32" s="109"/>
      <c r="BCB32" s="109"/>
      <c r="BCC32" s="109"/>
      <c r="BCD32" s="109"/>
      <c r="BCE32" s="109"/>
      <c r="BCF32" s="109"/>
      <c r="BCG32" s="109"/>
      <c r="BCH32" s="109"/>
      <c r="BCI32" s="109"/>
      <c r="BCJ32" s="109"/>
      <c r="BCK32" s="109"/>
      <c r="BCL32" s="109"/>
      <c r="BCM32" s="109"/>
      <c r="BCN32" s="109"/>
      <c r="BCO32" s="109"/>
      <c r="BCP32" s="109"/>
      <c r="BCQ32" s="109"/>
      <c r="BCR32" s="109"/>
      <c r="BCS32" s="109"/>
      <c r="BCT32" s="109"/>
      <c r="BCU32" s="109"/>
      <c r="BCV32" s="109"/>
      <c r="BCW32" s="109"/>
      <c r="BCX32" s="109"/>
      <c r="BCY32" s="109"/>
      <c r="BCZ32" s="109"/>
      <c r="BDA32" s="109"/>
      <c r="BDB32" s="109"/>
      <c r="BDC32" s="109"/>
      <c r="BDD32" s="109"/>
      <c r="BDE32" s="109"/>
      <c r="BDF32" s="109"/>
      <c r="BDG32" s="109"/>
      <c r="BDH32" s="109"/>
      <c r="BDI32" s="109"/>
      <c r="BDJ32" s="109"/>
      <c r="BDK32" s="109"/>
      <c r="BDL32" s="109"/>
      <c r="BDM32" s="109"/>
      <c r="BDN32" s="109"/>
      <c r="BDO32" s="109"/>
      <c r="BDP32" s="109"/>
      <c r="BDQ32" s="109"/>
      <c r="BDR32" s="109"/>
      <c r="BDS32" s="109"/>
      <c r="BDT32" s="109"/>
      <c r="BDU32" s="109"/>
      <c r="BDV32" s="109"/>
      <c r="BDW32" s="109"/>
      <c r="BDX32" s="109"/>
      <c r="BDY32" s="109"/>
      <c r="BDZ32" s="109"/>
      <c r="BEA32" s="109"/>
      <c r="BEB32" s="109"/>
      <c r="BEC32" s="109"/>
      <c r="BED32" s="109"/>
      <c r="BEE32" s="109"/>
      <c r="BEF32" s="109"/>
      <c r="BEG32" s="109"/>
      <c r="BEH32" s="109"/>
      <c r="BEI32" s="109"/>
      <c r="BEJ32" s="109"/>
      <c r="BEK32" s="109"/>
      <c r="BEL32" s="109"/>
      <c r="BEM32" s="109"/>
      <c r="BEN32" s="109"/>
      <c r="BEO32" s="109"/>
      <c r="BEP32" s="109"/>
      <c r="BEQ32" s="109"/>
      <c r="BER32" s="109"/>
      <c r="BES32" s="109"/>
      <c r="BET32" s="109"/>
      <c r="BEU32" s="109"/>
      <c r="BEV32" s="109"/>
      <c r="BEW32" s="109"/>
      <c r="BEX32" s="109"/>
      <c r="BEY32" s="109"/>
      <c r="BEZ32" s="109"/>
      <c r="BFA32" s="109"/>
      <c r="BFB32" s="109"/>
      <c r="BFC32" s="109"/>
      <c r="BFD32" s="109"/>
      <c r="BFE32" s="109"/>
      <c r="BFF32" s="109"/>
      <c r="BFG32" s="109"/>
      <c r="BFH32" s="109"/>
      <c r="BFI32" s="109"/>
      <c r="BFJ32" s="109"/>
      <c r="BFK32" s="109"/>
      <c r="BFL32" s="109"/>
      <c r="BFM32" s="109"/>
      <c r="BFN32" s="109"/>
      <c r="BFO32" s="109"/>
      <c r="BFP32" s="109"/>
      <c r="BFQ32" s="109"/>
      <c r="BFR32" s="109"/>
      <c r="BFS32" s="109"/>
      <c r="BFT32" s="109"/>
      <c r="BFU32" s="109"/>
      <c r="BFV32" s="109"/>
      <c r="BFW32" s="109"/>
      <c r="BFX32" s="109"/>
      <c r="BFY32" s="109"/>
      <c r="BFZ32" s="109"/>
      <c r="BGA32" s="109"/>
      <c r="BGB32" s="109"/>
      <c r="BGC32" s="109"/>
      <c r="BGD32" s="109"/>
      <c r="BGE32" s="109"/>
      <c r="BGF32" s="109"/>
      <c r="BGG32" s="109"/>
      <c r="BGH32" s="109"/>
      <c r="BGI32" s="109"/>
      <c r="BGJ32" s="109"/>
      <c r="BGK32" s="109"/>
      <c r="BGL32" s="109"/>
      <c r="BGM32" s="109"/>
      <c r="BGN32" s="109"/>
      <c r="BGO32" s="109"/>
      <c r="BGP32" s="109"/>
      <c r="BGQ32" s="109"/>
      <c r="BGR32" s="109"/>
      <c r="BGS32" s="109"/>
      <c r="BGT32" s="109"/>
      <c r="BGU32" s="109"/>
      <c r="BGV32" s="109"/>
      <c r="BGW32" s="109"/>
      <c r="BGX32" s="109"/>
      <c r="BGY32" s="109"/>
      <c r="BGZ32" s="109"/>
      <c r="BHA32" s="109"/>
      <c r="BHB32" s="109"/>
      <c r="BHC32" s="109"/>
      <c r="BHD32" s="109"/>
      <c r="BHE32" s="109"/>
      <c r="BHF32" s="109"/>
      <c r="BHG32" s="109"/>
      <c r="BHH32" s="109"/>
      <c r="BHI32" s="109"/>
      <c r="BHJ32" s="109"/>
      <c r="BHK32" s="109"/>
      <c r="BHL32" s="109"/>
      <c r="BHM32" s="109"/>
      <c r="BHN32" s="109"/>
      <c r="BHO32" s="109"/>
      <c r="BHP32" s="109"/>
      <c r="BHQ32" s="109"/>
      <c r="BHR32" s="109"/>
      <c r="BHS32" s="109"/>
      <c r="BHT32" s="109"/>
      <c r="BHU32" s="109"/>
      <c r="BHV32" s="109"/>
      <c r="BHW32" s="109"/>
      <c r="BHX32" s="109"/>
      <c r="BHY32" s="109"/>
      <c r="BHZ32" s="109"/>
      <c r="BIA32" s="109"/>
      <c r="BIB32" s="109"/>
      <c r="BIC32" s="109"/>
      <c r="BID32" s="109"/>
      <c r="BIE32" s="109"/>
      <c r="BIF32" s="109"/>
      <c r="BIG32" s="109"/>
      <c r="BIH32" s="109"/>
      <c r="BII32" s="109"/>
      <c r="BIJ32" s="109"/>
      <c r="BIK32" s="109"/>
      <c r="BIL32" s="109"/>
      <c r="BIM32" s="109"/>
      <c r="BIN32" s="109"/>
      <c r="BIO32" s="109"/>
      <c r="BIP32" s="109"/>
      <c r="BIQ32" s="109"/>
      <c r="BIR32" s="109"/>
      <c r="BIS32" s="109"/>
      <c r="BIT32" s="109"/>
      <c r="BIU32" s="109"/>
      <c r="BIV32" s="109"/>
      <c r="BIW32" s="109"/>
      <c r="BIX32" s="109"/>
      <c r="BIY32" s="109"/>
      <c r="BIZ32" s="109"/>
      <c r="BJA32" s="109"/>
      <c r="BJB32" s="109"/>
      <c r="BJC32" s="109"/>
      <c r="BJD32" s="109"/>
      <c r="BJE32" s="109"/>
      <c r="BJF32" s="109"/>
      <c r="BJG32" s="109"/>
      <c r="BJH32" s="109"/>
      <c r="BJI32" s="109"/>
      <c r="BJJ32" s="109"/>
      <c r="BJK32" s="109"/>
      <c r="BJL32" s="109"/>
      <c r="BJM32" s="109"/>
      <c r="BJN32" s="109"/>
      <c r="BJO32" s="109"/>
      <c r="BJP32" s="109"/>
      <c r="BJQ32" s="109"/>
      <c r="BJR32" s="109"/>
      <c r="BJS32" s="109"/>
      <c r="BJT32" s="109"/>
      <c r="BJU32" s="109"/>
      <c r="BJV32" s="109"/>
      <c r="BJW32" s="109"/>
      <c r="BJX32" s="109"/>
      <c r="BJY32" s="109"/>
      <c r="BJZ32" s="109"/>
      <c r="BKA32" s="109"/>
      <c r="BKB32" s="109"/>
      <c r="BKC32" s="109"/>
      <c r="BKD32" s="109"/>
      <c r="BKE32" s="109"/>
      <c r="BKF32" s="109"/>
      <c r="BKG32" s="109"/>
      <c r="BKH32" s="109"/>
      <c r="BKI32" s="109"/>
      <c r="BKJ32" s="109"/>
      <c r="BKK32" s="109"/>
      <c r="BKL32" s="109"/>
      <c r="BKM32" s="109"/>
      <c r="BKN32" s="109"/>
      <c r="BKO32" s="109"/>
      <c r="BKP32" s="109"/>
      <c r="BKQ32" s="109"/>
      <c r="BKR32" s="109"/>
      <c r="BKS32" s="109"/>
      <c r="BKT32" s="109"/>
      <c r="BKU32" s="109"/>
      <c r="BKV32" s="109"/>
      <c r="BKW32" s="109"/>
      <c r="BKX32" s="109"/>
      <c r="BKY32" s="109"/>
      <c r="BKZ32" s="109"/>
      <c r="BLA32" s="109"/>
      <c r="BLB32" s="109"/>
      <c r="BLC32" s="109"/>
      <c r="BLD32" s="109"/>
      <c r="BLE32" s="109"/>
      <c r="BLF32" s="109"/>
      <c r="BLG32" s="109"/>
      <c r="BLH32" s="109"/>
      <c r="BLI32" s="109"/>
      <c r="BLJ32" s="109"/>
      <c r="BLK32" s="109"/>
      <c r="BLL32" s="109"/>
      <c r="BLM32" s="109"/>
      <c r="BLN32" s="109"/>
      <c r="BLO32" s="109"/>
      <c r="BLP32" s="109"/>
      <c r="BLQ32" s="109"/>
      <c r="BLR32" s="109"/>
      <c r="BLS32" s="109"/>
      <c r="BLT32" s="109"/>
      <c r="BLU32" s="109"/>
      <c r="BLV32" s="109"/>
      <c r="BLW32" s="109"/>
      <c r="BLX32" s="109"/>
      <c r="BLY32" s="109"/>
      <c r="BLZ32" s="109"/>
      <c r="BMA32" s="109"/>
      <c r="BMB32" s="109"/>
      <c r="BMC32" s="109"/>
      <c r="BMD32" s="109"/>
      <c r="BME32" s="109"/>
      <c r="BMF32" s="109"/>
      <c r="BMG32" s="109"/>
      <c r="BMH32" s="109"/>
      <c r="BMI32" s="109"/>
      <c r="BMJ32" s="109"/>
      <c r="BMK32" s="109"/>
      <c r="BML32" s="109"/>
      <c r="BMM32" s="109"/>
      <c r="BMN32" s="109"/>
      <c r="BMO32" s="109"/>
      <c r="BMP32" s="109"/>
      <c r="BMQ32" s="109"/>
      <c r="BMR32" s="109"/>
      <c r="BMS32" s="109"/>
      <c r="BMT32" s="109"/>
      <c r="BMU32" s="109"/>
      <c r="BMV32" s="109"/>
      <c r="BMW32" s="109"/>
      <c r="BMX32" s="109"/>
      <c r="BMY32" s="109"/>
      <c r="BMZ32" s="109"/>
      <c r="BNA32" s="109"/>
      <c r="BNB32" s="109"/>
      <c r="BNC32" s="109"/>
      <c r="BND32" s="109"/>
      <c r="BNE32" s="109"/>
      <c r="BNF32" s="109"/>
      <c r="BNG32" s="109"/>
      <c r="BNH32" s="109"/>
      <c r="BNI32" s="109"/>
      <c r="BNJ32" s="109"/>
      <c r="BNK32" s="109"/>
      <c r="BNL32" s="109"/>
      <c r="BNM32" s="109"/>
      <c r="BNN32" s="109"/>
      <c r="BNO32" s="109"/>
      <c r="BNP32" s="109"/>
      <c r="BNQ32" s="109"/>
      <c r="BNR32" s="109"/>
      <c r="BNS32" s="109"/>
      <c r="BNT32" s="109"/>
      <c r="BNU32" s="109"/>
      <c r="BNV32" s="109"/>
      <c r="BNW32" s="109"/>
      <c r="BNX32" s="109"/>
      <c r="BNY32" s="109"/>
      <c r="BNZ32" s="109"/>
      <c r="BOA32" s="109"/>
      <c r="BOB32" s="109"/>
      <c r="BOC32" s="109"/>
      <c r="BOD32" s="109"/>
      <c r="BOE32" s="109"/>
      <c r="BOF32" s="109"/>
      <c r="BOG32" s="109"/>
      <c r="BOH32" s="109"/>
      <c r="BOI32" s="109"/>
      <c r="BOJ32" s="109"/>
      <c r="BOK32" s="109"/>
      <c r="BOL32" s="109"/>
      <c r="BOM32" s="109"/>
      <c r="BON32" s="109"/>
      <c r="BOO32" s="109"/>
      <c r="BOP32" s="109"/>
      <c r="BOQ32" s="109"/>
      <c r="BOR32" s="109"/>
      <c r="BOS32" s="109"/>
      <c r="BOT32" s="109"/>
      <c r="BOU32" s="109"/>
      <c r="BOV32" s="109"/>
      <c r="BOW32" s="109"/>
      <c r="BOX32" s="109"/>
      <c r="BOY32" s="109"/>
      <c r="BOZ32" s="109"/>
      <c r="BPA32" s="109"/>
      <c r="BPB32" s="109"/>
      <c r="BPC32" s="109"/>
      <c r="BPD32" s="109"/>
      <c r="BPE32" s="109"/>
      <c r="BPF32" s="109"/>
      <c r="BPG32" s="109"/>
      <c r="BPH32" s="109"/>
      <c r="BPI32" s="109"/>
      <c r="BPJ32" s="109"/>
      <c r="BPK32" s="109"/>
      <c r="BPL32" s="109"/>
      <c r="BPM32" s="109"/>
      <c r="BPN32" s="109"/>
      <c r="BPO32" s="109"/>
      <c r="BPP32" s="109"/>
      <c r="BPQ32" s="109"/>
      <c r="BPR32" s="109"/>
      <c r="BPS32" s="109"/>
      <c r="BPT32" s="109"/>
      <c r="BPU32" s="109"/>
      <c r="BPV32" s="109"/>
      <c r="BPW32" s="109"/>
      <c r="BPX32" s="109"/>
      <c r="BPY32" s="109"/>
      <c r="BPZ32" s="109"/>
      <c r="BQA32" s="109"/>
      <c r="BQB32" s="109"/>
      <c r="BQC32" s="109"/>
      <c r="BQD32" s="109"/>
      <c r="BQE32" s="109"/>
      <c r="BQF32" s="109"/>
      <c r="BQG32" s="109"/>
      <c r="BQH32" s="109"/>
      <c r="BQI32" s="109"/>
      <c r="BQJ32" s="109"/>
      <c r="BQK32" s="109"/>
      <c r="BQL32" s="109"/>
      <c r="BQM32" s="109"/>
      <c r="BQN32" s="109"/>
      <c r="BQO32" s="109"/>
      <c r="BQP32" s="109"/>
      <c r="BQQ32" s="109"/>
      <c r="BQR32" s="109"/>
      <c r="BQS32" s="109"/>
      <c r="BQT32" s="109"/>
      <c r="BQU32" s="109"/>
      <c r="BQV32" s="109"/>
      <c r="BQW32" s="109"/>
      <c r="BQX32" s="109"/>
      <c r="BQY32" s="109"/>
      <c r="BQZ32" s="109"/>
      <c r="BRA32" s="109"/>
      <c r="BRB32" s="109"/>
      <c r="BRC32" s="109"/>
      <c r="BRD32" s="109"/>
      <c r="BRE32" s="109"/>
      <c r="BRF32" s="109"/>
      <c r="BRG32" s="109"/>
      <c r="BRH32" s="109"/>
      <c r="BRI32" s="109"/>
      <c r="BRJ32" s="109"/>
      <c r="BRK32" s="109"/>
      <c r="BRL32" s="109"/>
      <c r="BRM32" s="109"/>
      <c r="BRN32" s="109"/>
      <c r="BRO32" s="109"/>
      <c r="BRP32" s="109"/>
      <c r="BRQ32" s="109"/>
      <c r="BRR32" s="109"/>
      <c r="BRS32" s="109"/>
      <c r="BRT32" s="109"/>
      <c r="BRU32" s="109"/>
      <c r="BRV32" s="109"/>
      <c r="BRW32" s="109"/>
      <c r="BRX32" s="109"/>
      <c r="BRY32" s="109"/>
      <c r="BRZ32" s="109"/>
      <c r="BSA32" s="109"/>
      <c r="BSB32" s="109"/>
      <c r="BSC32" s="109"/>
      <c r="BSD32" s="109"/>
      <c r="BSE32" s="109"/>
      <c r="BSF32" s="109"/>
      <c r="BSG32" s="109"/>
      <c r="BSH32" s="109"/>
      <c r="BSI32" s="109"/>
      <c r="BSJ32" s="109"/>
      <c r="BSK32" s="109"/>
      <c r="BSL32" s="109"/>
      <c r="BSM32" s="109"/>
      <c r="BSN32" s="109"/>
      <c r="BSO32" s="109"/>
      <c r="BSP32" s="109"/>
      <c r="BSQ32" s="109"/>
      <c r="BSR32" s="109"/>
      <c r="BSS32" s="109"/>
      <c r="BST32" s="109"/>
      <c r="BSU32" s="109"/>
      <c r="BSV32" s="109"/>
      <c r="BSW32" s="109"/>
      <c r="BSX32" s="109"/>
      <c r="BSY32" s="109"/>
      <c r="BSZ32" s="109"/>
      <c r="BTA32" s="109"/>
      <c r="BTB32" s="109"/>
      <c r="BTC32" s="109"/>
      <c r="BTD32" s="109"/>
      <c r="BTE32" s="109"/>
      <c r="BTF32" s="109"/>
      <c r="BTG32" s="109"/>
      <c r="BTH32" s="109"/>
      <c r="BTI32" s="109"/>
      <c r="BTJ32" s="109"/>
      <c r="BTK32" s="109"/>
      <c r="BTL32" s="109"/>
      <c r="BTM32" s="109"/>
      <c r="BTN32" s="109"/>
      <c r="BTO32" s="109"/>
      <c r="BTP32" s="109"/>
      <c r="BTQ32" s="109"/>
      <c r="BTR32" s="109"/>
      <c r="BTS32" s="109"/>
      <c r="BTT32" s="109"/>
      <c r="BTU32" s="109"/>
      <c r="BTV32" s="109"/>
      <c r="BTW32" s="109"/>
      <c r="BTX32" s="109"/>
      <c r="BTY32" s="109"/>
      <c r="BTZ32" s="109"/>
      <c r="BUA32" s="109"/>
      <c r="BUB32" s="109"/>
      <c r="BUC32" s="109"/>
      <c r="BUD32" s="109"/>
      <c r="BUE32" s="109"/>
      <c r="BUF32" s="109"/>
      <c r="BUG32" s="109"/>
      <c r="BUH32" s="109"/>
      <c r="BUI32" s="109"/>
      <c r="BUJ32" s="109"/>
      <c r="BUK32" s="109"/>
      <c r="BUL32" s="109"/>
      <c r="BUM32" s="109"/>
      <c r="BUN32" s="109"/>
      <c r="BUO32" s="109"/>
      <c r="BUP32" s="109"/>
      <c r="BUQ32" s="109"/>
      <c r="BUR32" s="109"/>
      <c r="BUS32" s="109"/>
      <c r="BUT32" s="109"/>
      <c r="BUU32" s="109"/>
      <c r="BUV32" s="109"/>
      <c r="BUW32" s="109"/>
      <c r="BUX32" s="109"/>
      <c r="BUY32" s="109"/>
      <c r="BUZ32" s="109"/>
      <c r="BVA32" s="109"/>
      <c r="BVB32" s="109"/>
      <c r="BVC32" s="109"/>
      <c r="BVD32" s="109"/>
      <c r="BVE32" s="109"/>
      <c r="BVF32" s="109"/>
      <c r="BVG32" s="109"/>
      <c r="BVH32" s="109"/>
      <c r="BVI32" s="109"/>
      <c r="BVJ32" s="109"/>
      <c r="BVK32" s="109"/>
      <c r="BVL32" s="109"/>
      <c r="BVM32" s="109"/>
      <c r="BVN32" s="109"/>
      <c r="BVO32" s="109"/>
      <c r="BVP32" s="109"/>
      <c r="BVQ32" s="109"/>
      <c r="BVR32" s="109"/>
      <c r="BVS32" s="109"/>
      <c r="BVT32" s="109"/>
      <c r="BVU32" s="109"/>
      <c r="BVV32" s="109"/>
      <c r="BVW32" s="109"/>
      <c r="BVX32" s="109"/>
      <c r="BVY32" s="109"/>
      <c r="BVZ32" s="109"/>
      <c r="BWA32" s="109"/>
      <c r="BWB32" s="109"/>
      <c r="BWC32" s="109"/>
      <c r="BWD32" s="109"/>
      <c r="BWE32" s="109"/>
      <c r="BWF32" s="109"/>
      <c r="BWG32" s="109"/>
      <c r="BWH32" s="109"/>
      <c r="BWI32" s="109"/>
      <c r="BWJ32" s="109"/>
      <c r="BWK32" s="109"/>
      <c r="BWL32" s="109"/>
      <c r="BWM32" s="109"/>
      <c r="BWN32" s="109"/>
      <c r="BWO32" s="109"/>
      <c r="BWP32" s="109"/>
      <c r="BWQ32" s="109"/>
      <c r="BWR32" s="109"/>
      <c r="BWS32" s="109"/>
      <c r="BWT32" s="109"/>
      <c r="BWU32" s="109"/>
      <c r="BWV32" s="109"/>
      <c r="BWW32" s="109"/>
      <c r="BWX32" s="109"/>
      <c r="BWY32" s="109"/>
      <c r="BWZ32" s="109"/>
      <c r="BXA32" s="109"/>
      <c r="BXB32" s="109"/>
      <c r="BXC32" s="109"/>
      <c r="BXD32" s="109"/>
      <c r="BXE32" s="109"/>
      <c r="BXF32" s="109"/>
      <c r="BXG32" s="109"/>
      <c r="BXH32" s="109"/>
      <c r="BXI32" s="109"/>
      <c r="BXJ32" s="109"/>
      <c r="BXK32" s="109"/>
      <c r="BXL32" s="109"/>
      <c r="BXM32" s="109"/>
      <c r="BXN32" s="109"/>
      <c r="BXO32" s="109"/>
      <c r="BXP32" s="109"/>
      <c r="BXQ32" s="109"/>
      <c r="BXR32" s="109"/>
      <c r="BXS32" s="109"/>
      <c r="BXT32" s="109"/>
      <c r="BXU32" s="109"/>
      <c r="BXV32" s="109"/>
      <c r="BXW32" s="109"/>
      <c r="BXX32" s="109"/>
      <c r="BXY32" s="109"/>
      <c r="BXZ32" s="109"/>
      <c r="BYA32" s="109"/>
      <c r="BYB32" s="109"/>
      <c r="BYC32" s="109"/>
      <c r="BYD32" s="109"/>
      <c r="BYE32" s="109"/>
      <c r="BYF32" s="109"/>
      <c r="BYG32" s="109"/>
      <c r="BYH32" s="109"/>
      <c r="BYI32" s="109"/>
      <c r="BYJ32" s="109"/>
      <c r="BYK32" s="109"/>
      <c r="BYL32" s="109"/>
      <c r="BYM32" s="109"/>
      <c r="BYN32" s="109"/>
      <c r="BYO32" s="109"/>
      <c r="BYP32" s="109"/>
      <c r="BYQ32" s="109"/>
      <c r="BYR32" s="109"/>
      <c r="BYS32" s="109"/>
      <c r="BYT32" s="109"/>
      <c r="BYU32" s="109"/>
      <c r="BYV32" s="109"/>
      <c r="BYW32" s="109"/>
      <c r="BYX32" s="109"/>
      <c r="BYY32" s="109"/>
      <c r="BYZ32" s="109"/>
      <c r="BZA32" s="109"/>
      <c r="BZB32" s="109"/>
      <c r="BZC32" s="109"/>
      <c r="BZD32" s="109"/>
      <c r="BZE32" s="109"/>
      <c r="BZF32" s="109"/>
      <c r="BZG32" s="109"/>
      <c r="BZH32" s="109"/>
      <c r="BZI32" s="109"/>
      <c r="BZJ32" s="109"/>
      <c r="BZK32" s="109"/>
      <c r="BZL32" s="109"/>
      <c r="BZM32" s="109"/>
      <c r="BZN32" s="109"/>
      <c r="BZO32" s="109"/>
      <c r="BZP32" s="109"/>
      <c r="BZQ32" s="109"/>
      <c r="BZR32" s="109"/>
      <c r="BZS32" s="109"/>
      <c r="BZT32" s="109"/>
      <c r="BZU32" s="109"/>
      <c r="BZV32" s="109"/>
      <c r="BZW32" s="109"/>
      <c r="BZX32" s="109"/>
      <c r="BZY32" s="109"/>
      <c r="BZZ32" s="109"/>
      <c r="CAA32" s="109"/>
      <c r="CAB32" s="109"/>
      <c r="CAC32" s="109"/>
      <c r="CAD32" s="109"/>
      <c r="CAE32" s="109"/>
      <c r="CAF32" s="109"/>
      <c r="CAG32" s="109"/>
      <c r="CAH32" s="109"/>
      <c r="CAI32" s="109"/>
      <c r="CAJ32" s="109"/>
      <c r="CAK32" s="109"/>
      <c r="CAL32" s="109"/>
      <c r="CAM32" s="109"/>
      <c r="CAN32" s="109"/>
      <c r="CAO32" s="109"/>
      <c r="CAP32" s="109"/>
      <c r="CAQ32" s="109"/>
      <c r="CAR32" s="109"/>
      <c r="CAS32" s="109"/>
      <c r="CAT32" s="109"/>
      <c r="CAU32" s="109"/>
      <c r="CAV32" s="109"/>
      <c r="CAW32" s="109"/>
      <c r="CAX32" s="109"/>
      <c r="CAY32" s="109"/>
      <c r="CAZ32" s="109"/>
      <c r="CBA32" s="109"/>
      <c r="CBB32" s="109"/>
      <c r="CBC32" s="109"/>
      <c r="CBD32" s="109"/>
      <c r="CBE32" s="109"/>
      <c r="CBF32" s="109"/>
      <c r="CBG32" s="109"/>
      <c r="CBH32" s="109"/>
      <c r="CBI32" s="109"/>
      <c r="CBJ32" s="109"/>
      <c r="CBK32" s="109"/>
      <c r="CBL32" s="109"/>
      <c r="CBM32" s="109"/>
      <c r="CBN32" s="109"/>
      <c r="CBO32" s="109"/>
      <c r="CBP32" s="109"/>
      <c r="CBQ32" s="109"/>
      <c r="CBR32" s="109"/>
      <c r="CBS32" s="109"/>
      <c r="CBT32" s="109"/>
      <c r="CBU32" s="109"/>
      <c r="CBV32" s="109"/>
      <c r="CBW32" s="109"/>
      <c r="CBX32" s="109"/>
      <c r="CBY32" s="109"/>
      <c r="CBZ32" s="109"/>
      <c r="CCA32" s="109"/>
      <c r="CCB32" s="109"/>
      <c r="CCC32" s="109"/>
      <c r="CCD32" s="109"/>
      <c r="CCE32" s="109"/>
      <c r="CCF32" s="109"/>
      <c r="CCG32" s="109"/>
      <c r="CCH32" s="109"/>
      <c r="CCI32" s="109"/>
      <c r="CCJ32" s="109"/>
      <c r="CCK32" s="109"/>
      <c r="CCL32" s="109"/>
      <c r="CCM32" s="109"/>
      <c r="CCN32" s="109"/>
      <c r="CCO32" s="109"/>
      <c r="CCP32" s="109"/>
      <c r="CCQ32" s="109"/>
      <c r="CCR32" s="109"/>
      <c r="CCS32" s="109"/>
      <c r="CCT32" s="109"/>
      <c r="CCU32" s="109"/>
      <c r="CCV32" s="109"/>
      <c r="CCW32" s="109"/>
      <c r="CCX32" s="109"/>
      <c r="CCY32" s="109"/>
      <c r="CCZ32" s="109"/>
      <c r="CDA32" s="109"/>
      <c r="CDB32" s="109"/>
      <c r="CDC32" s="109"/>
      <c r="CDD32" s="109"/>
      <c r="CDE32" s="109"/>
      <c r="CDF32" s="109"/>
      <c r="CDG32" s="109"/>
      <c r="CDH32" s="109"/>
      <c r="CDI32" s="109"/>
      <c r="CDJ32" s="109"/>
      <c r="CDK32" s="109"/>
      <c r="CDL32" s="109"/>
      <c r="CDM32" s="109"/>
      <c r="CDN32" s="109"/>
      <c r="CDO32" s="109"/>
      <c r="CDP32" s="109"/>
      <c r="CDQ32" s="109"/>
      <c r="CDR32" s="109"/>
      <c r="CDS32" s="109"/>
      <c r="CDT32" s="109"/>
      <c r="CDU32" s="109"/>
      <c r="CDV32" s="109"/>
      <c r="CDW32" s="109"/>
      <c r="CDX32" s="109"/>
      <c r="CDY32" s="109"/>
      <c r="CDZ32" s="109"/>
      <c r="CEA32" s="109"/>
      <c r="CEB32" s="109"/>
      <c r="CEC32" s="109"/>
      <c r="CED32" s="109"/>
      <c r="CEE32" s="109"/>
      <c r="CEF32" s="109"/>
      <c r="CEG32" s="109"/>
      <c r="CEH32" s="109"/>
      <c r="CEI32" s="109"/>
      <c r="CEJ32" s="109"/>
      <c r="CEK32" s="109"/>
      <c r="CEL32" s="109"/>
      <c r="CEM32" s="109"/>
      <c r="CEN32" s="109"/>
      <c r="CEO32" s="109"/>
      <c r="CEP32" s="109"/>
      <c r="CEQ32" s="109"/>
      <c r="CER32" s="109"/>
      <c r="CES32" s="109"/>
      <c r="CET32" s="109"/>
      <c r="CEU32" s="109"/>
      <c r="CEV32" s="109"/>
      <c r="CEW32" s="109"/>
      <c r="CEX32" s="109"/>
      <c r="CEY32" s="109"/>
      <c r="CEZ32" s="109"/>
      <c r="CFA32" s="109"/>
      <c r="CFB32" s="109"/>
      <c r="CFC32" s="109"/>
      <c r="CFD32" s="109"/>
      <c r="CFE32" s="109"/>
      <c r="CFF32" s="109"/>
      <c r="CFG32" s="109"/>
      <c r="CFH32" s="109"/>
      <c r="CFI32" s="109"/>
      <c r="CFJ32" s="109"/>
      <c r="CFK32" s="109"/>
      <c r="CFL32" s="109"/>
      <c r="CFM32" s="109"/>
      <c r="CFN32" s="109"/>
      <c r="CFO32" s="109"/>
      <c r="CFP32" s="109"/>
      <c r="CFQ32" s="109"/>
      <c r="CFR32" s="109"/>
      <c r="CFS32" s="109"/>
      <c r="CFT32" s="109"/>
      <c r="CFU32" s="109"/>
      <c r="CFV32" s="109"/>
      <c r="CFW32" s="109"/>
      <c r="CFX32" s="109"/>
      <c r="CFY32" s="109"/>
      <c r="CFZ32" s="109"/>
      <c r="CGA32" s="109"/>
      <c r="CGB32" s="109"/>
      <c r="CGC32" s="109"/>
      <c r="CGD32" s="109"/>
      <c r="CGE32" s="109"/>
      <c r="CGF32" s="109"/>
      <c r="CGG32" s="109"/>
      <c r="CGH32" s="109"/>
      <c r="CGI32" s="109"/>
      <c r="CGJ32" s="109"/>
      <c r="CGK32" s="109"/>
      <c r="CGL32" s="109"/>
      <c r="CGM32" s="109"/>
      <c r="CGN32" s="109"/>
      <c r="CGO32" s="109"/>
      <c r="CGP32" s="109"/>
      <c r="CGQ32" s="109"/>
      <c r="CGR32" s="109"/>
      <c r="CGS32" s="109"/>
      <c r="CGT32" s="109"/>
      <c r="CGU32" s="109"/>
      <c r="CGV32" s="109"/>
      <c r="CGW32" s="109"/>
      <c r="CGX32" s="109"/>
      <c r="CGY32" s="109"/>
      <c r="CGZ32" s="109"/>
      <c r="CHA32" s="109"/>
      <c r="CHB32" s="109"/>
      <c r="CHC32" s="109"/>
      <c r="CHD32" s="109"/>
      <c r="CHE32" s="109"/>
      <c r="CHF32" s="109"/>
      <c r="CHG32" s="109"/>
      <c r="CHH32" s="109"/>
      <c r="CHI32" s="109"/>
      <c r="CHJ32" s="109"/>
      <c r="CHK32" s="109"/>
      <c r="CHL32" s="109"/>
      <c r="CHM32" s="109"/>
      <c r="CHN32" s="109"/>
      <c r="CHO32" s="109"/>
      <c r="CHP32" s="109"/>
      <c r="CHQ32" s="109"/>
      <c r="CHR32" s="109"/>
      <c r="CHS32" s="109"/>
      <c r="CHT32" s="109"/>
      <c r="CHU32" s="109"/>
      <c r="CHV32" s="109"/>
      <c r="CHW32" s="109"/>
      <c r="CHX32" s="109"/>
      <c r="CHY32" s="109"/>
      <c r="CHZ32" s="109"/>
      <c r="CIA32" s="109"/>
      <c r="CIB32" s="109"/>
      <c r="CIC32" s="109"/>
      <c r="CID32" s="109"/>
      <c r="CIE32" s="109"/>
      <c r="CIF32" s="109"/>
      <c r="CIG32" s="109"/>
      <c r="CIH32" s="109"/>
      <c r="CII32" s="109"/>
      <c r="CIJ32" s="109"/>
      <c r="CIK32" s="109"/>
      <c r="CIL32" s="109"/>
      <c r="CIM32" s="109"/>
      <c r="CIN32" s="109"/>
      <c r="CIO32" s="109"/>
      <c r="CIP32" s="109"/>
      <c r="CIQ32" s="109"/>
      <c r="CIR32" s="109"/>
      <c r="CIS32" s="109"/>
      <c r="CIT32" s="109"/>
      <c r="CIU32" s="109"/>
      <c r="CIV32" s="109"/>
      <c r="CIW32" s="109"/>
      <c r="CIX32" s="109"/>
      <c r="CIY32" s="109"/>
      <c r="CIZ32" s="109"/>
      <c r="CJA32" s="109"/>
      <c r="CJB32" s="109"/>
      <c r="CJC32" s="109"/>
      <c r="CJD32" s="109"/>
      <c r="CJE32" s="109"/>
      <c r="CJF32" s="109"/>
      <c r="CJG32" s="109"/>
      <c r="CJH32" s="109"/>
      <c r="CJI32" s="109"/>
      <c r="CJJ32" s="109"/>
      <c r="CJK32" s="109"/>
      <c r="CJL32" s="109"/>
      <c r="CJM32" s="109"/>
      <c r="CJN32" s="109"/>
      <c r="CJO32" s="109"/>
      <c r="CJP32" s="109"/>
      <c r="CJQ32" s="109"/>
      <c r="CJR32" s="109"/>
      <c r="CJS32" s="109"/>
      <c r="CJT32" s="109"/>
      <c r="CJU32" s="109"/>
      <c r="CJV32" s="109"/>
      <c r="CJW32" s="109"/>
      <c r="CJX32" s="109"/>
      <c r="CJY32" s="109"/>
      <c r="CJZ32" s="109"/>
      <c r="CKA32" s="109"/>
      <c r="CKB32" s="109"/>
      <c r="CKC32" s="109"/>
      <c r="CKD32" s="109"/>
      <c r="CKE32" s="109"/>
      <c r="CKF32" s="109"/>
      <c r="CKG32" s="109"/>
      <c r="CKH32" s="109"/>
      <c r="CKI32" s="109"/>
      <c r="CKJ32" s="109"/>
      <c r="CKK32" s="109"/>
      <c r="CKL32" s="109"/>
      <c r="CKM32" s="109"/>
      <c r="CKN32" s="109"/>
      <c r="CKO32" s="109"/>
      <c r="CKP32" s="109"/>
      <c r="CKQ32" s="109"/>
      <c r="CKR32" s="109"/>
      <c r="CKS32" s="109"/>
      <c r="CKT32" s="109"/>
      <c r="CKU32" s="109"/>
      <c r="CKV32" s="109"/>
      <c r="CKW32" s="109"/>
      <c r="CKX32" s="109"/>
      <c r="CKY32" s="109"/>
      <c r="CKZ32" s="109"/>
      <c r="CLA32" s="109"/>
      <c r="CLB32" s="109"/>
      <c r="CLC32" s="109"/>
      <c r="CLD32" s="109"/>
      <c r="CLE32" s="109"/>
      <c r="CLF32" s="109"/>
      <c r="CLG32" s="109"/>
      <c r="CLH32" s="109"/>
      <c r="CLI32" s="109"/>
      <c r="CLJ32" s="109"/>
      <c r="CLK32" s="109"/>
      <c r="CLL32" s="109"/>
      <c r="CLM32" s="109"/>
      <c r="CLN32" s="109"/>
      <c r="CLO32" s="109"/>
      <c r="CLP32" s="109"/>
      <c r="CLQ32" s="109"/>
      <c r="CLR32" s="109"/>
      <c r="CLS32" s="109"/>
      <c r="CLT32" s="109"/>
      <c r="CLU32" s="109"/>
      <c r="CLV32" s="109"/>
      <c r="CLW32" s="109"/>
      <c r="CLX32" s="109"/>
      <c r="CLY32" s="109"/>
      <c r="CLZ32" s="109"/>
      <c r="CMA32" s="109"/>
      <c r="CMB32" s="109"/>
      <c r="CMC32" s="109"/>
      <c r="CMD32" s="109"/>
      <c r="CME32" s="109"/>
      <c r="CMF32" s="109"/>
      <c r="CMG32" s="109"/>
      <c r="CMH32" s="109"/>
      <c r="CMI32" s="109"/>
      <c r="CMJ32" s="109"/>
      <c r="CMK32" s="109"/>
      <c r="CML32" s="109"/>
      <c r="CMM32" s="109"/>
      <c r="CMN32" s="109"/>
      <c r="CMO32" s="109"/>
      <c r="CMP32" s="109"/>
      <c r="CMQ32" s="109"/>
      <c r="CMR32" s="109"/>
      <c r="CMS32" s="109"/>
      <c r="CMT32" s="109"/>
      <c r="CMU32" s="109"/>
      <c r="CMV32" s="109"/>
      <c r="CMW32" s="109"/>
      <c r="CMX32" s="109"/>
      <c r="CMY32" s="109"/>
      <c r="CMZ32" s="109"/>
      <c r="CNA32" s="109"/>
      <c r="CNB32" s="109"/>
      <c r="CNC32" s="109"/>
      <c r="CND32" s="109"/>
      <c r="CNE32" s="109"/>
      <c r="CNF32" s="109"/>
      <c r="CNG32" s="109"/>
      <c r="CNH32" s="109"/>
      <c r="CNI32" s="109"/>
      <c r="CNJ32" s="109"/>
      <c r="CNK32" s="109"/>
      <c r="CNL32" s="109"/>
      <c r="CNM32" s="109"/>
      <c r="CNN32" s="109"/>
      <c r="CNO32" s="109"/>
      <c r="CNP32" s="109"/>
      <c r="CNQ32" s="109"/>
      <c r="CNR32" s="109"/>
      <c r="CNS32" s="109"/>
      <c r="CNT32" s="109"/>
      <c r="CNU32" s="109"/>
      <c r="CNV32" s="109"/>
      <c r="CNW32" s="109"/>
      <c r="CNX32" s="109"/>
      <c r="CNY32" s="109"/>
      <c r="CNZ32" s="109"/>
      <c r="COA32" s="109"/>
      <c r="COB32" s="109"/>
      <c r="COC32" s="109"/>
      <c r="COD32" s="109"/>
      <c r="COE32" s="109"/>
      <c r="COF32" s="109"/>
      <c r="COG32" s="109"/>
      <c r="COH32" s="109"/>
      <c r="COI32" s="109"/>
      <c r="COJ32" s="109"/>
      <c r="COK32" s="109"/>
      <c r="COL32" s="109"/>
      <c r="COM32" s="109"/>
      <c r="CON32" s="109"/>
      <c r="COO32" s="109"/>
      <c r="COP32" s="109"/>
      <c r="COQ32" s="109"/>
      <c r="COR32" s="109"/>
      <c r="COS32" s="109"/>
      <c r="COT32" s="109"/>
      <c r="COU32" s="109"/>
      <c r="COV32" s="109"/>
      <c r="COW32" s="109"/>
      <c r="COX32" s="109"/>
      <c r="COY32" s="109"/>
      <c r="COZ32" s="109"/>
      <c r="CPA32" s="109"/>
      <c r="CPB32" s="109"/>
      <c r="CPC32" s="109"/>
      <c r="CPD32" s="109"/>
      <c r="CPE32" s="109"/>
      <c r="CPF32" s="109"/>
      <c r="CPG32" s="109"/>
      <c r="CPH32" s="109"/>
      <c r="CPI32" s="109"/>
      <c r="CPJ32" s="109"/>
      <c r="CPK32" s="109"/>
      <c r="CPL32" s="109"/>
      <c r="CPM32" s="109"/>
      <c r="CPN32" s="109"/>
      <c r="CPO32" s="109"/>
      <c r="CPP32" s="109"/>
      <c r="CPQ32" s="109"/>
      <c r="CPR32" s="109"/>
      <c r="CPS32" s="109"/>
      <c r="CPT32" s="109"/>
      <c r="CPU32" s="109"/>
      <c r="CPV32" s="109"/>
      <c r="CPW32" s="109"/>
      <c r="CPX32" s="109"/>
      <c r="CPY32" s="109"/>
      <c r="CPZ32" s="109"/>
      <c r="CQA32" s="109"/>
      <c r="CQB32" s="109"/>
      <c r="CQC32" s="109"/>
      <c r="CQD32" s="109"/>
      <c r="CQE32" s="109"/>
      <c r="CQF32" s="109"/>
      <c r="CQG32" s="109"/>
      <c r="CQH32" s="109"/>
      <c r="CQI32" s="109"/>
      <c r="CQJ32" s="109"/>
      <c r="CQK32" s="109"/>
      <c r="CQL32" s="109"/>
      <c r="CQM32" s="109"/>
      <c r="CQN32" s="109"/>
      <c r="CQO32" s="109"/>
      <c r="CQP32" s="109"/>
      <c r="CQQ32" s="109"/>
      <c r="CQR32" s="109"/>
      <c r="CQS32" s="109"/>
      <c r="CQT32" s="109"/>
      <c r="CQU32" s="109"/>
      <c r="CQV32" s="109"/>
      <c r="CQW32" s="109"/>
      <c r="CQX32" s="109"/>
      <c r="CQY32" s="109"/>
      <c r="CQZ32" s="109"/>
      <c r="CRA32" s="109"/>
      <c r="CRB32" s="109"/>
      <c r="CRC32" s="109"/>
      <c r="CRD32" s="109"/>
      <c r="CRE32" s="109"/>
      <c r="CRF32" s="109"/>
      <c r="CRG32" s="109"/>
      <c r="CRH32" s="109"/>
      <c r="CRI32" s="109"/>
      <c r="CRJ32" s="109"/>
      <c r="CRK32" s="109"/>
      <c r="CRL32" s="109"/>
      <c r="CRM32" s="109"/>
      <c r="CRN32" s="109"/>
      <c r="CRO32" s="109"/>
      <c r="CRP32" s="109"/>
      <c r="CRQ32" s="109"/>
      <c r="CRR32" s="109"/>
      <c r="CRS32" s="109"/>
      <c r="CRT32" s="109"/>
      <c r="CRU32" s="109"/>
      <c r="CRV32" s="109"/>
      <c r="CRW32" s="109"/>
      <c r="CRX32" s="109"/>
      <c r="CRY32" s="109"/>
      <c r="CRZ32" s="109"/>
      <c r="CSA32" s="109"/>
      <c r="CSB32" s="109"/>
      <c r="CSC32" s="109"/>
      <c r="CSD32" s="109"/>
      <c r="CSE32" s="109"/>
      <c r="CSF32" s="109"/>
      <c r="CSG32" s="109"/>
      <c r="CSH32" s="109"/>
      <c r="CSI32" s="109"/>
      <c r="CSJ32" s="109"/>
      <c r="CSK32" s="109"/>
      <c r="CSL32" s="109"/>
      <c r="CSM32" s="109"/>
      <c r="CSN32" s="109"/>
      <c r="CSO32" s="109"/>
      <c r="CSP32" s="109"/>
      <c r="CSQ32" s="109"/>
      <c r="CSR32" s="109"/>
      <c r="CSS32" s="109"/>
      <c r="CST32" s="109"/>
      <c r="CSU32" s="109"/>
      <c r="CSV32" s="109"/>
      <c r="CSW32" s="109"/>
      <c r="CSX32" s="109"/>
      <c r="CSY32" s="109"/>
      <c r="CSZ32" s="109"/>
      <c r="CTA32" s="109"/>
      <c r="CTB32" s="109"/>
      <c r="CTC32" s="109"/>
      <c r="CTD32" s="109"/>
      <c r="CTE32" s="109"/>
      <c r="CTF32" s="109"/>
      <c r="CTG32" s="109"/>
      <c r="CTH32" s="109"/>
      <c r="CTI32" s="109"/>
      <c r="CTJ32" s="109"/>
      <c r="CTK32" s="109"/>
      <c r="CTL32" s="109"/>
      <c r="CTM32" s="109"/>
      <c r="CTN32" s="109"/>
      <c r="CTO32" s="109"/>
      <c r="CTP32" s="109"/>
      <c r="CTQ32" s="109"/>
      <c r="CTR32" s="109"/>
      <c r="CTS32" s="109"/>
      <c r="CTT32" s="109"/>
      <c r="CTU32" s="109"/>
      <c r="CTV32" s="109"/>
      <c r="CTW32" s="109"/>
      <c r="CTX32" s="109"/>
      <c r="CTY32" s="109"/>
      <c r="CTZ32" s="109"/>
      <c r="CUA32" s="109"/>
      <c r="CUB32" s="109"/>
      <c r="CUC32" s="109"/>
      <c r="CUD32" s="109"/>
      <c r="CUE32" s="109"/>
      <c r="CUF32" s="109"/>
      <c r="CUG32" s="109"/>
      <c r="CUH32" s="109"/>
      <c r="CUI32" s="109"/>
      <c r="CUJ32" s="109"/>
      <c r="CUK32" s="109"/>
      <c r="CUL32" s="109"/>
      <c r="CUM32" s="109"/>
      <c r="CUN32" s="109"/>
      <c r="CUO32" s="109"/>
      <c r="CUP32" s="109"/>
      <c r="CUQ32" s="109"/>
      <c r="CUR32" s="109"/>
      <c r="CUS32" s="109"/>
      <c r="CUT32" s="109"/>
      <c r="CUU32" s="109"/>
      <c r="CUV32" s="109"/>
      <c r="CUW32" s="109"/>
      <c r="CUX32" s="109"/>
      <c r="CUY32" s="109"/>
      <c r="CUZ32" s="109"/>
      <c r="CVA32" s="109"/>
      <c r="CVB32" s="109"/>
      <c r="CVC32" s="109"/>
      <c r="CVD32" s="109"/>
      <c r="CVE32" s="109"/>
      <c r="CVF32" s="109"/>
      <c r="CVG32" s="109"/>
      <c r="CVH32" s="109"/>
      <c r="CVI32" s="109"/>
      <c r="CVJ32" s="109"/>
      <c r="CVK32" s="109"/>
      <c r="CVL32" s="109"/>
      <c r="CVM32" s="109"/>
      <c r="CVN32" s="109"/>
      <c r="CVO32" s="109"/>
      <c r="CVP32" s="109"/>
      <c r="CVQ32" s="109"/>
      <c r="CVR32" s="109"/>
      <c r="CVS32" s="109"/>
      <c r="CVT32" s="109"/>
      <c r="CVU32" s="109"/>
      <c r="CVV32" s="109"/>
      <c r="CVW32" s="109"/>
      <c r="CVX32" s="109"/>
      <c r="CVY32" s="109"/>
      <c r="CVZ32" s="109"/>
      <c r="CWA32" s="109"/>
      <c r="CWB32" s="109"/>
      <c r="CWC32" s="109"/>
      <c r="CWD32" s="109"/>
      <c r="CWE32" s="109"/>
      <c r="CWF32" s="109"/>
      <c r="CWG32" s="109"/>
      <c r="CWH32" s="109"/>
      <c r="CWI32" s="109"/>
      <c r="CWJ32" s="109"/>
      <c r="CWK32" s="109"/>
      <c r="CWL32" s="109"/>
      <c r="CWM32" s="109"/>
      <c r="CWN32" s="109"/>
      <c r="CWO32" s="109"/>
      <c r="CWP32" s="109"/>
      <c r="CWQ32" s="109"/>
      <c r="CWR32" s="109"/>
      <c r="CWS32" s="109"/>
      <c r="CWT32" s="109"/>
      <c r="CWU32" s="109"/>
      <c r="CWV32" s="109"/>
      <c r="CWW32" s="109"/>
      <c r="CWX32" s="109"/>
      <c r="CWY32" s="109"/>
      <c r="CWZ32" s="109"/>
      <c r="CXA32" s="109"/>
      <c r="CXB32" s="109"/>
      <c r="CXC32" s="109"/>
      <c r="CXD32" s="109"/>
      <c r="CXE32" s="109"/>
      <c r="CXF32" s="109"/>
      <c r="CXG32" s="109"/>
      <c r="CXH32" s="109"/>
      <c r="CXI32" s="109"/>
      <c r="CXJ32" s="109"/>
      <c r="CXK32" s="109"/>
      <c r="CXL32" s="109"/>
      <c r="CXM32" s="109"/>
      <c r="CXN32" s="109"/>
      <c r="CXO32" s="109"/>
      <c r="CXP32" s="109"/>
      <c r="CXQ32" s="109"/>
      <c r="CXR32" s="109"/>
      <c r="CXS32" s="109"/>
      <c r="CXT32" s="109"/>
      <c r="CXU32" s="109"/>
      <c r="CXV32" s="109"/>
      <c r="CXW32" s="109"/>
      <c r="CXX32" s="109"/>
      <c r="CXY32" s="109"/>
      <c r="CXZ32" s="109"/>
      <c r="CYA32" s="109"/>
      <c r="CYB32" s="109"/>
      <c r="CYC32" s="109"/>
      <c r="CYD32" s="109"/>
      <c r="CYE32" s="109"/>
      <c r="CYF32" s="109"/>
      <c r="CYG32" s="109"/>
      <c r="CYH32" s="109"/>
      <c r="CYI32" s="109"/>
      <c r="CYJ32" s="109"/>
      <c r="CYK32" s="109"/>
      <c r="CYL32" s="109"/>
      <c r="CYM32" s="109"/>
      <c r="CYN32" s="109"/>
      <c r="CYO32" s="109"/>
      <c r="CYP32" s="109"/>
      <c r="CYQ32" s="109"/>
      <c r="CYR32" s="109"/>
      <c r="CYS32" s="109"/>
      <c r="CYT32" s="109"/>
      <c r="CYU32" s="109"/>
      <c r="CYV32" s="109"/>
      <c r="CYW32" s="109"/>
      <c r="CYX32" s="109"/>
      <c r="CYY32" s="109"/>
      <c r="CYZ32" s="109"/>
      <c r="CZA32" s="109"/>
      <c r="CZB32" s="109"/>
      <c r="CZC32" s="109"/>
      <c r="CZD32" s="109"/>
      <c r="CZE32" s="109"/>
      <c r="CZF32" s="109"/>
      <c r="CZG32" s="109"/>
      <c r="CZH32" s="109"/>
      <c r="CZI32" s="109"/>
      <c r="CZJ32" s="109"/>
      <c r="CZK32" s="109"/>
      <c r="CZL32" s="109"/>
      <c r="CZM32" s="109"/>
      <c r="CZN32" s="109"/>
      <c r="CZO32" s="109"/>
      <c r="CZP32" s="109"/>
      <c r="CZQ32" s="109"/>
      <c r="CZR32" s="109"/>
      <c r="CZS32" s="109"/>
      <c r="CZT32" s="109"/>
      <c r="CZU32" s="109"/>
      <c r="CZV32" s="109"/>
      <c r="CZW32" s="109"/>
      <c r="CZX32" s="109"/>
      <c r="CZY32" s="109"/>
      <c r="CZZ32" s="109"/>
      <c r="DAA32" s="109"/>
      <c r="DAB32" s="109"/>
      <c r="DAC32" s="109"/>
      <c r="DAD32" s="109"/>
      <c r="DAE32" s="109"/>
      <c r="DAF32" s="109"/>
      <c r="DAG32" s="109"/>
      <c r="DAH32" s="109"/>
      <c r="DAI32" s="109"/>
      <c r="DAJ32" s="109"/>
      <c r="DAK32" s="109"/>
      <c r="DAL32" s="109"/>
      <c r="DAM32" s="109"/>
      <c r="DAN32" s="109"/>
      <c r="DAO32" s="109"/>
      <c r="DAP32" s="109"/>
      <c r="DAQ32" s="109"/>
      <c r="DAR32" s="109"/>
      <c r="DAS32" s="109"/>
      <c r="DAT32" s="109"/>
      <c r="DAU32" s="109"/>
      <c r="DAV32" s="109"/>
      <c r="DAW32" s="109"/>
      <c r="DAX32" s="109"/>
      <c r="DAY32" s="109"/>
      <c r="DAZ32" s="109"/>
      <c r="DBA32" s="109"/>
      <c r="DBB32" s="109"/>
      <c r="DBC32" s="109"/>
      <c r="DBD32" s="109"/>
      <c r="DBE32" s="109"/>
      <c r="DBF32" s="109"/>
      <c r="DBG32" s="109"/>
      <c r="DBH32" s="109"/>
      <c r="DBI32" s="109"/>
      <c r="DBJ32" s="109"/>
      <c r="DBK32" s="109"/>
      <c r="DBL32" s="109"/>
      <c r="DBM32" s="109"/>
      <c r="DBN32" s="109"/>
      <c r="DBO32" s="109"/>
      <c r="DBP32" s="109"/>
      <c r="DBQ32" s="109"/>
      <c r="DBR32" s="109"/>
      <c r="DBS32" s="109"/>
      <c r="DBT32" s="109"/>
      <c r="DBU32" s="109"/>
      <c r="DBV32" s="109"/>
      <c r="DBW32" s="109"/>
      <c r="DBX32" s="109"/>
      <c r="DBY32" s="109"/>
      <c r="DBZ32" s="109"/>
      <c r="DCA32" s="109"/>
      <c r="DCB32" s="109"/>
      <c r="DCC32" s="109"/>
      <c r="DCD32" s="109"/>
      <c r="DCE32" s="109"/>
      <c r="DCF32" s="109"/>
      <c r="DCG32" s="109"/>
      <c r="DCH32" s="109"/>
      <c r="DCI32" s="109"/>
      <c r="DCJ32" s="109"/>
      <c r="DCK32" s="109"/>
      <c r="DCL32" s="109"/>
      <c r="DCM32" s="109"/>
      <c r="DCN32" s="109"/>
      <c r="DCO32" s="109"/>
      <c r="DCP32" s="109"/>
      <c r="DCQ32" s="109"/>
      <c r="DCR32" s="109"/>
      <c r="DCS32" s="109"/>
      <c r="DCT32" s="109"/>
      <c r="DCU32" s="109"/>
      <c r="DCV32" s="109"/>
      <c r="DCW32" s="109"/>
      <c r="DCX32" s="109"/>
      <c r="DCY32" s="109"/>
      <c r="DCZ32" s="109"/>
      <c r="DDA32" s="109"/>
      <c r="DDB32" s="109"/>
      <c r="DDC32" s="109"/>
      <c r="DDD32" s="109"/>
      <c r="DDE32" s="109"/>
      <c r="DDF32" s="109"/>
      <c r="DDG32" s="109"/>
      <c r="DDH32" s="109"/>
      <c r="DDI32" s="109"/>
      <c r="DDJ32" s="109"/>
      <c r="DDK32" s="109"/>
      <c r="DDL32" s="109"/>
      <c r="DDM32" s="109"/>
      <c r="DDN32" s="109"/>
      <c r="DDO32" s="109"/>
      <c r="DDP32" s="109"/>
      <c r="DDQ32" s="109"/>
      <c r="DDR32" s="109"/>
      <c r="DDS32" s="109"/>
      <c r="DDT32" s="109"/>
      <c r="DDU32" s="109"/>
      <c r="DDV32" s="109"/>
      <c r="DDW32" s="109"/>
      <c r="DDX32" s="109"/>
      <c r="DDY32" s="109"/>
      <c r="DDZ32" s="109"/>
      <c r="DEA32" s="109"/>
      <c r="DEB32" s="109"/>
      <c r="DEC32" s="109"/>
      <c r="DED32" s="109"/>
      <c r="DEE32" s="109"/>
      <c r="DEF32" s="109"/>
      <c r="DEG32" s="109"/>
      <c r="DEH32" s="109"/>
      <c r="DEI32" s="109"/>
      <c r="DEJ32" s="109"/>
      <c r="DEK32" s="109"/>
      <c r="DEL32" s="109"/>
      <c r="DEM32" s="109"/>
      <c r="DEN32" s="109"/>
      <c r="DEO32" s="109"/>
      <c r="DEP32" s="109"/>
      <c r="DEQ32" s="109"/>
      <c r="DER32" s="109"/>
      <c r="DES32" s="109"/>
      <c r="DET32" s="109"/>
      <c r="DEU32" s="109"/>
      <c r="DEV32" s="109"/>
      <c r="DEW32" s="109"/>
      <c r="DEX32" s="109"/>
      <c r="DEY32" s="109"/>
      <c r="DEZ32" s="109"/>
      <c r="DFA32" s="109"/>
      <c r="DFB32" s="109"/>
      <c r="DFC32" s="109"/>
      <c r="DFD32" s="109"/>
      <c r="DFE32" s="109"/>
      <c r="DFF32" s="109"/>
      <c r="DFG32" s="109"/>
      <c r="DFH32" s="109"/>
      <c r="DFI32" s="109"/>
      <c r="DFJ32" s="109"/>
      <c r="DFK32" s="109"/>
      <c r="DFL32" s="109"/>
      <c r="DFM32" s="109"/>
      <c r="DFN32" s="109"/>
      <c r="DFO32" s="109"/>
      <c r="DFP32" s="109"/>
      <c r="DFQ32" s="109"/>
      <c r="DFR32" s="109"/>
      <c r="DFS32" s="109"/>
      <c r="DFT32" s="109"/>
      <c r="DFU32" s="109"/>
      <c r="DFV32" s="109"/>
      <c r="DFW32" s="109"/>
      <c r="DFX32" s="109"/>
      <c r="DFY32" s="109"/>
      <c r="DFZ32" s="109"/>
      <c r="DGA32" s="109"/>
      <c r="DGB32" s="109"/>
      <c r="DGC32" s="109"/>
      <c r="DGD32" s="109"/>
      <c r="DGE32" s="109"/>
      <c r="DGF32" s="109"/>
      <c r="DGG32" s="109"/>
      <c r="DGH32" s="109"/>
      <c r="DGI32" s="109"/>
      <c r="DGJ32" s="109"/>
      <c r="DGK32" s="109"/>
      <c r="DGL32" s="109"/>
      <c r="DGM32" s="109"/>
      <c r="DGN32" s="109"/>
      <c r="DGO32" s="109"/>
      <c r="DGP32" s="109"/>
      <c r="DGQ32" s="109"/>
      <c r="DGR32" s="109"/>
      <c r="DGS32" s="109"/>
      <c r="DGT32" s="109"/>
      <c r="DGU32" s="109"/>
      <c r="DGV32" s="109"/>
      <c r="DGW32" s="109"/>
      <c r="DGX32" s="109"/>
      <c r="DGY32" s="109"/>
      <c r="DGZ32" s="109"/>
      <c r="DHA32" s="109"/>
      <c r="DHB32" s="109"/>
      <c r="DHC32" s="109"/>
      <c r="DHD32" s="109"/>
      <c r="DHE32" s="109"/>
      <c r="DHF32" s="109"/>
      <c r="DHG32" s="109"/>
      <c r="DHH32" s="109"/>
      <c r="DHI32" s="109"/>
      <c r="DHJ32" s="109"/>
      <c r="DHK32" s="109"/>
      <c r="DHL32" s="109"/>
      <c r="DHM32" s="109"/>
      <c r="DHN32" s="109"/>
      <c r="DHO32" s="109"/>
      <c r="DHP32" s="109"/>
      <c r="DHQ32" s="109"/>
      <c r="DHR32" s="109"/>
      <c r="DHS32" s="109"/>
      <c r="DHT32" s="109"/>
      <c r="DHU32" s="109"/>
      <c r="DHV32" s="109"/>
      <c r="DHW32" s="109"/>
      <c r="DHX32" s="109"/>
      <c r="DHY32" s="109"/>
      <c r="DHZ32" s="109"/>
      <c r="DIA32" s="109"/>
      <c r="DIB32" s="109"/>
      <c r="DIC32" s="109"/>
      <c r="DID32" s="109"/>
      <c r="DIE32" s="109"/>
      <c r="DIF32" s="109"/>
      <c r="DIG32" s="109"/>
      <c r="DIH32" s="109"/>
      <c r="DII32" s="109"/>
      <c r="DIJ32" s="109"/>
      <c r="DIK32" s="109"/>
      <c r="DIL32" s="109"/>
      <c r="DIM32" s="109"/>
      <c r="DIN32" s="109"/>
      <c r="DIO32" s="109"/>
      <c r="DIP32" s="109"/>
      <c r="DIQ32" s="109"/>
      <c r="DIR32" s="109"/>
      <c r="DIS32" s="109"/>
      <c r="DIT32" s="109"/>
      <c r="DIU32" s="109"/>
      <c r="DIV32" s="109"/>
      <c r="DIW32" s="109"/>
      <c r="DIX32" s="109"/>
      <c r="DIY32" s="109"/>
      <c r="DIZ32" s="109"/>
      <c r="DJA32" s="109"/>
      <c r="DJB32" s="109"/>
      <c r="DJC32" s="109"/>
      <c r="DJD32" s="109"/>
      <c r="DJE32" s="109"/>
      <c r="DJF32" s="109"/>
      <c r="DJG32" s="109"/>
      <c r="DJH32" s="109"/>
      <c r="DJI32" s="109"/>
      <c r="DJJ32" s="109"/>
      <c r="DJK32" s="109"/>
      <c r="DJL32" s="109"/>
      <c r="DJM32" s="109"/>
      <c r="DJN32" s="109"/>
      <c r="DJO32" s="109"/>
      <c r="DJP32" s="109"/>
      <c r="DJQ32" s="109"/>
      <c r="DJR32" s="109"/>
      <c r="DJS32" s="109"/>
      <c r="DJT32" s="109"/>
      <c r="DJU32" s="109"/>
      <c r="DJV32" s="109"/>
      <c r="DJW32" s="109"/>
      <c r="DJX32" s="109"/>
      <c r="DJY32" s="109"/>
      <c r="DJZ32" s="109"/>
      <c r="DKA32" s="109"/>
      <c r="DKB32" s="109"/>
      <c r="DKC32" s="109"/>
      <c r="DKD32" s="109"/>
      <c r="DKE32" s="109"/>
      <c r="DKF32" s="109"/>
      <c r="DKG32" s="109"/>
      <c r="DKH32" s="109"/>
      <c r="DKI32" s="109"/>
      <c r="DKJ32" s="109"/>
      <c r="DKK32" s="109"/>
      <c r="DKL32" s="109"/>
      <c r="DKM32" s="109"/>
      <c r="DKN32" s="109"/>
      <c r="DKO32" s="109"/>
      <c r="DKP32" s="109"/>
      <c r="DKQ32" s="109"/>
      <c r="DKR32" s="109"/>
      <c r="DKS32" s="109"/>
      <c r="DKT32" s="109"/>
      <c r="DKU32" s="109"/>
      <c r="DKV32" s="109"/>
      <c r="DKW32" s="109"/>
      <c r="DKX32" s="109"/>
      <c r="DKY32" s="109"/>
      <c r="DKZ32" s="109"/>
      <c r="DLA32" s="109"/>
      <c r="DLB32" s="109"/>
      <c r="DLC32" s="109"/>
      <c r="DLD32" s="109"/>
      <c r="DLE32" s="109"/>
      <c r="DLF32" s="109"/>
      <c r="DLG32" s="109"/>
      <c r="DLH32" s="109"/>
      <c r="DLI32" s="109"/>
      <c r="DLJ32" s="109"/>
      <c r="DLK32" s="109"/>
      <c r="DLL32" s="109"/>
      <c r="DLM32" s="109"/>
      <c r="DLN32" s="109"/>
      <c r="DLO32" s="109"/>
      <c r="DLP32" s="109"/>
      <c r="DLQ32" s="109"/>
      <c r="DLR32" s="109"/>
      <c r="DLS32" s="109"/>
      <c r="DLT32" s="109"/>
      <c r="DLU32" s="109"/>
      <c r="DLV32" s="109"/>
      <c r="DLW32" s="109"/>
      <c r="DLX32" s="109"/>
      <c r="DLY32" s="109"/>
      <c r="DLZ32" s="109"/>
      <c r="DMA32" s="109"/>
      <c r="DMB32" s="109"/>
      <c r="DMC32" s="109"/>
      <c r="DMD32" s="109"/>
      <c r="DME32" s="109"/>
      <c r="DMF32" s="109"/>
      <c r="DMG32" s="109"/>
      <c r="DMH32" s="109"/>
      <c r="DMI32" s="109"/>
      <c r="DMJ32" s="109"/>
      <c r="DMK32" s="109"/>
      <c r="DML32" s="109"/>
      <c r="DMM32" s="109"/>
      <c r="DMN32" s="109"/>
      <c r="DMO32" s="109"/>
      <c r="DMP32" s="109"/>
      <c r="DMQ32" s="109"/>
      <c r="DMR32" s="109"/>
      <c r="DMS32" s="109"/>
      <c r="DMT32" s="109"/>
      <c r="DMU32" s="109"/>
      <c r="DMV32" s="109"/>
      <c r="DMW32" s="109"/>
      <c r="DMX32" s="109"/>
      <c r="DMY32" s="109"/>
      <c r="DMZ32" s="109"/>
      <c r="DNA32" s="109"/>
      <c r="DNB32" s="109"/>
      <c r="DNC32" s="109"/>
      <c r="DND32" s="109"/>
      <c r="DNE32" s="109"/>
      <c r="DNF32" s="109"/>
      <c r="DNG32" s="109"/>
      <c r="DNH32" s="109"/>
      <c r="DNI32" s="109"/>
      <c r="DNJ32" s="109"/>
      <c r="DNK32" s="109"/>
      <c r="DNL32" s="109"/>
      <c r="DNM32" s="109"/>
      <c r="DNN32" s="109"/>
      <c r="DNO32" s="109"/>
      <c r="DNP32" s="109"/>
      <c r="DNQ32" s="109"/>
      <c r="DNR32" s="109"/>
      <c r="DNS32" s="109"/>
      <c r="DNT32" s="109"/>
      <c r="DNU32" s="109"/>
      <c r="DNV32" s="109"/>
      <c r="DNW32" s="109"/>
      <c r="DNX32" s="109"/>
      <c r="DNY32" s="109"/>
      <c r="DNZ32" s="109"/>
      <c r="DOA32" s="109"/>
      <c r="DOB32" s="109"/>
      <c r="DOC32" s="109"/>
      <c r="DOD32" s="109"/>
      <c r="DOE32" s="109"/>
      <c r="DOF32" s="109"/>
      <c r="DOG32" s="109"/>
      <c r="DOH32" s="109"/>
      <c r="DOI32" s="109"/>
      <c r="DOJ32" s="109"/>
      <c r="DOK32" s="109"/>
      <c r="DOL32" s="109"/>
      <c r="DOM32" s="109"/>
      <c r="DON32" s="109"/>
      <c r="DOO32" s="109"/>
      <c r="DOP32" s="109"/>
      <c r="DOQ32" s="109"/>
      <c r="DOR32" s="109"/>
      <c r="DOS32" s="109"/>
      <c r="DOT32" s="109"/>
      <c r="DOU32" s="109"/>
      <c r="DOV32" s="109"/>
      <c r="DOW32" s="109"/>
      <c r="DOX32" s="109"/>
      <c r="DOY32" s="109"/>
      <c r="DOZ32" s="109"/>
      <c r="DPA32" s="109"/>
      <c r="DPB32" s="109"/>
      <c r="DPC32" s="109"/>
      <c r="DPD32" s="109"/>
      <c r="DPE32" s="109"/>
      <c r="DPF32" s="109"/>
      <c r="DPG32" s="109"/>
      <c r="DPH32" s="109"/>
      <c r="DPI32" s="109"/>
      <c r="DPJ32" s="109"/>
      <c r="DPK32" s="109"/>
      <c r="DPL32" s="109"/>
      <c r="DPM32" s="109"/>
      <c r="DPN32" s="109"/>
      <c r="DPO32" s="109"/>
      <c r="DPP32" s="109"/>
      <c r="DPQ32" s="109"/>
      <c r="DPR32" s="109"/>
      <c r="DPS32" s="109"/>
      <c r="DPT32" s="109"/>
      <c r="DPU32" s="109"/>
      <c r="DPV32" s="109"/>
      <c r="DPW32" s="109"/>
      <c r="DPX32" s="109"/>
      <c r="DPY32" s="109"/>
      <c r="DPZ32" s="109"/>
      <c r="DQA32" s="109"/>
      <c r="DQB32" s="109"/>
      <c r="DQC32" s="109"/>
      <c r="DQD32" s="109"/>
      <c r="DQE32" s="109"/>
      <c r="DQF32" s="109"/>
      <c r="DQG32" s="109"/>
      <c r="DQH32" s="109"/>
      <c r="DQI32" s="109"/>
      <c r="DQJ32" s="109"/>
      <c r="DQK32" s="109"/>
      <c r="DQL32" s="109"/>
      <c r="DQM32" s="109"/>
      <c r="DQN32" s="109"/>
      <c r="DQO32" s="109"/>
      <c r="DQP32" s="109"/>
      <c r="DQQ32" s="109"/>
      <c r="DQR32" s="109"/>
      <c r="DQS32" s="109"/>
      <c r="DQT32" s="109"/>
      <c r="DQU32" s="109"/>
      <c r="DQV32" s="109"/>
      <c r="DQW32" s="109"/>
      <c r="DQX32" s="109"/>
      <c r="DQY32" s="109"/>
      <c r="DQZ32" s="109"/>
      <c r="DRA32" s="109"/>
      <c r="DRB32" s="109"/>
      <c r="DRC32" s="109"/>
      <c r="DRD32" s="109"/>
      <c r="DRE32" s="109"/>
      <c r="DRF32" s="109"/>
      <c r="DRG32" s="109"/>
      <c r="DRH32" s="109"/>
      <c r="DRI32" s="109"/>
      <c r="DRJ32" s="109"/>
      <c r="DRK32" s="109"/>
      <c r="DRL32" s="109"/>
      <c r="DRM32" s="109"/>
      <c r="DRN32" s="109"/>
      <c r="DRO32" s="109"/>
      <c r="DRP32" s="109"/>
      <c r="DRQ32" s="109"/>
      <c r="DRR32" s="109"/>
      <c r="DRS32" s="109"/>
      <c r="DRT32" s="109"/>
      <c r="DRU32" s="109"/>
      <c r="DRV32" s="109"/>
      <c r="DRW32" s="109"/>
      <c r="DRX32" s="109"/>
      <c r="DRY32" s="109"/>
      <c r="DRZ32" s="109"/>
      <c r="DSA32" s="109"/>
      <c r="DSB32" s="109"/>
      <c r="DSC32" s="109"/>
      <c r="DSD32" s="109"/>
      <c r="DSE32" s="109"/>
      <c r="DSF32" s="109"/>
      <c r="DSG32" s="109"/>
      <c r="DSH32" s="109"/>
      <c r="DSI32" s="109"/>
      <c r="DSJ32" s="109"/>
      <c r="DSK32" s="109"/>
      <c r="DSL32" s="109"/>
      <c r="DSM32" s="109"/>
      <c r="DSN32" s="109"/>
      <c r="DSO32" s="109"/>
      <c r="DSP32" s="109"/>
      <c r="DSQ32" s="109"/>
      <c r="DSR32" s="109"/>
      <c r="DSS32" s="109"/>
      <c r="DST32" s="109"/>
      <c r="DSU32" s="109"/>
      <c r="DSV32" s="109"/>
      <c r="DSW32" s="109"/>
      <c r="DSX32" s="109"/>
      <c r="DSY32" s="109"/>
      <c r="DSZ32" s="109"/>
      <c r="DTA32" s="109"/>
      <c r="DTB32" s="109"/>
      <c r="DTC32" s="109"/>
      <c r="DTD32" s="109"/>
      <c r="DTE32" s="109"/>
      <c r="DTF32" s="109"/>
      <c r="DTG32" s="109"/>
      <c r="DTH32" s="109"/>
      <c r="DTI32" s="109"/>
      <c r="DTJ32" s="109"/>
      <c r="DTK32" s="109"/>
      <c r="DTL32" s="109"/>
      <c r="DTM32" s="109"/>
      <c r="DTN32" s="109"/>
      <c r="DTO32" s="109"/>
      <c r="DTP32" s="109"/>
      <c r="DTQ32" s="109"/>
      <c r="DTR32" s="109"/>
      <c r="DTS32" s="109"/>
      <c r="DTT32" s="109"/>
      <c r="DTU32" s="109"/>
      <c r="DTV32" s="109"/>
      <c r="DTW32" s="109"/>
      <c r="DTX32" s="109"/>
      <c r="DTY32" s="109"/>
      <c r="DTZ32" s="109"/>
      <c r="DUA32" s="109"/>
      <c r="DUB32" s="109"/>
      <c r="DUC32" s="109"/>
      <c r="DUD32" s="109"/>
      <c r="DUE32" s="109"/>
      <c r="DUF32" s="109"/>
      <c r="DUG32" s="109"/>
      <c r="DUH32" s="109"/>
      <c r="DUI32" s="109"/>
      <c r="DUJ32" s="109"/>
      <c r="DUK32" s="109"/>
      <c r="DUL32" s="109"/>
      <c r="DUM32" s="109"/>
      <c r="DUN32" s="109"/>
      <c r="DUO32" s="109"/>
      <c r="DUP32" s="109"/>
      <c r="DUQ32" s="109"/>
      <c r="DUR32" s="109"/>
      <c r="DUS32" s="109"/>
      <c r="DUT32" s="109"/>
      <c r="DUU32" s="109"/>
      <c r="DUV32" s="109"/>
      <c r="DUW32" s="109"/>
      <c r="DUX32" s="109"/>
      <c r="DUY32" s="109"/>
      <c r="DUZ32" s="109"/>
      <c r="DVA32" s="109"/>
      <c r="DVB32" s="109"/>
      <c r="DVC32" s="109"/>
      <c r="DVD32" s="109"/>
      <c r="DVE32" s="109"/>
      <c r="DVF32" s="109"/>
      <c r="DVG32" s="109"/>
      <c r="DVH32" s="109"/>
      <c r="DVI32" s="109"/>
      <c r="DVJ32" s="109"/>
      <c r="DVK32" s="109"/>
      <c r="DVL32" s="109"/>
      <c r="DVM32" s="109"/>
      <c r="DVN32" s="109"/>
      <c r="DVO32" s="109"/>
      <c r="DVP32" s="109"/>
      <c r="DVQ32" s="109"/>
      <c r="DVR32" s="109"/>
      <c r="DVS32" s="109"/>
      <c r="DVT32" s="109"/>
      <c r="DVU32" s="109"/>
      <c r="DVV32" s="109"/>
      <c r="DVW32" s="109"/>
      <c r="DVX32" s="109"/>
      <c r="DVY32" s="109"/>
      <c r="DVZ32" s="109"/>
      <c r="DWA32" s="109"/>
      <c r="DWB32" s="109"/>
      <c r="DWC32" s="109"/>
      <c r="DWD32" s="109"/>
      <c r="DWE32" s="109"/>
      <c r="DWF32" s="109"/>
      <c r="DWG32" s="109"/>
      <c r="DWH32" s="109"/>
      <c r="DWI32" s="109"/>
      <c r="DWJ32" s="109"/>
      <c r="DWK32" s="109"/>
      <c r="DWL32" s="109"/>
      <c r="DWM32" s="109"/>
      <c r="DWN32" s="109"/>
      <c r="DWO32" s="109"/>
      <c r="DWP32" s="109"/>
      <c r="DWQ32" s="109"/>
      <c r="DWR32" s="109"/>
      <c r="DWS32" s="109"/>
      <c r="DWT32" s="109"/>
      <c r="DWU32" s="109"/>
      <c r="DWV32" s="109"/>
      <c r="DWW32" s="109"/>
      <c r="DWX32" s="109"/>
      <c r="DWY32" s="109"/>
      <c r="DWZ32" s="109"/>
      <c r="DXA32" s="109"/>
      <c r="DXB32" s="109"/>
      <c r="DXC32" s="109"/>
      <c r="DXD32" s="109"/>
      <c r="DXE32" s="109"/>
      <c r="DXF32" s="109"/>
      <c r="DXG32" s="109"/>
      <c r="DXH32" s="109"/>
      <c r="DXI32" s="109"/>
      <c r="DXJ32" s="109"/>
      <c r="DXK32" s="109"/>
      <c r="DXL32" s="109"/>
      <c r="DXM32" s="109"/>
      <c r="DXN32" s="109"/>
      <c r="DXO32" s="109"/>
      <c r="DXP32" s="109"/>
      <c r="DXQ32" s="109"/>
      <c r="DXR32" s="109"/>
      <c r="DXS32" s="109"/>
      <c r="DXT32" s="109"/>
      <c r="DXU32" s="109"/>
      <c r="DXV32" s="109"/>
      <c r="DXW32" s="109"/>
      <c r="DXX32" s="109"/>
      <c r="DXY32" s="109"/>
      <c r="DXZ32" s="109"/>
      <c r="DYA32" s="109"/>
      <c r="DYB32" s="109"/>
      <c r="DYC32" s="109"/>
      <c r="DYD32" s="109"/>
      <c r="DYE32" s="109"/>
      <c r="DYF32" s="109"/>
      <c r="DYG32" s="109"/>
      <c r="DYH32" s="109"/>
      <c r="DYI32" s="109"/>
      <c r="DYJ32" s="109"/>
      <c r="DYK32" s="109"/>
      <c r="DYL32" s="109"/>
      <c r="DYM32" s="109"/>
      <c r="DYN32" s="109"/>
      <c r="DYO32" s="109"/>
      <c r="DYP32" s="109"/>
      <c r="DYQ32" s="109"/>
      <c r="DYR32" s="109"/>
      <c r="DYS32" s="109"/>
      <c r="DYT32" s="109"/>
      <c r="DYU32" s="109"/>
      <c r="DYV32" s="109"/>
      <c r="DYW32" s="109"/>
      <c r="DYX32" s="109"/>
      <c r="DYY32" s="109"/>
      <c r="DYZ32" s="109"/>
      <c r="DZA32" s="109"/>
      <c r="DZB32" s="109"/>
      <c r="DZC32" s="109"/>
      <c r="DZD32" s="109"/>
      <c r="DZE32" s="109"/>
      <c r="DZF32" s="109"/>
      <c r="DZG32" s="109"/>
      <c r="DZH32" s="109"/>
      <c r="DZI32" s="109"/>
      <c r="DZJ32" s="109"/>
      <c r="DZK32" s="109"/>
      <c r="DZL32" s="109"/>
      <c r="DZM32" s="109"/>
      <c r="DZN32" s="109"/>
      <c r="DZO32" s="109"/>
      <c r="DZP32" s="109"/>
      <c r="DZQ32" s="109"/>
      <c r="DZR32" s="109"/>
      <c r="DZS32" s="109"/>
      <c r="DZT32" s="109"/>
      <c r="DZU32" s="109"/>
      <c r="DZV32" s="109"/>
      <c r="DZW32" s="109"/>
      <c r="DZX32" s="109"/>
      <c r="DZY32" s="109"/>
      <c r="DZZ32" s="109"/>
      <c r="EAA32" s="109"/>
      <c r="EAB32" s="109"/>
      <c r="EAC32" s="109"/>
      <c r="EAD32" s="109"/>
      <c r="EAE32" s="109"/>
      <c r="EAF32" s="109"/>
      <c r="EAG32" s="109"/>
      <c r="EAH32" s="109"/>
      <c r="EAI32" s="109"/>
      <c r="EAJ32" s="109"/>
      <c r="EAK32" s="109"/>
      <c r="EAL32" s="109"/>
      <c r="EAM32" s="109"/>
      <c r="EAN32" s="109"/>
      <c r="EAO32" s="109"/>
      <c r="EAP32" s="109"/>
      <c r="EAQ32" s="109"/>
      <c r="EAR32" s="109"/>
      <c r="EAS32" s="109"/>
      <c r="EAT32" s="109"/>
      <c r="EAU32" s="109"/>
      <c r="EAV32" s="109"/>
      <c r="EAW32" s="109"/>
      <c r="EAX32" s="109"/>
      <c r="EAY32" s="109"/>
      <c r="EAZ32" s="109"/>
      <c r="EBA32" s="109"/>
      <c r="EBB32" s="109"/>
      <c r="EBC32" s="109"/>
      <c r="EBD32" s="109"/>
      <c r="EBE32" s="109"/>
      <c r="EBF32" s="109"/>
      <c r="EBG32" s="109"/>
      <c r="EBH32" s="109"/>
      <c r="EBI32" s="109"/>
      <c r="EBJ32" s="109"/>
      <c r="EBK32" s="109"/>
      <c r="EBL32" s="109"/>
      <c r="EBM32" s="109"/>
      <c r="EBN32" s="109"/>
      <c r="EBO32" s="109"/>
      <c r="EBP32" s="109"/>
      <c r="EBQ32" s="109"/>
      <c r="EBR32" s="109"/>
      <c r="EBS32" s="109"/>
      <c r="EBT32" s="109"/>
      <c r="EBU32" s="109"/>
      <c r="EBV32" s="109"/>
      <c r="EBW32" s="109"/>
      <c r="EBX32" s="109"/>
      <c r="EBY32" s="109"/>
      <c r="EBZ32" s="109"/>
      <c r="ECA32" s="109"/>
      <c r="ECB32" s="109"/>
      <c r="ECC32" s="109"/>
      <c r="ECD32" s="109"/>
      <c r="ECE32" s="109"/>
      <c r="ECF32" s="109"/>
      <c r="ECG32" s="109"/>
      <c r="ECH32" s="109"/>
      <c r="ECI32" s="109"/>
      <c r="ECJ32" s="109"/>
      <c r="ECK32" s="109"/>
      <c r="ECL32" s="109"/>
      <c r="ECM32" s="109"/>
      <c r="ECN32" s="109"/>
      <c r="ECO32" s="109"/>
      <c r="ECP32" s="109"/>
      <c r="ECQ32" s="109"/>
      <c r="ECR32" s="109"/>
      <c r="ECS32" s="109"/>
      <c r="ECT32" s="109"/>
      <c r="ECU32" s="109"/>
      <c r="ECV32" s="109"/>
      <c r="ECW32" s="109"/>
      <c r="ECX32" s="109"/>
      <c r="ECY32" s="109"/>
      <c r="ECZ32" s="109"/>
      <c r="EDA32" s="109"/>
      <c r="EDB32" s="109"/>
      <c r="EDC32" s="109"/>
      <c r="EDD32" s="109"/>
      <c r="EDE32" s="109"/>
      <c r="EDF32" s="109"/>
      <c r="EDG32" s="109"/>
      <c r="EDH32" s="109"/>
      <c r="EDI32" s="109"/>
      <c r="EDJ32" s="109"/>
      <c r="EDK32" s="109"/>
      <c r="EDL32" s="109"/>
      <c r="EDM32" s="109"/>
      <c r="EDN32" s="109"/>
      <c r="EDO32" s="109"/>
      <c r="EDP32" s="109"/>
      <c r="EDQ32" s="109"/>
      <c r="EDR32" s="109"/>
      <c r="EDS32" s="109"/>
      <c r="EDT32" s="109"/>
      <c r="EDU32" s="109"/>
      <c r="EDV32" s="109"/>
      <c r="EDW32" s="109"/>
      <c r="EDX32" s="109"/>
      <c r="EDY32" s="109"/>
      <c r="EDZ32" s="109"/>
      <c r="EEA32" s="109"/>
      <c r="EEB32" s="109"/>
      <c r="EEC32" s="109"/>
      <c r="EED32" s="109"/>
      <c r="EEE32" s="109"/>
      <c r="EEF32" s="109"/>
      <c r="EEG32" s="109"/>
      <c r="EEH32" s="109"/>
      <c r="EEI32" s="109"/>
      <c r="EEJ32" s="109"/>
      <c r="EEK32" s="109"/>
      <c r="EEL32" s="109"/>
      <c r="EEM32" s="109"/>
      <c r="EEN32" s="109"/>
      <c r="EEO32" s="109"/>
      <c r="EEP32" s="109"/>
      <c r="EEQ32" s="109"/>
      <c r="EER32" s="109"/>
      <c r="EES32" s="109"/>
      <c r="EET32" s="109"/>
      <c r="EEU32" s="109"/>
      <c r="EEV32" s="109"/>
      <c r="EEW32" s="109"/>
      <c r="EEX32" s="109"/>
      <c r="EEY32" s="109"/>
      <c r="EEZ32" s="109"/>
      <c r="EFA32" s="109"/>
      <c r="EFB32" s="109"/>
      <c r="EFC32" s="109"/>
      <c r="EFD32" s="109"/>
      <c r="EFE32" s="109"/>
      <c r="EFF32" s="109"/>
      <c r="EFG32" s="109"/>
      <c r="EFH32" s="109"/>
      <c r="EFI32" s="109"/>
      <c r="EFJ32" s="109"/>
      <c r="EFK32" s="109"/>
      <c r="EFL32" s="109"/>
      <c r="EFM32" s="109"/>
      <c r="EFN32" s="109"/>
      <c r="EFO32" s="109"/>
      <c r="EFP32" s="109"/>
      <c r="EFQ32" s="109"/>
      <c r="EFR32" s="109"/>
      <c r="EFS32" s="109"/>
      <c r="EFT32" s="109"/>
      <c r="EFU32" s="109"/>
      <c r="EFV32" s="109"/>
      <c r="EFW32" s="109"/>
      <c r="EFX32" s="109"/>
      <c r="EFY32" s="109"/>
      <c r="EFZ32" s="109"/>
      <c r="EGA32" s="109"/>
      <c r="EGB32" s="109"/>
      <c r="EGC32" s="109"/>
      <c r="EGD32" s="109"/>
      <c r="EGE32" s="109"/>
      <c r="EGF32" s="109"/>
      <c r="EGG32" s="109"/>
      <c r="EGH32" s="109"/>
      <c r="EGI32" s="109"/>
      <c r="EGJ32" s="109"/>
      <c r="EGK32" s="109"/>
      <c r="EGL32" s="109"/>
      <c r="EGM32" s="109"/>
      <c r="EGN32" s="109"/>
      <c r="EGO32" s="109"/>
      <c r="EGP32" s="109"/>
      <c r="EGQ32" s="109"/>
      <c r="EGR32" s="109"/>
      <c r="EGS32" s="109"/>
      <c r="EGT32" s="109"/>
      <c r="EGU32" s="109"/>
      <c r="EGV32" s="109"/>
      <c r="EGW32" s="109"/>
      <c r="EGX32" s="109"/>
      <c r="EGY32" s="109"/>
      <c r="EGZ32" s="109"/>
      <c r="EHA32" s="109"/>
      <c r="EHB32" s="109"/>
      <c r="EHC32" s="109"/>
      <c r="EHD32" s="109"/>
      <c r="EHE32" s="109"/>
      <c r="EHF32" s="109"/>
      <c r="EHG32" s="109"/>
      <c r="EHH32" s="109"/>
      <c r="EHI32" s="109"/>
      <c r="EHJ32" s="109"/>
      <c r="EHK32" s="109"/>
      <c r="EHL32" s="109"/>
      <c r="EHM32" s="109"/>
      <c r="EHN32" s="109"/>
      <c r="EHO32" s="109"/>
      <c r="EHP32" s="109"/>
      <c r="EHQ32" s="109"/>
      <c r="EHR32" s="109"/>
      <c r="EHS32" s="109"/>
      <c r="EHT32" s="109"/>
      <c r="EHU32" s="109"/>
      <c r="EHV32" s="109"/>
      <c r="EHW32" s="109"/>
      <c r="EHX32" s="109"/>
      <c r="EHY32" s="109"/>
      <c r="EHZ32" s="109"/>
      <c r="EIA32" s="109"/>
      <c r="EIB32" s="109"/>
      <c r="EIC32" s="109"/>
      <c r="EID32" s="109"/>
      <c r="EIE32" s="109"/>
      <c r="EIF32" s="109"/>
      <c r="EIG32" s="109"/>
      <c r="EIH32" s="109"/>
      <c r="EII32" s="109"/>
      <c r="EIJ32" s="109"/>
      <c r="EIK32" s="109"/>
      <c r="EIL32" s="109"/>
      <c r="EIM32" s="109"/>
      <c r="EIN32" s="109"/>
      <c r="EIO32" s="109"/>
      <c r="EIP32" s="109"/>
      <c r="EIQ32" s="109"/>
      <c r="EIR32" s="109"/>
      <c r="EIS32" s="109"/>
      <c r="EIT32" s="109"/>
      <c r="EIU32" s="109"/>
      <c r="EIV32" s="109"/>
      <c r="EIW32" s="109"/>
      <c r="EIX32" s="109"/>
      <c r="EIY32" s="109"/>
      <c r="EIZ32" s="109"/>
      <c r="EJA32" s="109"/>
      <c r="EJB32" s="109"/>
      <c r="EJC32" s="109"/>
      <c r="EJD32" s="109"/>
      <c r="EJE32" s="109"/>
      <c r="EJF32" s="109"/>
      <c r="EJG32" s="109"/>
      <c r="EJH32" s="109"/>
      <c r="EJI32" s="109"/>
      <c r="EJJ32" s="109"/>
      <c r="EJK32" s="109"/>
      <c r="EJL32" s="109"/>
      <c r="EJM32" s="109"/>
      <c r="EJN32" s="109"/>
      <c r="EJO32" s="109"/>
      <c r="EJP32" s="109"/>
      <c r="EJQ32" s="109"/>
      <c r="EJR32" s="109"/>
      <c r="EJS32" s="109"/>
      <c r="EJT32" s="109"/>
      <c r="EJU32" s="109"/>
      <c r="EJV32" s="109"/>
      <c r="EJW32" s="109"/>
      <c r="EJX32" s="109"/>
      <c r="EJY32" s="109"/>
      <c r="EJZ32" s="109"/>
      <c r="EKA32" s="109"/>
      <c r="EKB32" s="109"/>
      <c r="EKC32" s="109"/>
      <c r="EKD32" s="109"/>
      <c r="EKE32" s="109"/>
      <c r="EKF32" s="109"/>
      <c r="EKG32" s="109"/>
      <c r="EKH32" s="109"/>
      <c r="EKI32" s="109"/>
      <c r="EKJ32" s="109"/>
      <c r="EKK32" s="109"/>
      <c r="EKL32" s="109"/>
      <c r="EKM32" s="109"/>
      <c r="EKN32" s="109"/>
      <c r="EKO32" s="109"/>
      <c r="EKP32" s="109"/>
      <c r="EKQ32" s="109"/>
      <c r="EKR32" s="109"/>
      <c r="EKS32" s="109"/>
      <c r="EKT32" s="109"/>
      <c r="EKU32" s="109"/>
      <c r="EKV32" s="109"/>
      <c r="EKW32" s="109"/>
      <c r="EKX32" s="109"/>
      <c r="EKY32" s="109"/>
      <c r="EKZ32" s="109"/>
      <c r="ELA32" s="109"/>
      <c r="ELB32" s="109"/>
      <c r="ELC32" s="109"/>
      <c r="ELD32" s="109"/>
      <c r="ELE32" s="109"/>
      <c r="ELF32" s="109"/>
      <c r="ELG32" s="109"/>
      <c r="ELH32" s="109"/>
      <c r="ELI32" s="109"/>
      <c r="ELJ32" s="109"/>
      <c r="ELK32" s="109"/>
      <c r="ELL32" s="109"/>
      <c r="ELM32" s="109"/>
      <c r="ELN32" s="109"/>
      <c r="ELO32" s="109"/>
      <c r="ELP32" s="109"/>
      <c r="ELQ32" s="109"/>
      <c r="ELR32" s="109"/>
      <c r="ELS32" s="109"/>
      <c r="ELT32" s="109"/>
      <c r="ELU32" s="109"/>
      <c r="ELV32" s="109"/>
      <c r="ELW32" s="109"/>
      <c r="ELX32" s="109"/>
      <c r="ELY32" s="109"/>
      <c r="ELZ32" s="109"/>
      <c r="EMA32" s="109"/>
      <c r="EMB32" s="109"/>
      <c r="EMC32" s="109"/>
      <c r="EMD32" s="109"/>
      <c r="EME32" s="109"/>
      <c r="EMF32" s="109"/>
      <c r="EMG32" s="109"/>
      <c r="EMH32" s="109"/>
      <c r="EMI32" s="109"/>
      <c r="EMJ32" s="109"/>
      <c r="EMK32" s="109"/>
      <c r="EML32" s="109"/>
      <c r="EMM32" s="109"/>
      <c r="EMN32" s="109"/>
      <c r="EMO32" s="109"/>
      <c r="EMP32" s="109"/>
      <c r="EMQ32" s="109"/>
      <c r="EMR32" s="109"/>
      <c r="EMS32" s="109"/>
      <c r="EMT32" s="109"/>
      <c r="EMU32" s="109"/>
      <c r="EMV32" s="109"/>
      <c r="EMW32" s="109"/>
      <c r="EMX32" s="109"/>
      <c r="EMY32" s="109"/>
      <c r="EMZ32" s="109"/>
      <c r="ENA32" s="109"/>
      <c r="ENB32" s="109"/>
      <c r="ENC32" s="109"/>
      <c r="END32" s="109"/>
      <c r="ENE32" s="109"/>
      <c r="ENF32" s="109"/>
      <c r="ENG32" s="109"/>
      <c r="ENH32" s="109"/>
      <c r="ENI32" s="109"/>
      <c r="ENJ32" s="109"/>
      <c r="ENK32" s="109"/>
      <c r="ENL32" s="109"/>
      <c r="ENM32" s="109"/>
      <c r="ENN32" s="109"/>
      <c r="ENO32" s="109"/>
      <c r="ENP32" s="109"/>
      <c r="ENQ32" s="109"/>
      <c r="ENR32" s="109"/>
      <c r="ENS32" s="109"/>
      <c r="ENT32" s="109"/>
      <c r="ENU32" s="109"/>
      <c r="ENV32" s="109"/>
      <c r="ENW32" s="109"/>
      <c r="ENX32" s="109"/>
      <c r="ENY32" s="109"/>
      <c r="ENZ32" s="109"/>
      <c r="EOA32" s="109"/>
      <c r="EOB32" s="109"/>
      <c r="EOC32" s="109"/>
      <c r="EOD32" s="109"/>
      <c r="EOE32" s="109"/>
      <c r="EOF32" s="109"/>
      <c r="EOG32" s="109"/>
      <c r="EOH32" s="109"/>
      <c r="EOI32" s="109"/>
      <c r="EOJ32" s="109"/>
      <c r="EOK32" s="109"/>
      <c r="EOL32" s="109"/>
      <c r="EOM32" s="109"/>
      <c r="EON32" s="109"/>
      <c r="EOO32" s="109"/>
      <c r="EOP32" s="109"/>
      <c r="EOQ32" s="109"/>
      <c r="EOR32" s="109"/>
      <c r="EOS32" s="109"/>
      <c r="EOT32" s="109"/>
      <c r="EOU32" s="109"/>
      <c r="EOV32" s="109"/>
      <c r="EOW32" s="109"/>
      <c r="EOX32" s="109"/>
      <c r="EOY32" s="109"/>
      <c r="EOZ32" s="109"/>
      <c r="EPA32" s="109"/>
      <c r="EPB32" s="109"/>
      <c r="EPC32" s="109"/>
      <c r="EPD32" s="109"/>
      <c r="EPE32" s="109"/>
      <c r="EPF32" s="109"/>
      <c r="EPG32" s="109"/>
      <c r="EPH32" s="109"/>
      <c r="EPI32" s="109"/>
      <c r="EPJ32" s="109"/>
      <c r="EPK32" s="109"/>
      <c r="EPL32" s="109"/>
      <c r="EPM32" s="109"/>
      <c r="EPN32" s="109"/>
      <c r="EPO32" s="109"/>
      <c r="EPP32" s="109"/>
      <c r="EPQ32" s="109"/>
      <c r="EPR32" s="109"/>
      <c r="EPS32" s="109"/>
      <c r="EPT32" s="109"/>
      <c r="EPU32" s="109"/>
      <c r="EPV32" s="109"/>
      <c r="EPW32" s="109"/>
      <c r="EPX32" s="109"/>
      <c r="EPY32" s="109"/>
      <c r="EPZ32" s="109"/>
      <c r="EQA32" s="109"/>
      <c r="EQB32" s="109"/>
      <c r="EQC32" s="109"/>
      <c r="EQD32" s="109"/>
      <c r="EQE32" s="109"/>
      <c r="EQF32" s="109"/>
      <c r="EQG32" s="109"/>
      <c r="EQH32" s="109"/>
      <c r="EQI32" s="109"/>
      <c r="EQJ32" s="109"/>
      <c r="EQK32" s="109"/>
      <c r="EQL32" s="109"/>
      <c r="EQM32" s="109"/>
      <c r="EQN32" s="109"/>
      <c r="EQO32" s="109"/>
      <c r="EQP32" s="109"/>
      <c r="EQQ32" s="109"/>
      <c r="EQR32" s="109"/>
      <c r="EQS32" s="109"/>
      <c r="EQT32" s="109"/>
      <c r="EQU32" s="109"/>
      <c r="EQV32" s="109"/>
      <c r="EQW32" s="109"/>
      <c r="EQX32" s="109"/>
      <c r="EQY32" s="109"/>
      <c r="EQZ32" s="109"/>
      <c r="ERA32" s="109"/>
      <c r="ERB32" s="109"/>
      <c r="ERC32" s="109"/>
      <c r="ERD32" s="109"/>
      <c r="ERE32" s="109"/>
      <c r="ERF32" s="109"/>
      <c r="ERG32" s="109"/>
      <c r="ERH32" s="109"/>
      <c r="ERI32" s="109"/>
      <c r="ERJ32" s="109"/>
      <c r="ERK32" s="109"/>
      <c r="ERL32" s="109"/>
      <c r="ERM32" s="109"/>
      <c r="ERN32" s="109"/>
      <c r="ERO32" s="109"/>
      <c r="ERP32" s="109"/>
      <c r="ERQ32" s="109"/>
      <c r="ERR32" s="109"/>
      <c r="ERS32" s="109"/>
      <c r="ERT32" s="109"/>
      <c r="ERU32" s="109"/>
      <c r="ERV32" s="109"/>
      <c r="ERW32" s="109"/>
      <c r="ERX32" s="109"/>
      <c r="ERY32" s="109"/>
      <c r="ERZ32" s="109"/>
      <c r="ESA32" s="109"/>
      <c r="ESB32" s="109"/>
      <c r="ESC32" s="109"/>
      <c r="ESD32" s="109"/>
      <c r="ESE32" s="109"/>
      <c r="ESF32" s="109"/>
      <c r="ESG32" s="109"/>
      <c r="ESH32" s="109"/>
      <c r="ESI32" s="109"/>
      <c r="ESJ32" s="109"/>
      <c r="ESK32" s="109"/>
      <c r="ESL32" s="109"/>
      <c r="ESM32" s="109"/>
      <c r="ESN32" s="109"/>
      <c r="ESO32" s="109"/>
      <c r="ESP32" s="109"/>
      <c r="ESQ32" s="109"/>
      <c r="ESR32" s="109"/>
      <c r="ESS32" s="109"/>
      <c r="EST32" s="109"/>
      <c r="ESU32" s="109"/>
      <c r="ESV32" s="109"/>
      <c r="ESW32" s="109"/>
      <c r="ESX32" s="109"/>
      <c r="ESY32" s="109"/>
      <c r="ESZ32" s="109"/>
      <c r="ETA32" s="109"/>
      <c r="ETB32" s="109"/>
      <c r="ETC32" s="109"/>
      <c r="ETD32" s="109"/>
      <c r="ETE32" s="109"/>
      <c r="ETF32" s="109"/>
      <c r="ETG32" s="109"/>
      <c r="ETH32" s="109"/>
      <c r="ETI32" s="109"/>
      <c r="ETJ32" s="109"/>
      <c r="ETK32" s="109"/>
      <c r="ETL32" s="109"/>
      <c r="ETM32" s="109"/>
      <c r="ETN32" s="109"/>
      <c r="ETO32" s="109"/>
      <c r="ETP32" s="109"/>
      <c r="ETQ32" s="109"/>
      <c r="ETR32" s="109"/>
      <c r="ETS32" s="109"/>
      <c r="ETT32" s="109"/>
      <c r="ETU32" s="109"/>
      <c r="ETV32" s="109"/>
      <c r="ETW32" s="109"/>
      <c r="ETX32" s="109"/>
      <c r="ETY32" s="109"/>
      <c r="ETZ32" s="109"/>
      <c r="EUA32" s="109"/>
      <c r="EUB32" s="109"/>
      <c r="EUC32" s="109"/>
      <c r="EUD32" s="109"/>
      <c r="EUE32" s="109"/>
      <c r="EUF32" s="109"/>
      <c r="EUG32" s="109"/>
      <c r="EUH32" s="109"/>
      <c r="EUI32" s="109"/>
      <c r="EUJ32" s="109"/>
      <c r="EUK32" s="109"/>
      <c r="EUL32" s="109"/>
      <c r="EUM32" s="109"/>
      <c r="EUN32" s="109"/>
      <c r="EUO32" s="109"/>
      <c r="EUP32" s="109"/>
      <c r="EUQ32" s="109"/>
      <c r="EUR32" s="109"/>
      <c r="EUS32" s="109"/>
      <c r="EUT32" s="109"/>
      <c r="EUU32" s="109"/>
      <c r="EUV32" s="109"/>
      <c r="EUW32" s="109"/>
      <c r="EUX32" s="109"/>
      <c r="EUY32" s="109"/>
      <c r="EUZ32" s="109"/>
      <c r="EVA32" s="109"/>
      <c r="EVB32" s="109"/>
      <c r="EVC32" s="109"/>
      <c r="EVD32" s="109"/>
      <c r="EVE32" s="109"/>
      <c r="EVF32" s="109"/>
      <c r="EVG32" s="109"/>
      <c r="EVH32" s="109"/>
      <c r="EVI32" s="109"/>
      <c r="EVJ32" s="109"/>
      <c r="EVK32" s="109"/>
      <c r="EVL32" s="109"/>
      <c r="EVM32" s="109"/>
      <c r="EVN32" s="109"/>
      <c r="EVO32" s="109"/>
      <c r="EVP32" s="109"/>
      <c r="EVQ32" s="109"/>
      <c r="EVR32" s="109"/>
      <c r="EVS32" s="109"/>
      <c r="EVT32" s="109"/>
      <c r="EVU32" s="109"/>
      <c r="EVV32" s="109"/>
      <c r="EVW32" s="109"/>
      <c r="EVX32" s="109"/>
      <c r="EVY32" s="109"/>
      <c r="EVZ32" s="109"/>
      <c r="EWA32" s="109"/>
      <c r="EWB32" s="109"/>
      <c r="EWC32" s="109"/>
      <c r="EWD32" s="109"/>
      <c r="EWE32" s="109"/>
      <c r="EWF32" s="109"/>
      <c r="EWG32" s="109"/>
      <c r="EWH32" s="109"/>
      <c r="EWI32" s="109"/>
      <c r="EWJ32" s="109"/>
      <c r="EWK32" s="109"/>
      <c r="EWL32" s="109"/>
      <c r="EWM32" s="109"/>
      <c r="EWN32" s="109"/>
      <c r="EWO32" s="109"/>
      <c r="EWP32" s="109"/>
      <c r="EWQ32" s="109"/>
      <c r="EWR32" s="109"/>
      <c r="EWS32" s="109"/>
      <c r="EWT32" s="109"/>
      <c r="EWU32" s="109"/>
      <c r="EWV32" s="109"/>
      <c r="EWW32" s="109"/>
      <c r="EWX32" s="109"/>
      <c r="EWY32" s="109"/>
      <c r="EWZ32" s="109"/>
      <c r="EXA32" s="109"/>
      <c r="EXB32" s="109"/>
      <c r="EXC32" s="109"/>
      <c r="EXD32" s="109"/>
      <c r="EXE32" s="109"/>
      <c r="EXF32" s="109"/>
      <c r="EXG32" s="109"/>
      <c r="EXH32" s="109"/>
      <c r="EXI32" s="109"/>
      <c r="EXJ32" s="109"/>
      <c r="EXK32" s="109"/>
      <c r="EXL32" s="109"/>
      <c r="EXM32" s="109"/>
      <c r="EXN32" s="109"/>
      <c r="EXO32" s="109"/>
      <c r="EXP32" s="109"/>
      <c r="EXQ32" s="109"/>
      <c r="EXR32" s="109"/>
      <c r="EXS32" s="109"/>
      <c r="EXT32" s="109"/>
      <c r="EXU32" s="109"/>
      <c r="EXV32" s="109"/>
      <c r="EXW32" s="109"/>
      <c r="EXX32" s="109"/>
      <c r="EXY32" s="109"/>
      <c r="EXZ32" s="109"/>
      <c r="EYA32" s="109"/>
      <c r="EYB32" s="109"/>
      <c r="EYC32" s="109"/>
      <c r="EYD32" s="109"/>
      <c r="EYE32" s="109"/>
      <c r="EYF32" s="109"/>
      <c r="EYG32" s="109"/>
      <c r="EYH32" s="109"/>
      <c r="EYI32" s="109"/>
      <c r="EYJ32" s="109"/>
      <c r="EYK32" s="109"/>
      <c r="EYL32" s="109"/>
      <c r="EYM32" s="109"/>
      <c r="EYN32" s="109"/>
      <c r="EYO32" s="109"/>
      <c r="EYP32" s="109"/>
      <c r="EYQ32" s="109"/>
      <c r="EYR32" s="109"/>
      <c r="EYS32" s="109"/>
      <c r="EYT32" s="109"/>
      <c r="EYU32" s="109"/>
      <c r="EYV32" s="109"/>
      <c r="EYW32" s="109"/>
      <c r="EYX32" s="109"/>
      <c r="EYY32" s="109"/>
      <c r="EYZ32" s="109"/>
      <c r="EZA32" s="109"/>
      <c r="EZB32" s="109"/>
      <c r="EZC32" s="109"/>
      <c r="EZD32" s="109"/>
      <c r="EZE32" s="109"/>
      <c r="EZF32" s="109"/>
      <c r="EZG32" s="109"/>
      <c r="EZH32" s="109"/>
      <c r="EZI32" s="109"/>
      <c r="EZJ32" s="109"/>
      <c r="EZK32" s="109"/>
      <c r="EZL32" s="109"/>
      <c r="EZM32" s="109"/>
      <c r="EZN32" s="109"/>
      <c r="EZO32" s="109"/>
      <c r="EZP32" s="109"/>
      <c r="EZQ32" s="109"/>
      <c r="EZR32" s="109"/>
      <c r="EZS32" s="109"/>
      <c r="EZT32" s="109"/>
      <c r="EZU32" s="109"/>
      <c r="EZV32" s="109"/>
      <c r="EZW32" s="109"/>
      <c r="EZX32" s="109"/>
      <c r="EZY32" s="109"/>
      <c r="EZZ32" s="109"/>
      <c r="FAA32" s="109"/>
      <c r="FAB32" s="109"/>
      <c r="FAC32" s="109"/>
      <c r="FAD32" s="109"/>
      <c r="FAE32" s="109"/>
      <c r="FAF32" s="109"/>
      <c r="FAG32" s="109"/>
      <c r="FAH32" s="109"/>
      <c r="FAI32" s="109"/>
      <c r="FAJ32" s="109"/>
      <c r="FAK32" s="109"/>
      <c r="FAL32" s="109"/>
      <c r="FAM32" s="109"/>
      <c r="FAN32" s="109"/>
      <c r="FAO32" s="109"/>
      <c r="FAP32" s="109"/>
      <c r="FAQ32" s="109"/>
      <c r="FAR32" s="109"/>
      <c r="FAS32" s="109"/>
      <c r="FAT32" s="109"/>
      <c r="FAU32" s="109"/>
      <c r="FAV32" s="109"/>
      <c r="FAW32" s="109"/>
      <c r="FAX32" s="109"/>
      <c r="FAY32" s="109"/>
      <c r="FAZ32" s="109"/>
      <c r="FBA32" s="109"/>
      <c r="FBB32" s="109"/>
      <c r="FBC32" s="109"/>
      <c r="FBD32" s="109"/>
      <c r="FBE32" s="109"/>
      <c r="FBF32" s="109"/>
      <c r="FBG32" s="109"/>
      <c r="FBH32" s="109"/>
      <c r="FBI32" s="109"/>
      <c r="FBJ32" s="109"/>
      <c r="FBK32" s="109"/>
      <c r="FBL32" s="109"/>
      <c r="FBM32" s="109"/>
      <c r="FBN32" s="109"/>
      <c r="FBO32" s="109"/>
      <c r="FBP32" s="109"/>
      <c r="FBQ32" s="109"/>
      <c r="FBR32" s="109"/>
      <c r="FBS32" s="109"/>
      <c r="FBT32" s="109"/>
      <c r="FBU32" s="109"/>
      <c r="FBV32" s="109"/>
      <c r="FBW32" s="109"/>
      <c r="FBX32" s="109"/>
      <c r="FBY32" s="109"/>
      <c r="FBZ32" s="109"/>
      <c r="FCA32" s="109"/>
      <c r="FCB32" s="109"/>
      <c r="FCC32" s="109"/>
      <c r="FCD32" s="109"/>
      <c r="FCE32" s="109"/>
      <c r="FCF32" s="109"/>
      <c r="FCG32" s="109"/>
      <c r="FCH32" s="109"/>
      <c r="FCI32" s="109"/>
      <c r="FCJ32" s="109"/>
      <c r="FCK32" s="109"/>
      <c r="FCL32" s="109"/>
      <c r="FCM32" s="109"/>
      <c r="FCN32" s="109"/>
      <c r="FCO32" s="109"/>
      <c r="FCP32" s="109"/>
      <c r="FCQ32" s="109"/>
      <c r="FCR32" s="109"/>
      <c r="FCS32" s="109"/>
      <c r="FCT32" s="109"/>
      <c r="FCU32" s="109"/>
      <c r="FCV32" s="109"/>
      <c r="FCW32" s="109"/>
      <c r="FCX32" s="109"/>
      <c r="FCY32" s="109"/>
      <c r="FCZ32" s="109"/>
      <c r="FDA32" s="109"/>
      <c r="FDB32" s="109"/>
      <c r="FDC32" s="109"/>
      <c r="FDD32" s="109"/>
      <c r="FDE32" s="109"/>
      <c r="FDF32" s="109"/>
      <c r="FDG32" s="109"/>
      <c r="FDH32" s="109"/>
      <c r="FDI32" s="109"/>
      <c r="FDJ32" s="109"/>
      <c r="FDK32" s="109"/>
      <c r="FDL32" s="109"/>
      <c r="FDM32" s="109"/>
      <c r="FDN32" s="109"/>
      <c r="FDO32" s="109"/>
      <c r="FDP32" s="109"/>
      <c r="FDQ32" s="109"/>
      <c r="FDR32" s="109"/>
      <c r="FDS32" s="109"/>
      <c r="FDT32" s="109"/>
      <c r="FDU32" s="109"/>
      <c r="FDV32" s="109"/>
      <c r="FDW32" s="109"/>
      <c r="FDX32" s="109"/>
      <c r="FDY32" s="109"/>
      <c r="FDZ32" s="109"/>
      <c r="FEA32" s="109"/>
      <c r="FEB32" s="109"/>
      <c r="FEC32" s="109"/>
      <c r="FED32" s="109"/>
      <c r="FEE32" s="109"/>
      <c r="FEF32" s="109"/>
      <c r="FEG32" s="109"/>
      <c r="FEH32" s="109"/>
      <c r="FEI32" s="109"/>
      <c r="FEJ32" s="109"/>
      <c r="FEK32" s="109"/>
      <c r="FEL32" s="109"/>
      <c r="FEM32" s="109"/>
      <c r="FEN32" s="109"/>
      <c r="FEO32" s="109"/>
      <c r="FEP32" s="109"/>
      <c r="FEQ32" s="109"/>
      <c r="FER32" s="109"/>
      <c r="FES32" s="109"/>
      <c r="FET32" s="109"/>
      <c r="FEU32" s="109"/>
      <c r="FEV32" s="109"/>
      <c r="FEW32" s="109"/>
      <c r="FEX32" s="109"/>
      <c r="FEY32" s="109"/>
      <c r="FEZ32" s="109"/>
      <c r="FFA32" s="109"/>
      <c r="FFB32" s="109"/>
      <c r="FFC32" s="109"/>
      <c r="FFD32" s="109"/>
      <c r="FFE32" s="109"/>
      <c r="FFF32" s="109"/>
      <c r="FFG32" s="109"/>
      <c r="FFH32" s="109"/>
      <c r="FFI32" s="109"/>
      <c r="FFJ32" s="109"/>
      <c r="FFK32" s="109"/>
      <c r="FFL32" s="109"/>
      <c r="FFM32" s="109"/>
      <c r="FFN32" s="109"/>
      <c r="FFO32" s="109"/>
      <c r="FFP32" s="109"/>
      <c r="FFQ32" s="109"/>
      <c r="FFR32" s="109"/>
      <c r="FFS32" s="109"/>
      <c r="FFT32" s="109"/>
      <c r="FFU32" s="109"/>
      <c r="FFV32" s="109"/>
      <c r="FFW32" s="109"/>
      <c r="FFX32" s="109"/>
      <c r="FFY32" s="109"/>
      <c r="FFZ32" s="109"/>
      <c r="FGA32" s="109"/>
      <c r="FGB32" s="109"/>
      <c r="FGC32" s="109"/>
      <c r="FGD32" s="109"/>
      <c r="FGE32" s="109"/>
      <c r="FGF32" s="109"/>
      <c r="FGG32" s="109"/>
      <c r="FGH32" s="109"/>
      <c r="FGI32" s="109"/>
      <c r="FGJ32" s="109"/>
      <c r="FGK32" s="109"/>
      <c r="FGL32" s="109"/>
      <c r="FGM32" s="109"/>
      <c r="FGN32" s="109"/>
      <c r="FGO32" s="109"/>
      <c r="FGP32" s="109"/>
      <c r="FGQ32" s="109"/>
      <c r="FGR32" s="109"/>
      <c r="FGS32" s="109"/>
      <c r="FGT32" s="109"/>
      <c r="FGU32" s="109"/>
      <c r="FGV32" s="109"/>
      <c r="FGW32" s="109"/>
      <c r="FGX32" s="109"/>
      <c r="FGY32" s="109"/>
      <c r="FGZ32" s="109"/>
      <c r="FHA32" s="109"/>
      <c r="FHB32" s="109"/>
      <c r="FHC32" s="109"/>
      <c r="FHD32" s="109"/>
      <c r="FHE32" s="109"/>
      <c r="FHF32" s="109"/>
      <c r="FHG32" s="109"/>
      <c r="FHH32" s="109"/>
      <c r="FHI32" s="109"/>
      <c r="FHJ32" s="109"/>
      <c r="FHK32" s="109"/>
      <c r="FHL32" s="109"/>
      <c r="FHM32" s="109"/>
      <c r="FHN32" s="109"/>
      <c r="FHO32" s="109"/>
      <c r="FHP32" s="109"/>
      <c r="FHQ32" s="109"/>
      <c r="FHR32" s="109"/>
      <c r="FHS32" s="109"/>
      <c r="FHT32" s="109"/>
      <c r="FHU32" s="109"/>
      <c r="FHV32" s="109"/>
      <c r="FHW32" s="109"/>
      <c r="FHX32" s="109"/>
      <c r="FHY32" s="109"/>
      <c r="FHZ32" s="109"/>
      <c r="FIA32" s="109"/>
      <c r="FIB32" s="109"/>
      <c r="FIC32" s="109"/>
      <c r="FID32" s="109"/>
      <c r="FIE32" s="109"/>
      <c r="FIF32" s="109"/>
      <c r="FIG32" s="109"/>
      <c r="FIH32" s="109"/>
      <c r="FII32" s="109"/>
      <c r="FIJ32" s="109"/>
      <c r="FIK32" s="109"/>
      <c r="FIL32" s="109"/>
      <c r="FIM32" s="109"/>
      <c r="FIN32" s="109"/>
      <c r="FIO32" s="109"/>
      <c r="FIP32" s="109"/>
      <c r="FIQ32" s="109"/>
      <c r="FIR32" s="109"/>
      <c r="FIS32" s="109"/>
      <c r="FIT32" s="109"/>
      <c r="FIU32" s="109"/>
      <c r="FIV32" s="109"/>
      <c r="FIW32" s="109"/>
      <c r="FIX32" s="109"/>
      <c r="FIY32" s="109"/>
      <c r="FIZ32" s="109"/>
      <c r="FJA32" s="109"/>
      <c r="FJB32" s="109"/>
      <c r="FJC32" s="109"/>
      <c r="FJD32" s="109"/>
      <c r="FJE32" s="109"/>
      <c r="FJF32" s="109"/>
      <c r="FJG32" s="109"/>
      <c r="FJH32" s="109"/>
      <c r="FJI32" s="109"/>
      <c r="FJJ32" s="109"/>
      <c r="FJK32" s="109"/>
      <c r="FJL32" s="109"/>
      <c r="FJM32" s="109"/>
      <c r="FJN32" s="109"/>
      <c r="FJO32" s="109"/>
      <c r="FJP32" s="109"/>
      <c r="FJQ32" s="109"/>
      <c r="FJR32" s="109"/>
      <c r="FJS32" s="109"/>
      <c r="FJT32" s="109"/>
      <c r="FJU32" s="109"/>
      <c r="FJV32" s="109"/>
      <c r="FJW32" s="109"/>
      <c r="FJX32" s="109"/>
      <c r="FJY32" s="109"/>
      <c r="FJZ32" s="109"/>
      <c r="FKA32" s="109"/>
      <c r="FKB32" s="109"/>
      <c r="FKC32" s="109"/>
      <c r="FKD32" s="109"/>
      <c r="FKE32" s="109"/>
      <c r="FKF32" s="109"/>
      <c r="FKG32" s="109"/>
      <c r="FKH32" s="109"/>
      <c r="FKI32" s="109"/>
      <c r="FKJ32" s="109"/>
      <c r="FKK32" s="109"/>
      <c r="FKL32" s="109"/>
      <c r="FKM32" s="109"/>
      <c r="FKN32" s="109"/>
      <c r="FKO32" s="109"/>
      <c r="FKP32" s="109"/>
      <c r="FKQ32" s="109"/>
      <c r="FKR32" s="109"/>
      <c r="FKS32" s="109"/>
      <c r="FKT32" s="109"/>
      <c r="FKU32" s="109"/>
      <c r="FKV32" s="109"/>
      <c r="FKW32" s="109"/>
      <c r="FKX32" s="109"/>
      <c r="FKY32" s="109"/>
      <c r="FKZ32" s="109"/>
      <c r="FLA32" s="109"/>
      <c r="FLB32" s="109"/>
      <c r="FLC32" s="109"/>
      <c r="FLD32" s="109"/>
      <c r="FLE32" s="109"/>
      <c r="FLF32" s="109"/>
      <c r="FLG32" s="109"/>
      <c r="FLH32" s="109"/>
      <c r="FLI32" s="109"/>
      <c r="FLJ32" s="109"/>
      <c r="FLK32" s="109"/>
      <c r="FLL32" s="109"/>
      <c r="FLM32" s="109"/>
      <c r="FLN32" s="109"/>
      <c r="FLO32" s="109"/>
      <c r="FLP32" s="109"/>
      <c r="FLQ32" s="109"/>
      <c r="FLR32" s="109"/>
      <c r="FLS32" s="109"/>
      <c r="FLT32" s="109"/>
      <c r="FLU32" s="109"/>
      <c r="FLV32" s="109"/>
      <c r="FLW32" s="109"/>
      <c r="FLX32" s="109"/>
      <c r="FLY32" s="109"/>
      <c r="FLZ32" s="109"/>
      <c r="FMA32" s="109"/>
      <c r="FMB32" s="109"/>
      <c r="FMC32" s="109"/>
      <c r="FMD32" s="109"/>
      <c r="FME32" s="109"/>
      <c r="FMF32" s="109"/>
      <c r="FMG32" s="109"/>
      <c r="FMH32" s="109"/>
      <c r="FMI32" s="109"/>
      <c r="FMJ32" s="109"/>
      <c r="FMK32" s="109"/>
      <c r="FML32" s="109"/>
      <c r="FMM32" s="109"/>
      <c r="FMN32" s="109"/>
      <c r="FMO32" s="109"/>
      <c r="FMP32" s="109"/>
      <c r="FMQ32" s="109"/>
      <c r="FMR32" s="109"/>
      <c r="FMS32" s="109"/>
      <c r="FMT32" s="109"/>
      <c r="FMU32" s="109"/>
      <c r="FMV32" s="109"/>
      <c r="FMW32" s="109"/>
      <c r="FMX32" s="109"/>
      <c r="FMY32" s="109"/>
      <c r="FMZ32" s="109"/>
      <c r="FNA32" s="109"/>
      <c r="FNB32" s="109"/>
      <c r="FNC32" s="109"/>
      <c r="FND32" s="109"/>
      <c r="FNE32" s="109"/>
      <c r="FNF32" s="109"/>
      <c r="FNG32" s="109"/>
      <c r="FNH32" s="109"/>
      <c r="FNI32" s="109"/>
      <c r="FNJ32" s="109"/>
      <c r="FNK32" s="109"/>
      <c r="FNL32" s="109"/>
      <c r="FNM32" s="109"/>
      <c r="FNN32" s="109"/>
      <c r="FNO32" s="109"/>
      <c r="FNP32" s="109"/>
      <c r="FNQ32" s="109"/>
      <c r="FNR32" s="109"/>
      <c r="FNS32" s="109"/>
      <c r="FNT32" s="109"/>
      <c r="FNU32" s="109"/>
      <c r="FNV32" s="109"/>
      <c r="FNW32" s="109"/>
      <c r="FNX32" s="109"/>
      <c r="FNY32" s="109"/>
      <c r="FNZ32" s="109"/>
      <c r="FOA32" s="109"/>
      <c r="FOB32" s="109"/>
      <c r="FOC32" s="109"/>
      <c r="FOD32" s="109"/>
      <c r="FOE32" s="109"/>
      <c r="FOF32" s="109"/>
      <c r="FOG32" s="109"/>
      <c r="FOH32" s="109"/>
      <c r="FOI32" s="109"/>
      <c r="FOJ32" s="109"/>
      <c r="FOK32" s="109"/>
      <c r="FOL32" s="109"/>
      <c r="FOM32" s="109"/>
      <c r="FON32" s="109"/>
      <c r="FOO32" s="109"/>
      <c r="FOP32" s="109"/>
      <c r="FOQ32" s="109"/>
      <c r="FOR32" s="109"/>
      <c r="FOS32" s="109"/>
      <c r="FOT32" s="109"/>
      <c r="FOU32" s="109"/>
      <c r="FOV32" s="109"/>
      <c r="FOW32" s="109"/>
      <c r="FOX32" s="109"/>
      <c r="FOY32" s="109"/>
      <c r="FOZ32" s="109"/>
      <c r="FPA32" s="109"/>
      <c r="FPB32" s="109"/>
      <c r="FPC32" s="109"/>
      <c r="FPD32" s="109"/>
      <c r="FPE32" s="109"/>
      <c r="FPF32" s="109"/>
      <c r="FPG32" s="109"/>
      <c r="FPH32" s="109"/>
      <c r="FPI32" s="109"/>
      <c r="FPJ32" s="109"/>
      <c r="FPK32" s="109"/>
      <c r="FPL32" s="109"/>
      <c r="FPM32" s="109"/>
      <c r="FPN32" s="109"/>
      <c r="FPO32" s="109"/>
      <c r="FPP32" s="109"/>
      <c r="FPQ32" s="109"/>
      <c r="FPR32" s="109"/>
      <c r="FPS32" s="109"/>
      <c r="FPT32" s="109"/>
      <c r="FPU32" s="109"/>
      <c r="FPV32" s="109"/>
      <c r="FPW32" s="109"/>
      <c r="FPX32" s="109"/>
      <c r="FPY32" s="109"/>
      <c r="FPZ32" s="109"/>
      <c r="FQA32" s="109"/>
      <c r="FQB32" s="109"/>
      <c r="FQC32" s="109"/>
      <c r="FQD32" s="109"/>
      <c r="FQE32" s="109"/>
      <c r="FQF32" s="109"/>
      <c r="FQG32" s="109"/>
      <c r="FQH32" s="109"/>
      <c r="FQI32" s="109"/>
      <c r="FQJ32" s="109"/>
      <c r="FQK32" s="109"/>
      <c r="FQL32" s="109"/>
      <c r="FQM32" s="109"/>
      <c r="FQN32" s="109"/>
      <c r="FQO32" s="109"/>
      <c r="FQP32" s="109"/>
      <c r="FQQ32" s="109"/>
      <c r="FQR32" s="109"/>
      <c r="FQS32" s="109"/>
      <c r="FQT32" s="109"/>
      <c r="FQU32" s="109"/>
      <c r="FQV32" s="109"/>
      <c r="FQW32" s="109"/>
      <c r="FQX32" s="109"/>
      <c r="FQY32" s="109"/>
      <c r="FQZ32" s="109"/>
      <c r="FRA32" s="109"/>
      <c r="FRB32" s="109"/>
      <c r="FRC32" s="109"/>
      <c r="FRD32" s="109"/>
      <c r="FRE32" s="109"/>
      <c r="FRF32" s="109"/>
      <c r="FRG32" s="109"/>
      <c r="FRH32" s="109"/>
      <c r="FRI32" s="109"/>
      <c r="FRJ32" s="109"/>
      <c r="FRK32" s="109"/>
      <c r="FRL32" s="109"/>
      <c r="FRM32" s="109"/>
      <c r="FRN32" s="109"/>
      <c r="FRO32" s="109"/>
      <c r="FRP32" s="109"/>
      <c r="FRQ32" s="109"/>
      <c r="FRR32" s="109"/>
      <c r="FRS32" s="109"/>
      <c r="FRT32" s="109"/>
      <c r="FRU32" s="109"/>
      <c r="FRV32" s="109"/>
      <c r="FRW32" s="109"/>
      <c r="FRX32" s="109"/>
      <c r="FRY32" s="109"/>
      <c r="FRZ32" s="109"/>
      <c r="FSA32" s="109"/>
      <c r="FSB32" s="109"/>
      <c r="FSC32" s="109"/>
      <c r="FSD32" s="109"/>
      <c r="FSE32" s="109"/>
      <c r="FSF32" s="109"/>
      <c r="FSG32" s="109"/>
      <c r="FSH32" s="109"/>
      <c r="FSI32" s="109"/>
      <c r="FSJ32" s="109"/>
      <c r="FSK32" s="109"/>
      <c r="FSL32" s="109"/>
      <c r="FSM32" s="109"/>
      <c r="FSN32" s="109"/>
      <c r="FSO32" s="109"/>
      <c r="FSP32" s="109"/>
      <c r="FSQ32" s="109"/>
      <c r="FSR32" s="109"/>
      <c r="FSS32" s="109"/>
      <c r="FST32" s="109"/>
      <c r="FSU32" s="109"/>
      <c r="FSV32" s="109"/>
      <c r="FSW32" s="109"/>
      <c r="FSX32" s="109"/>
      <c r="FSY32" s="109"/>
      <c r="FSZ32" s="109"/>
      <c r="FTA32" s="109"/>
      <c r="FTB32" s="109"/>
      <c r="FTC32" s="109"/>
      <c r="FTD32" s="109"/>
      <c r="FTE32" s="109"/>
      <c r="FTF32" s="109"/>
      <c r="FTG32" s="109"/>
      <c r="FTH32" s="109"/>
      <c r="FTI32" s="109"/>
      <c r="FTJ32" s="109"/>
      <c r="FTK32" s="109"/>
      <c r="FTL32" s="109"/>
      <c r="FTM32" s="109"/>
      <c r="FTN32" s="109"/>
      <c r="FTO32" s="109"/>
      <c r="FTP32" s="109"/>
      <c r="FTQ32" s="109"/>
      <c r="FTR32" s="109"/>
      <c r="FTS32" s="109"/>
      <c r="FTT32" s="109"/>
      <c r="FTU32" s="109"/>
      <c r="FTV32" s="109"/>
      <c r="FTW32" s="109"/>
      <c r="FTX32" s="109"/>
      <c r="FTY32" s="109"/>
      <c r="FTZ32" s="109"/>
      <c r="FUA32" s="109"/>
      <c r="FUB32" s="109"/>
      <c r="FUC32" s="109"/>
      <c r="FUD32" s="109"/>
      <c r="FUE32" s="109"/>
      <c r="FUF32" s="109"/>
      <c r="FUG32" s="109"/>
      <c r="FUH32" s="109"/>
      <c r="FUI32" s="109"/>
      <c r="FUJ32" s="109"/>
      <c r="FUK32" s="109"/>
      <c r="FUL32" s="109"/>
      <c r="FUM32" s="109"/>
      <c r="FUN32" s="109"/>
      <c r="FUO32" s="109"/>
      <c r="FUP32" s="109"/>
      <c r="FUQ32" s="109"/>
      <c r="FUR32" s="109"/>
      <c r="FUS32" s="109"/>
      <c r="FUT32" s="109"/>
      <c r="FUU32" s="109"/>
      <c r="FUV32" s="109"/>
      <c r="FUW32" s="109"/>
      <c r="FUX32" s="109"/>
      <c r="FUY32" s="109"/>
      <c r="FUZ32" s="109"/>
      <c r="FVA32" s="109"/>
      <c r="FVB32" s="109"/>
      <c r="FVC32" s="109"/>
      <c r="FVD32" s="109"/>
      <c r="FVE32" s="109"/>
      <c r="FVF32" s="109"/>
      <c r="FVG32" s="109"/>
      <c r="FVH32" s="109"/>
      <c r="FVI32" s="109"/>
      <c r="FVJ32" s="109"/>
      <c r="FVK32" s="109"/>
      <c r="FVL32" s="109"/>
      <c r="FVM32" s="109"/>
      <c r="FVN32" s="109"/>
      <c r="FVO32" s="109"/>
      <c r="FVP32" s="109"/>
      <c r="FVQ32" s="109"/>
      <c r="FVR32" s="109"/>
      <c r="FVS32" s="109"/>
      <c r="FVT32" s="109"/>
      <c r="FVU32" s="109"/>
      <c r="FVV32" s="109"/>
      <c r="FVW32" s="109"/>
      <c r="FVX32" s="109"/>
      <c r="FVY32" s="109"/>
      <c r="FVZ32" s="109"/>
      <c r="FWA32" s="109"/>
      <c r="FWB32" s="109"/>
      <c r="FWC32" s="109"/>
      <c r="FWD32" s="109"/>
      <c r="FWE32" s="109"/>
      <c r="FWF32" s="109"/>
      <c r="FWG32" s="109"/>
      <c r="FWH32" s="109"/>
      <c r="FWI32" s="109"/>
      <c r="FWJ32" s="109"/>
      <c r="FWK32" s="109"/>
      <c r="FWL32" s="109"/>
      <c r="FWM32" s="109"/>
      <c r="FWN32" s="109"/>
      <c r="FWO32" s="109"/>
      <c r="FWP32" s="109"/>
      <c r="FWQ32" s="109"/>
      <c r="FWR32" s="109"/>
      <c r="FWS32" s="109"/>
      <c r="FWT32" s="109"/>
      <c r="FWU32" s="109"/>
      <c r="FWV32" s="109"/>
      <c r="FWW32" s="109"/>
      <c r="FWX32" s="109"/>
      <c r="FWY32" s="109"/>
      <c r="FWZ32" s="109"/>
      <c r="FXA32" s="109"/>
      <c r="FXB32" s="109"/>
      <c r="FXC32" s="109"/>
      <c r="FXD32" s="109"/>
      <c r="FXE32" s="109"/>
      <c r="FXF32" s="109"/>
      <c r="FXG32" s="109"/>
      <c r="FXH32" s="109"/>
      <c r="FXI32" s="109"/>
      <c r="FXJ32" s="109"/>
      <c r="FXK32" s="109"/>
      <c r="FXL32" s="109"/>
      <c r="FXM32" s="109"/>
      <c r="FXN32" s="109"/>
      <c r="FXO32" s="109"/>
      <c r="FXP32" s="109"/>
      <c r="FXQ32" s="109"/>
      <c r="FXR32" s="109"/>
      <c r="FXS32" s="109"/>
      <c r="FXT32" s="109"/>
      <c r="FXU32" s="109"/>
      <c r="FXV32" s="109"/>
      <c r="FXW32" s="109"/>
      <c r="FXX32" s="109"/>
      <c r="FXY32" s="109"/>
      <c r="FXZ32" s="109"/>
      <c r="FYA32" s="109"/>
      <c r="FYB32" s="109"/>
      <c r="FYC32" s="109"/>
      <c r="FYD32" s="109"/>
      <c r="FYE32" s="109"/>
      <c r="FYF32" s="109"/>
      <c r="FYG32" s="109"/>
      <c r="FYH32" s="109"/>
      <c r="FYI32" s="109"/>
      <c r="FYJ32" s="109"/>
      <c r="FYK32" s="109"/>
      <c r="FYL32" s="109"/>
      <c r="FYM32" s="109"/>
      <c r="FYN32" s="109"/>
      <c r="FYO32" s="109"/>
      <c r="FYP32" s="109"/>
      <c r="FYQ32" s="109"/>
      <c r="FYR32" s="109"/>
      <c r="FYS32" s="109"/>
      <c r="FYT32" s="109"/>
      <c r="FYU32" s="109"/>
      <c r="FYV32" s="109"/>
      <c r="FYW32" s="109"/>
      <c r="FYX32" s="109"/>
      <c r="FYY32" s="109"/>
      <c r="FYZ32" s="109"/>
      <c r="FZA32" s="109"/>
      <c r="FZB32" s="109"/>
      <c r="FZC32" s="109"/>
      <c r="FZD32" s="109"/>
      <c r="FZE32" s="109"/>
      <c r="FZF32" s="109"/>
      <c r="FZG32" s="109"/>
      <c r="FZH32" s="109"/>
      <c r="FZI32" s="109"/>
      <c r="FZJ32" s="109"/>
      <c r="FZK32" s="109"/>
      <c r="FZL32" s="109"/>
      <c r="FZM32" s="109"/>
      <c r="FZN32" s="109"/>
      <c r="FZO32" s="109"/>
      <c r="FZP32" s="109"/>
      <c r="FZQ32" s="109"/>
      <c r="FZR32" s="109"/>
      <c r="FZS32" s="109"/>
      <c r="FZT32" s="109"/>
      <c r="FZU32" s="109"/>
      <c r="FZV32" s="109"/>
      <c r="FZW32" s="109"/>
      <c r="FZX32" s="109"/>
      <c r="FZY32" s="109"/>
      <c r="FZZ32" s="109"/>
      <c r="GAA32" s="109"/>
      <c r="GAB32" s="109"/>
      <c r="GAC32" s="109"/>
      <c r="GAD32" s="109"/>
      <c r="GAE32" s="109"/>
      <c r="GAF32" s="109"/>
      <c r="GAG32" s="109"/>
      <c r="GAH32" s="109"/>
      <c r="GAI32" s="109"/>
      <c r="GAJ32" s="109"/>
      <c r="GAK32" s="109"/>
      <c r="GAL32" s="109"/>
      <c r="GAM32" s="109"/>
      <c r="GAN32" s="109"/>
      <c r="GAO32" s="109"/>
      <c r="GAP32" s="109"/>
      <c r="GAQ32" s="109"/>
      <c r="GAR32" s="109"/>
      <c r="GAS32" s="109"/>
      <c r="GAT32" s="109"/>
      <c r="GAU32" s="109"/>
      <c r="GAV32" s="109"/>
      <c r="GAW32" s="109"/>
      <c r="GAX32" s="109"/>
      <c r="GAY32" s="109"/>
      <c r="GAZ32" s="109"/>
      <c r="GBA32" s="109"/>
      <c r="GBB32" s="109"/>
      <c r="GBC32" s="109"/>
      <c r="GBD32" s="109"/>
      <c r="GBE32" s="109"/>
      <c r="GBF32" s="109"/>
      <c r="GBG32" s="109"/>
      <c r="GBH32" s="109"/>
      <c r="GBI32" s="109"/>
      <c r="GBJ32" s="109"/>
      <c r="GBK32" s="109"/>
      <c r="GBL32" s="109"/>
      <c r="GBM32" s="109"/>
      <c r="GBN32" s="109"/>
      <c r="GBO32" s="109"/>
      <c r="GBP32" s="109"/>
      <c r="GBQ32" s="109"/>
      <c r="GBR32" s="109"/>
      <c r="GBS32" s="109"/>
      <c r="GBT32" s="109"/>
      <c r="GBU32" s="109"/>
      <c r="GBV32" s="109"/>
      <c r="GBW32" s="109"/>
      <c r="GBX32" s="109"/>
      <c r="GBY32" s="109"/>
      <c r="GBZ32" s="109"/>
      <c r="GCA32" s="109"/>
      <c r="GCB32" s="109"/>
      <c r="GCC32" s="109"/>
      <c r="GCD32" s="109"/>
      <c r="GCE32" s="109"/>
      <c r="GCF32" s="109"/>
      <c r="GCG32" s="109"/>
      <c r="GCH32" s="109"/>
      <c r="GCI32" s="109"/>
      <c r="GCJ32" s="109"/>
      <c r="GCK32" s="109"/>
      <c r="GCL32" s="109"/>
      <c r="GCM32" s="109"/>
      <c r="GCN32" s="109"/>
      <c r="GCO32" s="109"/>
      <c r="GCP32" s="109"/>
      <c r="GCQ32" s="109"/>
      <c r="GCR32" s="109"/>
      <c r="GCS32" s="109"/>
      <c r="GCT32" s="109"/>
      <c r="GCU32" s="109"/>
      <c r="GCV32" s="109"/>
      <c r="GCW32" s="109"/>
      <c r="GCX32" s="109"/>
      <c r="GCY32" s="109"/>
      <c r="GCZ32" s="109"/>
      <c r="GDA32" s="109"/>
      <c r="GDB32" s="109"/>
      <c r="GDC32" s="109"/>
      <c r="GDD32" s="109"/>
      <c r="GDE32" s="109"/>
      <c r="GDF32" s="109"/>
      <c r="GDG32" s="109"/>
      <c r="GDH32" s="109"/>
      <c r="GDI32" s="109"/>
      <c r="GDJ32" s="109"/>
      <c r="GDK32" s="109"/>
      <c r="GDL32" s="109"/>
      <c r="GDM32" s="109"/>
      <c r="GDN32" s="109"/>
      <c r="GDO32" s="109"/>
      <c r="GDP32" s="109"/>
      <c r="GDQ32" s="109"/>
      <c r="GDR32" s="109"/>
      <c r="GDS32" s="109"/>
      <c r="GDT32" s="109"/>
      <c r="GDU32" s="109"/>
      <c r="GDV32" s="109"/>
      <c r="GDW32" s="109"/>
      <c r="GDX32" s="109"/>
      <c r="GDY32" s="109"/>
      <c r="GDZ32" s="109"/>
      <c r="GEA32" s="109"/>
      <c r="GEB32" s="109"/>
      <c r="GEC32" s="109"/>
      <c r="GED32" s="109"/>
      <c r="GEE32" s="109"/>
      <c r="GEF32" s="109"/>
      <c r="GEG32" s="109"/>
      <c r="GEH32" s="109"/>
      <c r="GEI32" s="109"/>
      <c r="GEJ32" s="109"/>
      <c r="GEK32" s="109"/>
      <c r="GEL32" s="109"/>
      <c r="GEM32" s="109"/>
      <c r="GEN32" s="109"/>
      <c r="GEO32" s="109"/>
      <c r="GEP32" s="109"/>
      <c r="GEQ32" s="109"/>
      <c r="GER32" s="109"/>
      <c r="GES32" s="109"/>
      <c r="GET32" s="109"/>
      <c r="GEU32" s="109"/>
      <c r="GEV32" s="109"/>
      <c r="GEW32" s="109"/>
      <c r="GEX32" s="109"/>
      <c r="GEY32" s="109"/>
      <c r="GEZ32" s="109"/>
      <c r="GFA32" s="109"/>
      <c r="GFB32" s="109"/>
      <c r="GFC32" s="109"/>
      <c r="GFD32" s="109"/>
      <c r="GFE32" s="109"/>
      <c r="GFF32" s="109"/>
      <c r="GFG32" s="109"/>
      <c r="GFH32" s="109"/>
      <c r="GFI32" s="109"/>
      <c r="GFJ32" s="109"/>
      <c r="GFK32" s="109"/>
      <c r="GFL32" s="109"/>
      <c r="GFM32" s="109"/>
      <c r="GFN32" s="109"/>
      <c r="GFO32" s="109"/>
      <c r="GFP32" s="109"/>
      <c r="GFQ32" s="109"/>
      <c r="GFR32" s="109"/>
      <c r="GFS32" s="109"/>
      <c r="GFT32" s="109"/>
      <c r="GFU32" s="109"/>
      <c r="GFV32" s="109"/>
      <c r="GFW32" s="109"/>
      <c r="GFX32" s="109"/>
      <c r="GFY32" s="109"/>
      <c r="GFZ32" s="109"/>
      <c r="GGA32" s="109"/>
      <c r="GGB32" s="109"/>
      <c r="GGC32" s="109"/>
      <c r="GGD32" s="109"/>
      <c r="GGE32" s="109"/>
      <c r="GGF32" s="109"/>
      <c r="GGG32" s="109"/>
      <c r="GGH32" s="109"/>
      <c r="GGI32" s="109"/>
      <c r="GGJ32" s="109"/>
      <c r="GGK32" s="109"/>
      <c r="GGL32" s="109"/>
      <c r="GGM32" s="109"/>
      <c r="GGN32" s="109"/>
      <c r="GGO32" s="109"/>
      <c r="GGP32" s="109"/>
      <c r="GGQ32" s="109"/>
      <c r="GGR32" s="109"/>
      <c r="GGS32" s="109"/>
      <c r="GGT32" s="109"/>
      <c r="GGU32" s="109"/>
      <c r="GGV32" s="109"/>
      <c r="GGW32" s="109"/>
      <c r="GGX32" s="109"/>
      <c r="GGY32" s="109"/>
      <c r="GGZ32" s="109"/>
      <c r="GHA32" s="109"/>
      <c r="GHB32" s="109"/>
      <c r="GHC32" s="109"/>
      <c r="GHD32" s="109"/>
      <c r="GHE32" s="109"/>
      <c r="GHF32" s="109"/>
      <c r="GHG32" s="109"/>
      <c r="GHH32" s="109"/>
      <c r="GHI32" s="109"/>
      <c r="GHJ32" s="109"/>
      <c r="GHK32" s="109"/>
      <c r="GHL32" s="109"/>
      <c r="GHM32" s="109"/>
      <c r="GHN32" s="109"/>
      <c r="GHO32" s="109"/>
      <c r="GHP32" s="109"/>
      <c r="GHQ32" s="109"/>
      <c r="GHR32" s="109"/>
      <c r="GHS32" s="109"/>
      <c r="GHT32" s="109"/>
      <c r="GHU32" s="109"/>
      <c r="GHV32" s="109"/>
      <c r="GHW32" s="109"/>
      <c r="GHX32" s="109"/>
      <c r="GHY32" s="109"/>
      <c r="GHZ32" s="109"/>
      <c r="GIA32" s="109"/>
      <c r="GIB32" s="109"/>
      <c r="GIC32" s="109"/>
      <c r="GID32" s="109"/>
      <c r="GIE32" s="109"/>
      <c r="GIF32" s="109"/>
      <c r="GIG32" s="109"/>
      <c r="GIH32" s="109"/>
      <c r="GII32" s="109"/>
      <c r="GIJ32" s="109"/>
      <c r="GIK32" s="109"/>
      <c r="GIL32" s="109"/>
      <c r="GIM32" s="109"/>
      <c r="GIN32" s="109"/>
      <c r="GIO32" s="109"/>
      <c r="GIP32" s="109"/>
      <c r="GIQ32" s="109"/>
      <c r="GIR32" s="109"/>
      <c r="GIS32" s="109"/>
      <c r="GIT32" s="109"/>
      <c r="GIU32" s="109"/>
      <c r="GIV32" s="109"/>
      <c r="GIW32" s="109"/>
      <c r="GIX32" s="109"/>
      <c r="GIY32" s="109"/>
      <c r="GIZ32" s="109"/>
      <c r="GJA32" s="109"/>
      <c r="GJB32" s="109"/>
      <c r="GJC32" s="109"/>
      <c r="GJD32" s="109"/>
      <c r="GJE32" s="109"/>
      <c r="GJF32" s="109"/>
      <c r="GJG32" s="109"/>
      <c r="GJH32" s="109"/>
      <c r="GJI32" s="109"/>
      <c r="GJJ32" s="109"/>
      <c r="GJK32" s="109"/>
      <c r="GJL32" s="109"/>
      <c r="GJM32" s="109"/>
      <c r="GJN32" s="109"/>
      <c r="GJO32" s="109"/>
      <c r="GJP32" s="109"/>
      <c r="GJQ32" s="109"/>
      <c r="GJR32" s="109"/>
      <c r="GJS32" s="109"/>
      <c r="GJT32" s="109"/>
      <c r="GJU32" s="109"/>
      <c r="GJV32" s="109"/>
      <c r="GJW32" s="109"/>
      <c r="GJX32" s="109"/>
      <c r="GJY32" s="109"/>
      <c r="GJZ32" s="109"/>
      <c r="GKA32" s="109"/>
      <c r="GKB32" s="109"/>
      <c r="GKC32" s="109"/>
      <c r="GKD32" s="109"/>
      <c r="GKE32" s="109"/>
      <c r="GKF32" s="109"/>
      <c r="GKG32" s="109"/>
      <c r="GKH32" s="109"/>
      <c r="GKI32" s="109"/>
      <c r="GKJ32" s="109"/>
      <c r="GKK32" s="109"/>
      <c r="GKL32" s="109"/>
      <c r="GKM32" s="109"/>
      <c r="GKN32" s="109"/>
      <c r="GKO32" s="109"/>
      <c r="GKP32" s="109"/>
      <c r="GKQ32" s="109"/>
      <c r="GKR32" s="109"/>
      <c r="GKS32" s="109"/>
      <c r="GKT32" s="109"/>
      <c r="GKU32" s="109"/>
      <c r="GKV32" s="109"/>
      <c r="GKW32" s="109"/>
      <c r="GKX32" s="109"/>
      <c r="GKY32" s="109"/>
      <c r="GKZ32" s="109"/>
      <c r="GLA32" s="109"/>
      <c r="GLB32" s="109"/>
      <c r="GLC32" s="109"/>
      <c r="GLD32" s="109"/>
      <c r="GLE32" s="109"/>
      <c r="GLF32" s="109"/>
      <c r="GLG32" s="109"/>
      <c r="GLH32" s="109"/>
      <c r="GLI32" s="109"/>
      <c r="GLJ32" s="109"/>
      <c r="GLK32" s="109"/>
      <c r="GLL32" s="109"/>
      <c r="GLM32" s="109"/>
      <c r="GLN32" s="109"/>
      <c r="GLO32" s="109"/>
      <c r="GLP32" s="109"/>
      <c r="GLQ32" s="109"/>
      <c r="GLR32" s="109"/>
      <c r="GLS32" s="109"/>
      <c r="GLT32" s="109"/>
      <c r="GLU32" s="109"/>
      <c r="GLV32" s="109"/>
      <c r="GLW32" s="109"/>
      <c r="GLX32" s="109"/>
      <c r="GLY32" s="109"/>
      <c r="GLZ32" s="109"/>
      <c r="GMA32" s="109"/>
      <c r="GMB32" s="109"/>
      <c r="GMC32" s="109"/>
      <c r="GMD32" s="109"/>
      <c r="GME32" s="109"/>
      <c r="GMF32" s="109"/>
      <c r="GMG32" s="109"/>
      <c r="GMH32" s="109"/>
      <c r="GMI32" s="109"/>
      <c r="GMJ32" s="109"/>
      <c r="GMK32" s="109"/>
      <c r="GML32" s="109"/>
      <c r="GMM32" s="109"/>
      <c r="GMN32" s="109"/>
      <c r="GMO32" s="109"/>
      <c r="GMP32" s="109"/>
      <c r="GMQ32" s="109"/>
      <c r="GMR32" s="109"/>
      <c r="GMS32" s="109"/>
      <c r="GMT32" s="109"/>
      <c r="GMU32" s="109"/>
      <c r="GMV32" s="109"/>
      <c r="GMW32" s="109"/>
      <c r="GMX32" s="109"/>
      <c r="GMY32" s="109"/>
      <c r="GMZ32" s="109"/>
      <c r="GNA32" s="109"/>
      <c r="GNB32" s="109"/>
      <c r="GNC32" s="109"/>
      <c r="GND32" s="109"/>
      <c r="GNE32" s="109"/>
      <c r="GNF32" s="109"/>
      <c r="GNG32" s="109"/>
      <c r="GNH32" s="109"/>
      <c r="GNI32" s="109"/>
      <c r="GNJ32" s="109"/>
      <c r="GNK32" s="109"/>
      <c r="GNL32" s="109"/>
      <c r="GNM32" s="109"/>
      <c r="GNN32" s="109"/>
      <c r="GNO32" s="109"/>
      <c r="GNP32" s="109"/>
      <c r="GNQ32" s="109"/>
      <c r="GNR32" s="109"/>
      <c r="GNS32" s="109"/>
      <c r="GNT32" s="109"/>
      <c r="GNU32" s="109"/>
      <c r="GNV32" s="109"/>
      <c r="GNW32" s="109"/>
      <c r="GNX32" s="109"/>
      <c r="GNY32" s="109"/>
      <c r="GNZ32" s="109"/>
      <c r="GOA32" s="109"/>
      <c r="GOB32" s="109"/>
      <c r="GOC32" s="109"/>
      <c r="GOD32" s="109"/>
      <c r="GOE32" s="109"/>
      <c r="GOF32" s="109"/>
      <c r="GOG32" s="109"/>
      <c r="GOH32" s="109"/>
      <c r="GOI32" s="109"/>
      <c r="GOJ32" s="109"/>
      <c r="GOK32" s="109"/>
      <c r="GOL32" s="109"/>
      <c r="GOM32" s="109"/>
      <c r="GON32" s="109"/>
      <c r="GOO32" s="109"/>
      <c r="GOP32" s="109"/>
      <c r="GOQ32" s="109"/>
      <c r="GOR32" s="109"/>
      <c r="GOS32" s="109"/>
      <c r="GOT32" s="109"/>
      <c r="GOU32" s="109"/>
      <c r="GOV32" s="109"/>
      <c r="GOW32" s="109"/>
      <c r="GOX32" s="109"/>
      <c r="GOY32" s="109"/>
      <c r="GOZ32" s="109"/>
      <c r="GPA32" s="109"/>
      <c r="GPB32" s="109"/>
      <c r="GPC32" s="109"/>
      <c r="GPD32" s="109"/>
      <c r="GPE32" s="109"/>
      <c r="GPF32" s="109"/>
      <c r="GPG32" s="109"/>
      <c r="GPH32" s="109"/>
      <c r="GPI32" s="109"/>
      <c r="GPJ32" s="109"/>
      <c r="GPK32" s="109"/>
      <c r="GPL32" s="109"/>
      <c r="GPM32" s="109"/>
      <c r="GPN32" s="109"/>
      <c r="GPO32" s="109"/>
      <c r="GPP32" s="109"/>
      <c r="GPQ32" s="109"/>
      <c r="GPR32" s="109"/>
      <c r="GPS32" s="109"/>
      <c r="GPT32" s="109"/>
      <c r="GPU32" s="109"/>
      <c r="GPV32" s="109"/>
      <c r="GPW32" s="109"/>
      <c r="GPX32" s="109"/>
      <c r="GPY32" s="109"/>
      <c r="GPZ32" s="109"/>
      <c r="GQA32" s="109"/>
      <c r="GQB32" s="109"/>
      <c r="GQC32" s="109"/>
      <c r="GQD32" s="109"/>
      <c r="GQE32" s="109"/>
      <c r="GQF32" s="109"/>
      <c r="GQG32" s="109"/>
      <c r="GQH32" s="109"/>
      <c r="GQI32" s="109"/>
      <c r="GQJ32" s="109"/>
      <c r="GQK32" s="109"/>
      <c r="GQL32" s="109"/>
      <c r="GQM32" s="109"/>
      <c r="GQN32" s="109"/>
      <c r="GQO32" s="109"/>
      <c r="GQP32" s="109"/>
      <c r="GQQ32" s="109"/>
      <c r="GQR32" s="109"/>
      <c r="GQS32" s="109"/>
      <c r="GQT32" s="109"/>
      <c r="GQU32" s="109"/>
      <c r="GQV32" s="109"/>
      <c r="GQW32" s="109"/>
      <c r="GQX32" s="109"/>
      <c r="GQY32" s="109"/>
      <c r="GQZ32" s="109"/>
      <c r="GRA32" s="109"/>
      <c r="GRB32" s="109"/>
      <c r="GRC32" s="109"/>
      <c r="GRD32" s="109"/>
      <c r="GRE32" s="109"/>
      <c r="GRF32" s="109"/>
      <c r="GRG32" s="109"/>
      <c r="GRH32" s="109"/>
      <c r="GRI32" s="109"/>
      <c r="GRJ32" s="109"/>
      <c r="GRK32" s="109"/>
      <c r="GRL32" s="109"/>
      <c r="GRM32" s="109"/>
      <c r="GRN32" s="109"/>
      <c r="GRO32" s="109"/>
      <c r="GRP32" s="109"/>
      <c r="GRQ32" s="109"/>
      <c r="GRR32" s="109"/>
      <c r="GRS32" s="109"/>
      <c r="GRT32" s="109"/>
      <c r="GRU32" s="109"/>
      <c r="GRV32" s="109"/>
      <c r="GRW32" s="109"/>
      <c r="GRX32" s="109"/>
      <c r="GRY32" s="109"/>
      <c r="GRZ32" s="109"/>
      <c r="GSA32" s="109"/>
      <c r="GSB32" s="109"/>
      <c r="GSC32" s="109"/>
      <c r="GSD32" s="109"/>
      <c r="GSE32" s="109"/>
      <c r="GSF32" s="109"/>
      <c r="GSG32" s="109"/>
      <c r="GSH32" s="109"/>
      <c r="GSI32" s="109"/>
      <c r="GSJ32" s="109"/>
      <c r="GSK32" s="109"/>
      <c r="GSL32" s="109"/>
      <c r="GSM32" s="109"/>
      <c r="GSN32" s="109"/>
      <c r="GSO32" s="109"/>
      <c r="GSP32" s="109"/>
      <c r="GSQ32" s="109"/>
      <c r="GSR32" s="109"/>
      <c r="GSS32" s="109"/>
      <c r="GST32" s="109"/>
      <c r="GSU32" s="109"/>
      <c r="GSV32" s="109"/>
      <c r="GSW32" s="109"/>
      <c r="GSX32" s="109"/>
      <c r="GSY32" s="109"/>
      <c r="GSZ32" s="109"/>
      <c r="GTA32" s="109"/>
      <c r="GTB32" s="109"/>
      <c r="GTC32" s="109"/>
      <c r="GTD32" s="109"/>
      <c r="GTE32" s="109"/>
      <c r="GTF32" s="109"/>
      <c r="GTG32" s="109"/>
      <c r="GTH32" s="109"/>
      <c r="GTI32" s="109"/>
      <c r="GTJ32" s="109"/>
      <c r="GTK32" s="109"/>
      <c r="GTL32" s="109"/>
      <c r="GTM32" s="109"/>
      <c r="GTN32" s="109"/>
      <c r="GTO32" s="109"/>
      <c r="GTP32" s="109"/>
      <c r="GTQ32" s="109"/>
      <c r="GTR32" s="109"/>
      <c r="GTS32" s="109"/>
      <c r="GTT32" s="109"/>
      <c r="GTU32" s="109"/>
      <c r="GTV32" s="109"/>
      <c r="GTW32" s="109"/>
      <c r="GTX32" s="109"/>
      <c r="GTY32" s="109"/>
      <c r="GTZ32" s="109"/>
      <c r="GUA32" s="109"/>
      <c r="GUB32" s="109"/>
      <c r="GUC32" s="109"/>
      <c r="GUD32" s="109"/>
      <c r="GUE32" s="109"/>
      <c r="GUF32" s="109"/>
      <c r="GUG32" s="109"/>
      <c r="GUH32" s="109"/>
      <c r="GUI32" s="109"/>
      <c r="GUJ32" s="109"/>
      <c r="GUK32" s="109"/>
      <c r="GUL32" s="109"/>
      <c r="GUM32" s="109"/>
      <c r="GUN32" s="109"/>
      <c r="GUO32" s="109"/>
      <c r="GUP32" s="109"/>
      <c r="GUQ32" s="109"/>
      <c r="GUR32" s="109"/>
      <c r="GUS32" s="109"/>
      <c r="GUT32" s="109"/>
      <c r="GUU32" s="109"/>
      <c r="GUV32" s="109"/>
      <c r="GUW32" s="109"/>
      <c r="GUX32" s="109"/>
      <c r="GUY32" s="109"/>
      <c r="GUZ32" s="109"/>
      <c r="GVA32" s="109"/>
      <c r="GVB32" s="109"/>
      <c r="GVC32" s="109"/>
      <c r="GVD32" s="109"/>
      <c r="GVE32" s="109"/>
      <c r="GVF32" s="109"/>
      <c r="GVG32" s="109"/>
      <c r="GVH32" s="109"/>
      <c r="GVI32" s="109"/>
      <c r="GVJ32" s="109"/>
      <c r="GVK32" s="109"/>
      <c r="GVL32" s="109"/>
      <c r="GVM32" s="109"/>
      <c r="GVN32" s="109"/>
      <c r="GVO32" s="109"/>
      <c r="GVP32" s="109"/>
      <c r="GVQ32" s="109"/>
      <c r="GVR32" s="109"/>
      <c r="GVS32" s="109"/>
      <c r="GVT32" s="109"/>
      <c r="GVU32" s="109"/>
      <c r="GVV32" s="109"/>
      <c r="GVW32" s="109"/>
      <c r="GVX32" s="109"/>
      <c r="GVY32" s="109"/>
      <c r="GVZ32" s="109"/>
      <c r="GWA32" s="109"/>
      <c r="GWB32" s="109"/>
      <c r="GWC32" s="109"/>
      <c r="GWD32" s="109"/>
      <c r="GWE32" s="109"/>
      <c r="GWF32" s="109"/>
      <c r="GWG32" s="109"/>
      <c r="GWH32" s="109"/>
      <c r="GWI32" s="109"/>
      <c r="GWJ32" s="109"/>
      <c r="GWK32" s="109"/>
      <c r="GWL32" s="109"/>
      <c r="GWM32" s="109"/>
      <c r="GWN32" s="109"/>
      <c r="GWO32" s="109"/>
      <c r="GWP32" s="109"/>
      <c r="GWQ32" s="109"/>
      <c r="GWR32" s="109"/>
      <c r="GWS32" s="109"/>
      <c r="GWT32" s="109"/>
      <c r="GWU32" s="109"/>
      <c r="GWV32" s="109"/>
      <c r="GWW32" s="109"/>
      <c r="GWX32" s="109"/>
      <c r="GWY32" s="109"/>
      <c r="GWZ32" s="109"/>
      <c r="GXA32" s="109"/>
      <c r="GXB32" s="109"/>
      <c r="GXC32" s="109"/>
      <c r="GXD32" s="109"/>
      <c r="GXE32" s="109"/>
      <c r="GXF32" s="109"/>
      <c r="GXG32" s="109"/>
      <c r="GXH32" s="109"/>
      <c r="GXI32" s="109"/>
      <c r="GXJ32" s="109"/>
      <c r="GXK32" s="109"/>
      <c r="GXL32" s="109"/>
      <c r="GXM32" s="109"/>
      <c r="GXN32" s="109"/>
      <c r="GXO32" s="109"/>
      <c r="GXP32" s="109"/>
      <c r="GXQ32" s="109"/>
      <c r="GXR32" s="109"/>
      <c r="GXS32" s="109"/>
      <c r="GXT32" s="109"/>
      <c r="GXU32" s="109"/>
      <c r="GXV32" s="109"/>
      <c r="GXW32" s="109"/>
      <c r="GXX32" s="109"/>
      <c r="GXY32" s="109"/>
      <c r="GXZ32" s="109"/>
      <c r="GYA32" s="109"/>
      <c r="GYB32" s="109"/>
      <c r="GYC32" s="109"/>
      <c r="GYD32" s="109"/>
      <c r="GYE32" s="109"/>
      <c r="GYF32" s="109"/>
      <c r="GYG32" s="109"/>
      <c r="GYH32" s="109"/>
      <c r="GYI32" s="109"/>
      <c r="GYJ32" s="109"/>
      <c r="GYK32" s="109"/>
      <c r="GYL32" s="109"/>
      <c r="GYM32" s="109"/>
      <c r="GYN32" s="109"/>
      <c r="GYO32" s="109"/>
      <c r="GYP32" s="109"/>
      <c r="GYQ32" s="109"/>
      <c r="GYR32" s="109"/>
      <c r="GYS32" s="109"/>
      <c r="GYT32" s="109"/>
      <c r="GYU32" s="109"/>
      <c r="GYV32" s="109"/>
      <c r="GYW32" s="109"/>
      <c r="GYX32" s="109"/>
      <c r="GYY32" s="109"/>
      <c r="GYZ32" s="109"/>
      <c r="GZA32" s="109"/>
      <c r="GZB32" s="109"/>
      <c r="GZC32" s="109"/>
      <c r="GZD32" s="109"/>
      <c r="GZE32" s="109"/>
      <c r="GZF32" s="109"/>
      <c r="GZG32" s="109"/>
      <c r="GZH32" s="109"/>
      <c r="GZI32" s="109"/>
      <c r="GZJ32" s="109"/>
      <c r="GZK32" s="109"/>
      <c r="GZL32" s="109"/>
      <c r="GZM32" s="109"/>
      <c r="GZN32" s="109"/>
      <c r="GZO32" s="109"/>
      <c r="GZP32" s="109"/>
      <c r="GZQ32" s="109"/>
      <c r="GZR32" s="109"/>
      <c r="GZS32" s="109"/>
      <c r="GZT32" s="109"/>
      <c r="GZU32" s="109"/>
      <c r="GZV32" s="109"/>
      <c r="GZW32" s="109"/>
      <c r="GZX32" s="109"/>
      <c r="GZY32" s="109"/>
      <c r="GZZ32" s="109"/>
      <c r="HAA32" s="109"/>
      <c r="HAB32" s="109"/>
      <c r="HAC32" s="109"/>
      <c r="HAD32" s="109"/>
      <c r="HAE32" s="109"/>
      <c r="HAF32" s="109"/>
      <c r="HAG32" s="109"/>
      <c r="HAH32" s="109"/>
      <c r="HAI32" s="109"/>
      <c r="HAJ32" s="109"/>
      <c r="HAK32" s="109"/>
      <c r="HAL32" s="109"/>
      <c r="HAM32" s="109"/>
      <c r="HAN32" s="109"/>
      <c r="HAO32" s="109"/>
      <c r="HAP32" s="109"/>
      <c r="HAQ32" s="109"/>
      <c r="HAR32" s="109"/>
      <c r="HAS32" s="109"/>
      <c r="HAT32" s="109"/>
      <c r="HAU32" s="109"/>
      <c r="HAV32" s="109"/>
      <c r="HAW32" s="109"/>
      <c r="HAX32" s="109"/>
      <c r="HAY32" s="109"/>
      <c r="HAZ32" s="109"/>
      <c r="HBA32" s="109"/>
      <c r="HBB32" s="109"/>
      <c r="HBC32" s="109"/>
      <c r="HBD32" s="109"/>
      <c r="HBE32" s="109"/>
      <c r="HBF32" s="109"/>
      <c r="HBG32" s="109"/>
      <c r="HBH32" s="109"/>
      <c r="HBI32" s="109"/>
      <c r="HBJ32" s="109"/>
      <c r="HBK32" s="109"/>
      <c r="HBL32" s="109"/>
      <c r="HBM32" s="109"/>
      <c r="HBN32" s="109"/>
      <c r="HBO32" s="109"/>
      <c r="HBP32" s="109"/>
      <c r="HBQ32" s="109"/>
      <c r="HBR32" s="109"/>
      <c r="HBS32" s="109"/>
      <c r="HBT32" s="109"/>
      <c r="HBU32" s="109"/>
      <c r="HBV32" s="109"/>
      <c r="HBW32" s="109"/>
      <c r="HBX32" s="109"/>
      <c r="HBY32" s="109"/>
      <c r="HBZ32" s="109"/>
      <c r="HCA32" s="109"/>
      <c r="HCB32" s="109"/>
      <c r="HCC32" s="109"/>
      <c r="HCD32" s="109"/>
      <c r="HCE32" s="109"/>
      <c r="HCF32" s="109"/>
      <c r="HCG32" s="109"/>
      <c r="HCH32" s="109"/>
      <c r="HCI32" s="109"/>
      <c r="HCJ32" s="109"/>
      <c r="HCK32" s="109"/>
      <c r="HCL32" s="109"/>
      <c r="HCM32" s="109"/>
      <c r="HCN32" s="109"/>
      <c r="HCO32" s="109"/>
      <c r="HCP32" s="109"/>
      <c r="HCQ32" s="109"/>
      <c r="HCR32" s="109"/>
      <c r="HCS32" s="109"/>
      <c r="HCT32" s="109"/>
      <c r="HCU32" s="109"/>
      <c r="HCV32" s="109"/>
      <c r="HCW32" s="109"/>
      <c r="HCX32" s="109"/>
      <c r="HCY32" s="109"/>
      <c r="HCZ32" s="109"/>
      <c r="HDA32" s="109"/>
      <c r="HDB32" s="109"/>
      <c r="HDC32" s="109"/>
      <c r="HDD32" s="109"/>
      <c r="HDE32" s="109"/>
      <c r="HDF32" s="109"/>
      <c r="HDG32" s="109"/>
      <c r="HDH32" s="109"/>
      <c r="HDI32" s="109"/>
      <c r="HDJ32" s="109"/>
      <c r="HDK32" s="109"/>
      <c r="HDL32" s="109"/>
      <c r="HDM32" s="109"/>
      <c r="HDN32" s="109"/>
      <c r="HDO32" s="109"/>
      <c r="HDP32" s="109"/>
      <c r="HDQ32" s="109"/>
      <c r="HDR32" s="109"/>
      <c r="HDS32" s="109"/>
      <c r="HDT32" s="109"/>
      <c r="HDU32" s="109"/>
      <c r="HDV32" s="109"/>
      <c r="HDW32" s="109"/>
      <c r="HDX32" s="109"/>
      <c r="HDY32" s="109"/>
      <c r="HDZ32" s="109"/>
      <c r="HEA32" s="109"/>
      <c r="HEB32" s="109"/>
      <c r="HEC32" s="109"/>
      <c r="HED32" s="109"/>
      <c r="HEE32" s="109"/>
      <c r="HEF32" s="109"/>
      <c r="HEG32" s="109"/>
      <c r="HEH32" s="109"/>
      <c r="HEI32" s="109"/>
      <c r="HEJ32" s="109"/>
      <c r="HEK32" s="109"/>
      <c r="HEL32" s="109"/>
      <c r="HEM32" s="109"/>
      <c r="HEN32" s="109"/>
      <c r="HEO32" s="109"/>
      <c r="HEP32" s="109"/>
      <c r="HEQ32" s="109"/>
      <c r="HER32" s="109"/>
      <c r="HES32" s="109"/>
      <c r="HET32" s="109"/>
      <c r="HEU32" s="109"/>
      <c r="HEV32" s="109"/>
      <c r="HEW32" s="109"/>
      <c r="HEX32" s="109"/>
      <c r="HEY32" s="109"/>
      <c r="HEZ32" s="109"/>
      <c r="HFA32" s="109"/>
      <c r="HFB32" s="109"/>
      <c r="HFC32" s="109"/>
      <c r="HFD32" s="109"/>
      <c r="HFE32" s="109"/>
      <c r="HFF32" s="109"/>
      <c r="HFG32" s="109"/>
      <c r="HFH32" s="109"/>
      <c r="HFI32" s="109"/>
      <c r="HFJ32" s="109"/>
      <c r="HFK32" s="109"/>
      <c r="HFL32" s="109"/>
      <c r="HFM32" s="109"/>
      <c r="HFN32" s="109"/>
      <c r="HFO32" s="109"/>
      <c r="HFP32" s="109"/>
      <c r="HFQ32" s="109"/>
      <c r="HFR32" s="109"/>
      <c r="HFS32" s="109"/>
      <c r="HFT32" s="109"/>
      <c r="HFU32" s="109"/>
      <c r="HFV32" s="109"/>
      <c r="HFW32" s="109"/>
      <c r="HFX32" s="109"/>
      <c r="HFY32" s="109"/>
      <c r="HFZ32" s="109"/>
      <c r="HGA32" s="109"/>
      <c r="HGB32" s="109"/>
      <c r="HGC32" s="109"/>
      <c r="HGD32" s="109"/>
      <c r="HGE32" s="109"/>
      <c r="HGF32" s="109"/>
      <c r="HGG32" s="109"/>
      <c r="HGH32" s="109"/>
      <c r="HGI32" s="109"/>
      <c r="HGJ32" s="109"/>
      <c r="HGK32" s="109"/>
      <c r="HGL32" s="109"/>
      <c r="HGM32" s="109"/>
      <c r="HGN32" s="109"/>
      <c r="HGO32" s="109"/>
      <c r="HGP32" s="109"/>
      <c r="HGQ32" s="109"/>
      <c r="HGR32" s="109"/>
      <c r="HGS32" s="109"/>
      <c r="HGT32" s="109"/>
      <c r="HGU32" s="109"/>
      <c r="HGV32" s="109"/>
      <c r="HGW32" s="109"/>
      <c r="HGX32" s="109"/>
      <c r="HGY32" s="109"/>
      <c r="HGZ32" s="109"/>
      <c r="HHA32" s="109"/>
      <c r="HHB32" s="109"/>
      <c r="HHC32" s="109"/>
      <c r="HHD32" s="109"/>
      <c r="HHE32" s="109"/>
      <c r="HHF32" s="109"/>
      <c r="HHG32" s="109"/>
      <c r="HHH32" s="109"/>
      <c r="HHI32" s="109"/>
      <c r="HHJ32" s="109"/>
      <c r="HHK32" s="109"/>
      <c r="HHL32" s="109"/>
      <c r="HHM32" s="109"/>
      <c r="HHN32" s="109"/>
      <c r="HHO32" s="109"/>
      <c r="HHP32" s="109"/>
      <c r="HHQ32" s="109"/>
      <c r="HHR32" s="109"/>
      <c r="HHS32" s="109"/>
      <c r="HHT32" s="109"/>
      <c r="HHU32" s="109"/>
      <c r="HHV32" s="109"/>
      <c r="HHW32" s="109"/>
      <c r="HHX32" s="109"/>
      <c r="HHY32" s="109"/>
      <c r="HHZ32" s="109"/>
      <c r="HIA32" s="109"/>
      <c r="HIB32" s="109"/>
      <c r="HIC32" s="109"/>
      <c r="HID32" s="109"/>
      <c r="HIE32" s="109"/>
      <c r="HIF32" s="109"/>
      <c r="HIG32" s="109"/>
      <c r="HIH32" s="109"/>
      <c r="HII32" s="109"/>
      <c r="HIJ32" s="109"/>
      <c r="HIK32" s="109"/>
      <c r="HIL32" s="109"/>
      <c r="HIM32" s="109"/>
      <c r="HIN32" s="109"/>
      <c r="HIO32" s="109"/>
      <c r="HIP32" s="109"/>
      <c r="HIQ32" s="109"/>
      <c r="HIR32" s="109"/>
      <c r="HIS32" s="109"/>
      <c r="HIT32" s="109"/>
      <c r="HIU32" s="109"/>
      <c r="HIV32" s="109"/>
      <c r="HIW32" s="109"/>
      <c r="HIX32" s="109"/>
      <c r="HIY32" s="109"/>
      <c r="HIZ32" s="109"/>
      <c r="HJA32" s="109"/>
      <c r="HJB32" s="109"/>
      <c r="HJC32" s="109"/>
      <c r="HJD32" s="109"/>
      <c r="HJE32" s="109"/>
      <c r="HJF32" s="109"/>
      <c r="HJG32" s="109"/>
      <c r="HJH32" s="109"/>
      <c r="HJI32" s="109"/>
      <c r="HJJ32" s="109"/>
      <c r="HJK32" s="109"/>
      <c r="HJL32" s="109"/>
      <c r="HJM32" s="109"/>
      <c r="HJN32" s="109"/>
      <c r="HJO32" s="109"/>
      <c r="HJP32" s="109"/>
      <c r="HJQ32" s="109"/>
      <c r="HJR32" s="109"/>
      <c r="HJS32" s="109"/>
      <c r="HJT32" s="109"/>
      <c r="HJU32" s="109"/>
      <c r="HJV32" s="109"/>
      <c r="HJW32" s="109"/>
      <c r="HJX32" s="109"/>
      <c r="HJY32" s="109"/>
      <c r="HJZ32" s="109"/>
      <c r="HKA32" s="109"/>
      <c r="HKB32" s="109"/>
      <c r="HKC32" s="109"/>
      <c r="HKD32" s="109"/>
      <c r="HKE32" s="109"/>
      <c r="HKF32" s="109"/>
      <c r="HKG32" s="109"/>
      <c r="HKH32" s="109"/>
      <c r="HKI32" s="109"/>
      <c r="HKJ32" s="109"/>
      <c r="HKK32" s="109"/>
      <c r="HKL32" s="109"/>
      <c r="HKM32" s="109"/>
      <c r="HKN32" s="109"/>
      <c r="HKO32" s="109"/>
      <c r="HKP32" s="109"/>
      <c r="HKQ32" s="109"/>
      <c r="HKR32" s="109"/>
      <c r="HKS32" s="109"/>
      <c r="HKT32" s="109"/>
      <c r="HKU32" s="109"/>
      <c r="HKV32" s="109"/>
      <c r="HKW32" s="109"/>
      <c r="HKX32" s="109"/>
      <c r="HKY32" s="109"/>
      <c r="HKZ32" s="109"/>
      <c r="HLA32" s="109"/>
      <c r="HLB32" s="109"/>
      <c r="HLC32" s="109"/>
      <c r="HLD32" s="109"/>
      <c r="HLE32" s="109"/>
      <c r="HLF32" s="109"/>
      <c r="HLG32" s="109"/>
      <c r="HLH32" s="109"/>
      <c r="HLI32" s="109"/>
      <c r="HLJ32" s="109"/>
      <c r="HLK32" s="109"/>
      <c r="HLL32" s="109"/>
      <c r="HLM32" s="109"/>
      <c r="HLN32" s="109"/>
      <c r="HLO32" s="109"/>
      <c r="HLP32" s="109"/>
      <c r="HLQ32" s="109"/>
      <c r="HLR32" s="109"/>
      <c r="HLS32" s="109"/>
      <c r="HLT32" s="109"/>
      <c r="HLU32" s="109"/>
      <c r="HLV32" s="109"/>
      <c r="HLW32" s="109"/>
      <c r="HLX32" s="109"/>
      <c r="HLY32" s="109"/>
      <c r="HLZ32" s="109"/>
      <c r="HMA32" s="109"/>
      <c r="HMB32" s="109"/>
      <c r="HMC32" s="109"/>
      <c r="HMD32" s="109"/>
      <c r="HME32" s="109"/>
      <c r="HMF32" s="109"/>
      <c r="HMG32" s="109"/>
      <c r="HMH32" s="109"/>
      <c r="HMI32" s="109"/>
      <c r="HMJ32" s="109"/>
      <c r="HMK32" s="109"/>
      <c r="HML32" s="109"/>
      <c r="HMM32" s="109"/>
      <c r="HMN32" s="109"/>
      <c r="HMO32" s="109"/>
      <c r="HMP32" s="109"/>
      <c r="HMQ32" s="109"/>
      <c r="HMR32" s="109"/>
      <c r="HMS32" s="109"/>
      <c r="HMT32" s="109"/>
      <c r="HMU32" s="109"/>
      <c r="HMV32" s="109"/>
      <c r="HMW32" s="109"/>
      <c r="HMX32" s="109"/>
      <c r="HMY32" s="109"/>
      <c r="HMZ32" s="109"/>
      <c r="HNA32" s="109"/>
      <c r="HNB32" s="109"/>
      <c r="HNC32" s="109"/>
      <c r="HND32" s="109"/>
      <c r="HNE32" s="109"/>
      <c r="HNF32" s="109"/>
      <c r="HNG32" s="109"/>
      <c r="HNH32" s="109"/>
      <c r="HNI32" s="109"/>
      <c r="HNJ32" s="109"/>
      <c r="HNK32" s="109"/>
      <c r="HNL32" s="109"/>
      <c r="HNM32" s="109"/>
      <c r="HNN32" s="109"/>
      <c r="HNO32" s="109"/>
      <c r="HNP32" s="109"/>
      <c r="HNQ32" s="109"/>
      <c r="HNR32" s="109"/>
      <c r="HNS32" s="109"/>
      <c r="HNT32" s="109"/>
      <c r="HNU32" s="109"/>
      <c r="HNV32" s="109"/>
      <c r="HNW32" s="109"/>
      <c r="HNX32" s="109"/>
      <c r="HNY32" s="109"/>
      <c r="HNZ32" s="109"/>
      <c r="HOA32" s="109"/>
      <c r="HOB32" s="109"/>
      <c r="HOC32" s="109"/>
      <c r="HOD32" s="109"/>
      <c r="HOE32" s="109"/>
      <c r="HOF32" s="109"/>
      <c r="HOG32" s="109"/>
      <c r="HOH32" s="109"/>
      <c r="HOI32" s="109"/>
      <c r="HOJ32" s="109"/>
      <c r="HOK32" s="109"/>
      <c r="HOL32" s="109"/>
      <c r="HOM32" s="109"/>
      <c r="HON32" s="109"/>
      <c r="HOO32" s="109"/>
      <c r="HOP32" s="109"/>
      <c r="HOQ32" s="109"/>
      <c r="HOR32" s="109"/>
      <c r="HOS32" s="109"/>
      <c r="HOT32" s="109"/>
      <c r="HOU32" s="109"/>
      <c r="HOV32" s="109"/>
      <c r="HOW32" s="109"/>
      <c r="HOX32" s="109"/>
      <c r="HOY32" s="109"/>
      <c r="HOZ32" s="109"/>
      <c r="HPA32" s="109"/>
      <c r="HPB32" s="109"/>
      <c r="HPC32" s="109"/>
      <c r="HPD32" s="109"/>
      <c r="HPE32" s="109"/>
      <c r="HPF32" s="109"/>
      <c r="HPG32" s="109"/>
      <c r="HPH32" s="109"/>
      <c r="HPI32" s="109"/>
      <c r="HPJ32" s="109"/>
      <c r="HPK32" s="109"/>
      <c r="HPL32" s="109"/>
      <c r="HPM32" s="109"/>
      <c r="HPN32" s="109"/>
      <c r="HPO32" s="109"/>
      <c r="HPP32" s="109"/>
      <c r="HPQ32" s="109"/>
      <c r="HPR32" s="109"/>
      <c r="HPS32" s="109"/>
      <c r="HPT32" s="109"/>
      <c r="HPU32" s="109"/>
      <c r="HPV32" s="109"/>
      <c r="HPW32" s="109"/>
      <c r="HPX32" s="109"/>
      <c r="HPY32" s="109"/>
      <c r="HPZ32" s="109"/>
      <c r="HQA32" s="109"/>
      <c r="HQB32" s="109"/>
      <c r="HQC32" s="109"/>
      <c r="HQD32" s="109"/>
      <c r="HQE32" s="109"/>
      <c r="HQF32" s="109"/>
      <c r="HQG32" s="109"/>
      <c r="HQH32" s="109"/>
      <c r="HQI32" s="109"/>
      <c r="HQJ32" s="109"/>
      <c r="HQK32" s="109"/>
      <c r="HQL32" s="109"/>
      <c r="HQM32" s="109"/>
      <c r="HQN32" s="109"/>
      <c r="HQO32" s="109"/>
      <c r="HQP32" s="109"/>
      <c r="HQQ32" s="109"/>
      <c r="HQR32" s="109"/>
      <c r="HQS32" s="109"/>
      <c r="HQT32" s="109"/>
      <c r="HQU32" s="109"/>
      <c r="HQV32" s="109"/>
      <c r="HQW32" s="109"/>
      <c r="HQX32" s="109"/>
      <c r="HQY32" s="109"/>
      <c r="HQZ32" s="109"/>
      <c r="HRA32" s="109"/>
      <c r="HRB32" s="109"/>
      <c r="HRC32" s="109"/>
      <c r="HRD32" s="109"/>
      <c r="HRE32" s="109"/>
      <c r="HRF32" s="109"/>
      <c r="HRG32" s="109"/>
      <c r="HRH32" s="109"/>
      <c r="HRI32" s="109"/>
      <c r="HRJ32" s="109"/>
      <c r="HRK32" s="109"/>
      <c r="HRL32" s="109"/>
      <c r="HRM32" s="109"/>
      <c r="HRN32" s="109"/>
      <c r="HRO32" s="109"/>
      <c r="HRP32" s="109"/>
      <c r="HRQ32" s="109"/>
      <c r="HRR32" s="109"/>
      <c r="HRS32" s="109"/>
      <c r="HRT32" s="109"/>
      <c r="HRU32" s="109"/>
      <c r="HRV32" s="109"/>
      <c r="HRW32" s="109"/>
      <c r="HRX32" s="109"/>
      <c r="HRY32" s="109"/>
      <c r="HRZ32" s="109"/>
      <c r="HSA32" s="109"/>
      <c r="HSB32" s="109"/>
      <c r="HSC32" s="109"/>
      <c r="HSD32" s="109"/>
      <c r="HSE32" s="109"/>
      <c r="HSF32" s="109"/>
      <c r="HSG32" s="109"/>
      <c r="HSH32" s="109"/>
      <c r="HSI32" s="109"/>
      <c r="HSJ32" s="109"/>
      <c r="HSK32" s="109"/>
      <c r="HSL32" s="109"/>
      <c r="HSM32" s="109"/>
      <c r="HSN32" s="109"/>
      <c r="HSO32" s="109"/>
      <c r="HSP32" s="109"/>
      <c r="HSQ32" s="109"/>
      <c r="HSR32" s="109"/>
      <c r="HSS32" s="109"/>
      <c r="HST32" s="109"/>
      <c r="HSU32" s="109"/>
      <c r="HSV32" s="109"/>
      <c r="HSW32" s="109"/>
      <c r="HSX32" s="109"/>
      <c r="HSY32" s="109"/>
      <c r="HSZ32" s="109"/>
      <c r="HTA32" s="109"/>
      <c r="HTB32" s="109"/>
      <c r="HTC32" s="109"/>
      <c r="HTD32" s="109"/>
      <c r="HTE32" s="109"/>
      <c r="HTF32" s="109"/>
      <c r="HTG32" s="109"/>
      <c r="HTH32" s="109"/>
      <c r="HTI32" s="109"/>
      <c r="HTJ32" s="109"/>
      <c r="HTK32" s="109"/>
      <c r="HTL32" s="109"/>
      <c r="HTM32" s="109"/>
      <c r="HTN32" s="109"/>
      <c r="HTO32" s="109"/>
      <c r="HTP32" s="109"/>
      <c r="HTQ32" s="109"/>
      <c r="HTR32" s="109"/>
      <c r="HTS32" s="109"/>
      <c r="HTT32" s="109"/>
      <c r="HTU32" s="109"/>
      <c r="HTV32" s="109"/>
      <c r="HTW32" s="109"/>
      <c r="HTX32" s="109"/>
      <c r="HTY32" s="109"/>
      <c r="HTZ32" s="109"/>
      <c r="HUA32" s="109"/>
      <c r="HUB32" s="109"/>
      <c r="HUC32" s="109"/>
      <c r="HUD32" s="109"/>
      <c r="HUE32" s="109"/>
      <c r="HUF32" s="109"/>
      <c r="HUG32" s="109"/>
      <c r="HUH32" s="109"/>
      <c r="HUI32" s="109"/>
      <c r="HUJ32" s="109"/>
      <c r="HUK32" s="109"/>
      <c r="HUL32" s="109"/>
      <c r="HUM32" s="109"/>
      <c r="HUN32" s="109"/>
      <c r="HUO32" s="109"/>
      <c r="HUP32" s="109"/>
      <c r="HUQ32" s="109"/>
      <c r="HUR32" s="109"/>
      <c r="HUS32" s="109"/>
      <c r="HUT32" s="109"/>
      <c r="HUU32" s="109"/>
      <c r="HUV32" s="109"/>
      <c r="HUW32" s="109"/>
      <c r="HUX32" s="109"/>
      <c r="HUY32" s="109"/>
      <c r="HUZ32" s="109"/>
      <c r="HVA32" s="109"/>
      <c r="HVB32" s="109"/>
      <c r="HVC32" s="109"/>
      <c r="HVD32" s="109"/>
      <c r="HVE32" s="109"/>
      <c r="HVF32" s="109"/>
      <c r="HVG32" s="109"/>
      <c r="HVH32" s="109"/>
      <c r="HVI32" s="109"/>
      <c r="HVJ32" s="109"/>
      <c r="HVK32" s="109"/>
      <c r="HVL32" s="109"/>
      <c r="HVM32" s="109"/>
      <c r="HVN32" s="109"/>
      <c r="HVO32" s="109"/>
      <c r="HVP32" s="109"/>
      <c r="HVQ32" s="109"/>
      <c r="HVR32" s="109"/>
      <c r="HVS32" s="109"/>
      <c r="HVT32" s="109"/>
      <c r="HVU32" s="109"/>
      <c r="HVV32" s="109"/>
      <c r="HVW32" s="109"/>
      <c r="HVX32" s="109"/>
      <c r="HVY32" s="109"/>
      <c r="HVZ32" s="109"/>
      <c r="HWA32" s="109"/>
      <c r="HWB32" s="109"/>
      <c r="HWC32" s="109"/>
      <c r="HWD32" s="109"/>
      <c r="HWE32" s="109"/>
      <c r="HWF32" s="109"/>
      <c r="HWG32" s="109"/>
      <c r="HWH32" s="109"/>
      <c r="HWI32" s="109"/>
      <c r="HWJ32" s="109"/>
      <c r="HWK32" s="109"/>
      <c r="HWL32" s="109"/>
      <c r="HWM32" s="109"/>
      <c r="HWN32" s="109"/>
      <c r="HWO32" s="109"/>
      <c r="HWP32" s="109"/>
      <c r="HWQ32" s="109"/>
      <c r="HWR32" s="109"/>
      <c r="HWS32" s="109"/>
      <c r="HWT32" s="109"/>
      <c r="HWU32" s="109"/>
      <c r="HWV32" s="109"/>
      <c r="HWW32" s="109"/>
      <c r="HWX32" s="109"/>
      <c r="HWY32" s="109"/>
      <c r="HWZ32" s="109"/>
      <c r="HXA32" s="109"/>
      <c r="HXB32" s="109"/>
      <c r="HXC32" s="109"/>
      <c r="HXD32" s="109"/>
      <c r="HXE32" s="109"/>
      <c r="HXF32" s="109"/>
      <c r="HXG32" s="109"/>
      <c r="HXH32" s="109"/>
      <c r="HXI32" s="109"/>
      <c r="HXJ32" s="109"/>
      <c r="HXK32" s="109"/>
      <c r="HXL32" s="109"/>
      <c r="HXM32" s="109"/>
      <c r="HXN32" s="109"/>
      <c r="HXO32" s="109"/>
      <c r="HXP32" s="109"/>
      <c r="HXQ32" s="109"/>
      <c r="HXR32" s="109"/>
      <c r="HXS32" s="109"/>
      <c r="HXT32" s="109"/>
      <c r="HXU32" s="109"/>
      <c r="HXV32" s="109"/>
      <c r="HXW32" s="109"/>
      <c r="HXX32" s="109"/>
      <c r="HXY32" s="109"/>
      <c r="HXZ32" s="109"/>
      <c r="HYA32" s="109"/>
      <c r="HYB32" s="109"/>
      <c r="HYC32" s="109"/>
      <c r="HYD32" s="109"/>
      <c r="HYE32" s="109"/>
      <c r="HYF32" s="109"/>
      <c r="HYG32" s="109"/>
      <c r="HYH32" s="109"/>
      <c r="HYI32" s="109"/>
      <c r="HYJ32" s="109"/>
      <c r="HYK32" s="109"/>
      <c r="HYL32" s="109"/>
      <c r="HYM32" s="109"/>
      <c r="HYN32" s="109"/>
      <c r="HYO32" s="109"/>
      <c r="HYP32" s="109"/>
      <c r="HYQ32" s="109"/>
      <c r="HYR32" s="109"/>
      <c r="HYS32" s="109"/>
      <c r="HYT32" s="109"/>
      <c r="HYU32" s="109"/>
      <c r="HYV32" s="109"/>
      <c r="HYW32" s="109"/>
      <c r="HYX32" s="109"/>
      <c r="HYY32" s="109"/>
      <c r="HYZ32" s="109"/>
      <c r="HZA32" s="109"/>
      <c r="HZB32" s="109"/>
      <c r="HZC32" s="109"/>
      <c r="HZD32" s="109"/>
      <c r="HZE32" s="109"/>
      <c r="HZF32" s="109"/>
      <c r="HZG32" s="109"/>
      <c r="HZH32" s="109"/>
      <c r="HZI32" s="109"/>
      <c r="HZJ32" s="109"/>
      <c r="HZK32" s="109"/>
      <c r="HZL32" s="109"/>
      <c r="HZM32" s="109"/>
      <c r="HZN32" s="109"/>
      <c r="HZO32" s="109"/>
      <c r="HZP32" s="109"/>
      <c r="HZQ32" s="109"/>
      <c r="HZR32" s="109"/>
      <c r="HZS32" s="109"/>
      <c r="HZT32" s="109"/>
      <c r="HZU32" s="109"/>
      <c r="HZV32" s="109"/>
      <c r="HZW32" s="109"/>
      <c r="HZX32" s="109"/>
      <c r="HZY32" s="109"/>
      <c r="HZZ32" s="109"/>
      <c r="IAA32" s="109"/>
      <c r="IAB32" s="109"/>
      <c r="IAC32" s="109"/>
      <c r="IAD32" s="109"/>
      <c r="IAE32" s="109"/>
      <c r="IAF32" s="109"/>
      <c r="IAG32" s="109"/>
      <c r="IAH32" s="109"/>
      <c r="IAI32" s="109"/>
      <c r="IAJ32" s="109"/>
      <c r="IAK32" s="109"/>
      <c r="IAL32" s="109"/>
      <c r="IAM32" s="109"/>
      <c r="IAN32" s="109"/>
      <c r="IAO32" s="109"/>
      <c r="IAP32" s="109"/>
      <c r="IAQ32" s="109"/>
      <c r="IAR32" s="109"/>
      <c r="IAS32" s="109"/>
      <c r="IAT32" s="109"/>
      <c r="IAU32" s="109"/>
      <c r="IAV32" s="109"/>
      <c r="IAW32" s="109"/>
      <c r="IAX32" s="109"/>
      <c r="IAY32" s="109"/>
      <c r="IAZ32" s="109"/>
      <c r="IBA32" s="109"/>
      <c r="IBB32" s="109"/>
      <c r="IBC32" s="109"/>
      <c r="IBD32" s="109"/>
      <c r="IBE32" s="109"/>
      <c r="IBF32" s="109"/>
      <c r="IBG32" s="109"/>
      <c r="IBH32" s="109"/>
      <c r="IBI32" s="109"/>
      <c r="IBJ32" s="109"/>
      <c r="IBK32" s="109"/>
      <c r="IBL32" s="109"/>
      <c r="IBM32" s="109"/>
      <c r="IBN32" s="109"/>
      <c r="IBO32" s="109"/>
      <c r="IBP32" s="109"/>
      <c r="IBQ32" s="109"/>
      <c r="IBR32" s="109"/>
      <c r="IBS32" s="109"/>
      <c r="IBT32" s="109"/>
      <c r="IBU32" s="109"/>
      <c r="IBV32" s="109"/>
      <c r="IBW32" s="109"/>
      <c r="IBX32" s="109"/>
      <c r="IBY32" s="109"/>
      <c r="IBZ32" s="109"/>
      <c r="ICA32" s="109"/>
      <c r="ICB32" s="109"/>
      <c r="ICC32" s="109"/>
      <c r="ICD32" s="109"/>
      <c r="ICE32" s="109"/>
      <c r="ICF32" s="109"/>
      <c r="ICG32" s="109"/>
      <c r="ICH32" s="109"/>
      <c r="ICI32" s="109"/>
      <c r="ICJ32" s="109"/>
      <c r="ICK32" s="109"/>
      <c r="ICL32" s="109"/>
      <c r="ICM32" s="109"/>
      <c r="ICN32" s="109"/>
      <c r="ICO32" s="109"/>
      <c r="ICP32" s="109"/>
      <c r="ICQ32" s="109"/>
      <c r="ICR32" s="109"/>
      <c r="ICS32" s="109"/>
      <c r="ICT32" s="109"/>
      <c r="ICU32" s="109"/>
      <c r="ICV32" s="109"/>
      <c r="ICW32" s="109"/>
      <c r="ICX32" s="109"/>
      <c r="ICY32" s="109"/>
      <c r="ICZ32" s="109"/>
      <c r="IDA32" s="109"/>
      <c r="IDB32" s="109"/>
      <c r="IDC32" s="109"/>
      <c r="IDD32" s="109"/>
      <c r="IDE32" s="109"/>
      <c r="IDF32" s="109"/>
      <c r="IDG32" s="109"/>
      <c r="IDH32" s="109"/>
      <c r="IDI32" s="109"/>
      <c r="IDJ32" s="109"/>
      <c r="IDK32" s="109"/>
      <c r="IDL32" s="109"/>
      <c r="IDM32" s="109"/>
      <c r="IDN32" s="109"/>
      <c r="IDO32" s="109"/>
      <c r="IDP32" s="109"/>
      <c r="IDQ32" s="109"/>
      <c r="IDR32" s="109"/>
      <c r="IDS32" s="109"/>
      <c r="IDT32" s="109"/>
      <c r="IDU32" s="109"/>
      <c r="IDV32" s="109"/>
      <c r="IDW32" s="109"/>
      <c r="IDX32" s="109"/>
      <c r="IDY32" s="109"/>
      <c r="IDZ32" s="109"/>
      <c r="IEA32" s="109"/>
      <c r="IEB32" s="109"/>
      <c r="IEC32" s="109"/>
      <c r="IED32" s="109"/>
      <c r="IEE32" s="109"/>
      <c r="IEF32" s="109"/>
      <c r="IEG32" s="109"/>
      <c r="IEH32" s="109"/>
      <c r="IEI32" s="109"/>
      <c r="IEJ32" s="109"/>
      <c r="IEK32" s="109"/>
      <c r="IEL32" s="109"/>
      <c r="IEM32" s="109"/>
      <c r="IEN32" s="109"/>
      <c r="IEO32" s="109"/>
      <c r="IEP32" s="109"/>
      <c r="IEQ32" s="109"/>
      <c r="IER32" s="109"/>
      <c r="IES32" s="109"/>
      <c r="IET32" s="109"/>
      <c r="IEU32" s="109"/>
      <c r="IEV32" s="109"/>
      <c r="IEW32" s="109"/>
      <c r="IEX32" s="109"/>
      <c r="IEY32" s="109"/>
      <c r="IEZ32" s="109"/>
      <c r="IFA32" s="109"/>
      <c r="IFB32" s="109"/>
      <c r="IFC32" s="109"/>
      <c r="IFD32" s="109"/>
      <c r="IFE32" s="109"/>
      <c r="IFF32" s="109"/>
      <c r="IFG32" s="109"/>
      <c r="IFH32" s="109"/>
      <c r="IFI32" s="109"/>
      <c r="IFJ32" s="109"/>
      <c r="IFK32" s="109"/>
      <c r="IFL32" s="109"/>
      <c r="IFM32" s="109"/>
      <c r="IFN32" s="109"/>
      <c r="IFO32" s="109"/>
      <c r="IFP32" s="109"/>
      <c r="IFQ32" s="109"/>
      <c r="IFR32" s="109"/>
      <c r="IFS32" s="109"/>
      <c r="IFT32" s="109"/>
      <c r="IFU32" s="109"/>
      <c r="IFV32" s="109"/>
      <c r="IFW32" s="109"/>
      <c r="IFX32" s="109"/>
      <c r="IFY32" s="109"/>
      <c r="IFZ32" s="109"/>
      <c r="IGA32" s="109"/>
      <c r="IGB32" s="109"/>
      <c r="IGC32" s="109"/>
      <c r="IGD32" s="109"/>
      <c r="IGE32" s="109"/>
      <c r="IGF32" s="109"/>
      <c r="IGG32" s="109"/>
      <c r="IGH32" s="109"/>
      <c r="IGI32" s="109"/>
      <c r="IGJ32" s="109"/>
      <c r="IGK32" s="109"/>
      <c r="IGL32" s="109"/>
      <c r="IGM32" s="109"/>
      <c r="IGN32" s="109"/>
      <c r="IGO32" s="109"/>
      <c r="IGP32" s="109"/>
      <c r="IGQ32" s="109"/>
      <c r="IGR32" s="109"/>
      <c r="IGS32" s="109"/>
      <c r="IGT32" s="109"/>
      <c r="IGU32" s="109"/>
      <c r="IGV32" s="109"/>
      <c r="IGW32" s="109"/>
      <c r="IGX32" s="109"/>
      <c r="IGY32" s="109"/>
      <c r="IGZ32" s="109"/>
      <c r="IHA32" s="109"/>
      <c r="IHB32" s="109"/>
      <c r="IHC32" s="109"/>
      <c r="IHD32" s="109"/>
      <c r="IHE32" s="109"/>
      <c r="IHF32" s="109"/>
      <c r="IHG32" s="109"/>
      <c r="IHH32" s="109"/>
      <c r="IHI32" s="109"/>
      <c r="IHJ32" s="109"/>
      <c r="IHK32" s="109"/>
      <c r="IHL32" s="109"/>
      <c r="IHM32" s="109"/>
      <c r="IHN32" s="109"/>
      <c r="IHO32" s="109"/>
      <c r="IHP32" s="109"/>
      <c r="IHQ32" s="109"/>
      <c r="IHR32" s="109"/>
      <c r="IHS32" s="109"/>
      <c r="IHT32" s="109"/>
      <c r="IHU32" s="109"/>
      <c r="IHV32" s="109"/>
      <c r="IHW32" s="109"/>
      <c r="IHX32" s="109"/>
      <c r="IHY32" s="109"/>
      <c r="IHZ32" s="109"/>
      <c r="IIA32" s="109"/>
      <c r="IIB32" s="109"/>
      <c r="IIC32" s="109"/>
      <c r="IID32" s="109"/>
      <c r="IIE32" s="109"/>
      <c r="IIF32" s="109"/>
      <c r="IIG32" s="109"/>
      <c r="IIH32" s="109"/>
      <c r="III32" s="109"/>
      <c r="IIJ32" s="109"/>
      <c r="IIK32" s="109"/>
      <c r="IIL32" s="109"/>
      <c r="IIM32" s="109"/>
      <c r="IIN32" s="109"/>
      <c r="IIO32" s="109"/>
      <c r="IIP32" s="109"/>
      <c r="IIQ32" s="109"/>
      <c r="IIR32" s="109"/>
      <c r="IIS32" s="109"/>
      <c r="IIT32" s="109"/>
      <c r="IIU32" s="109"/>
      <c r="IIV32" s="109"/>
      <c r="IIW32" s="109"/>
      <c r="IIX32" s="109"/>
      <c r="IIY32" s="109"/>
      <c r="IIZ32" s="109"/>
      <c r="IJA32" s="109"/>
      <c r="IJB32" s="109"/>
      <c r="IJC32" s="109"/>
      <c r="IJD32" s="109"/>
      <c r="IJE32" s="109"/>
      <c r="IJF32" s="109"/>
      <c r="IJG32" s="109"/>
      <c r="IJH32" s="109"/>
      <c r="IJI32" s="109"/>
      <c r="IJJ32" s="109"/>
      <c r="IJK32" s="109"/>
      <c r="IJL32" s="109"/>
      <c r="IJM32" s="109"/>
      <c r="IJN32" s="109"/>
      <c r="IJO32" s="109"/>
      <c r="IJP32" s="109"/>
      <c r="IJQ32" s="109"/>
      <c r="IJR32" s="109"/>
      <c r="IJS32" s="109"/>
      <c r="IJT32" s="109"/>
      <c r="IJU32" s="109"/>
      <c r="IJV32" s="109"/>
      <c r="IJW32" s="109"/>
      <c r="IJX32" s="109"/>
      <c r="IJY32" s="109"/>
      <c r="IJZ32" s="109"/>
      <c r="IKA32" s="109"/>
      <c r="IKB32" s="109"/>
      <c r="IKC32" s="109"/>
      <c r="IKD32" s="109"/>
      <c r="IKE32" s="109"/>
      <c r="IKF32" s="109"/>
      <c r="IKG32" s="109"/>
      <c r="IKH32" s="109"/>
      <c r="IKI32" s="109"/>
      <c r="IKJ32" s="109"/>
      <c r="IKK32" s="109"/>
      <c r="IKL32" s="109"/>
      <c r="IKM32" s="109"/>
      <c r="IKN32" s="109"/>
      <c r="IKO32" s="109"/>
      <c r="IKP32" s="109"/>
      <c r="IKQ32" s="109"/>
      <c r="IKR32" s="109"/>
      <c r="IKS32" s="109"/>
      <c r="IKT32" s="109"/>
      <c r="IKU32" s="109"/>
      <c r="IKV32" s="109"/>
      <c r="IKW32" s="109"/>
      <c r="IKX32" s="109"/>
      <c r="IKY32" s="109"/>
      <c r="IKZ32" s="109"/>
      <c r="ILA32" s="109"/>
      <c r="ILB32" s="109"/>
      <c r="ILC32" s="109"/>
      <c r="ILD32" s="109"/>
      <c r="ILE32" s="109"/>
      <c r="ILF32" s="109"/>
      <c r="ILG32" s="109"/>
      <c r="ILH32" s="109"/>
      <c r="ILI32" s="109"/>
      <c r="ILJ32" s="109"/>
      <c r="ILK32" s="109"/>
      <c r="ILL32" s="109"/>
      <c r="ILM32" s="109"/>
      <c r="ILN32" s="109"/>
      <c r="ILO32" s="109"/>
      <c r="ILP32" s="109"/>
      <c r="ILQ32" s="109"/>
      <c r="ILR32" s="109"/>
      <c r="ILS32" s="109"/>
      <c r="ILT32" s="109"/>
      <c r="ILU32" s="109"/>
      <c r="ILV32" s="109"/>
      <c r="ILW32" s="109"/>
      <c r="ILX32" s="109"/>
      <c r="ILY32" s="109"/>
      <c r="ILZ32" s="109"/>
      <c r="IMA32" s="109"/>
      <c r="IMB32" s="109"/>
      <c r="IMC32" s="109"/>
      <c r="IMD32" s="109"/>
      <c r="IME32" s="109"/>
      <c r="IMF32" s="109"/>
      <c r="IMG32" s="109"/>
      <c r="IMH32" s="109"/>
      <c r="IMI32" s="109"/>
      <c r="IMJ32" s="109"/>
      <c r="IMK32" s="109"/>
      <c r="IML32" s="109"/>
      <c r="IMM32" s="109"/>
      <c r="IMN32" s="109"/>
      <c r="IMO32" s="109"/>
      <c r="IMP32" s="109"/>
      <c r="IMQ32" s="109"/>
      <c r="IMR32" s="109"/>
      <c r="IMS32" s="109"/>
      <c r="IMT32" s="109"/>
      <c r="IMU32" s="109"/>
      <c r="IMV32" s="109"/>
      <c r="IMW32" s="109"/>
      <c r="IMX32" s="109"/>
      <c r="IMY32" s="109"/>
      <c r="IMZ32" s="109"/>
      <c r="INA32" s="109"/>
      <c r="INB32" s="109"/>
      <c r="INC32" s="109"/>
      <c r="IND32" s="109"/>
      <c r="INE32" s="109"/>
      <c r="INF32" s="109"/>
      <c r="ING32" s="109"/>
      <c r="INH32" s="109"/>
      <c r="INI32" s="109"/>
      <c r="INJ32" s="109"/>
      <c r="INK32" s="109"/>
      <c r="INL32" s="109"/>
      <c r="INM32" s="109"/>
      <c r="INN32" s="109"/>
      <c r="INO32" s="109"/>
      <c r="INP32" s="109"/>
      <c r="INQ32" s="109"/>
      <c r="INR32" s="109"/>
      <c r="INS32" s="109"/>
      <c r="INT32" s="109"/>
      <c r="INU32" s="109"/>
      <c r="INV32" s="109"/>
      <c r="INW32" s="109"/>
      <c r="INX32" s="109"/>
      <c r="INY32" s="109"/>
      <c r="INZ32" s="109"/>
      <c r="IOA32" s="109"/>
      <c r="IOB32" s="109"/>
      <c r="IOC32" s="109"/>
      <c r="IOD32" s="109"/>
      <c r="IOE32" s="109"/>
      <c r="IOF32" s="109"/>
      <c r="IOG32" s="109"/>
      <c r="IOH32" s="109"/>
      <c r="IOI32" s="109"/>
      <c r="IOJ32" s="109"/>
      <c r="IOK32" s="109"/>
      <c r="IOL32" s="109"/>
      <c r="IOM32" s="109"/>
      <c r="ION32" s="109"/>
      <c r="IOO32" s="109"/>
      <c r="IOP32" s="109"/>
      <c r="IOQ32" s="109"/>
      <c r="IOR32" s="109"/>
      <c r="IOS32" s="109"/>
      <c r="IOT32" s="109"/>
      <c r="IOU32" s="109"/>
      <c r="IOV32" s="109"/>
      <c r="IOW32" s="109"/>
      <c r="IOX32" s="109"/>
      <c r="IOY32" s="109"/>
      <c r="IOZ32" s="109"/>
      <c r="IPA32" s="109"/>
      <c r="IPB32" s="109"/>
      <c r="IPC32" s="109"/>
      <c r="IPD32" s="109"/>
      <c r="IPE32" s="109"/>
      <c r="IPF32" s="109"/>
      <c r="IPG32" s="109"/>
      <c r="IPH32" s="109"/>
      <c r="IPI32" s="109"/>
      <c r="IPJ32" s="109"/>
      <c r="IPK32" s="109"/>
      <c r="IPL32" s="109"/>
      <c r="IPM32" s="109"/>
      <c r="IPN32" s="109"/>
      <c r="IPO32" s="109"/>
      <c r="IPP32" s="109"/>
      <c r="IPQ32" s="109"/>
      <c r="IPR32" s="109"/>
      <c r="IPS32" s="109"/>
      <c r="IPT32" s="109"/>
      <c r="IPU32" s="109"/>
      <c r="IPV32" s="109"/>
      <c r="IPW32" s="109"/>
      <c r="IPX32" s="109"/>
      <c r="IPY32" s="109"/>
      <c r="IPZ32" s="109"/>
      <c r="IQA32" s="109"/>
      <c r="IQB32" s="109"/>
      <c r="IQC32" s="109"/>
      <c r="IQD32" s="109"/>
      <c r="IQE32" s="109"/>
      <c r="IQF32" s="109"/>
      <c r="IQG32" s="109"/>
      <c r="IQH32" s="109"/>
      <c r="IQI32" s="109"/>
      <c r="IQJ32" s="109"/>
      <c r="IQK32" s="109"/>
      <c r="IQL32" s="109"/>
      <c r="IQM32" s="109"/>
      <c r="IQN32" s="109"/>
      <c r="IQO32" s="109"/>
      <c r="IQP32" s="109"/>
      <c r="IQQ32" s="109"/>
      <c r="IQR32" s="109"/>
      <c r="IQS32" s="109"/>
      <c r="IQT32" s="109"/>
      <c r="IQU32" s="109"/>
      <c r="IQV32" s="109"/>
      <c r="IQW32" s="109"/>
      <c r="IQX32" s="109"/>
      <c r="IQY32" s="109"/>
      <c r="IQZ32" s="109"/>
      <c r="IRA32" s="109"/>
      <c r="IRB32" s="109"/>
      <c r="IRC32" s="109"/>
      <c r="IRD32" s="109"/>
      <c r="IRE32" s="109"/>
      <c r="IRF32" s="109"/>
      <c r="IRG32" s="109"/>
      <c r="IRH32" s="109"/>
      <c r="IRI32" s="109"/>
      <c r="IRJ32" s="109"/>
      <c r="IRK32" s="109"/>
      <c r="IRL32" s="109"/>
      <c r="IRM32" s="109"/>
      <c r="IRN32" s="109"/>
      <c r="IRO32" s="109"/>
      <c r="IRP32" s="109"/>
      <c r="IRQ32" s="109"/>
      <c r="IRR32" s="109"/>
      <c r="IRS32" s="109"/>
      <c r="IRT32" s="109"/>
      <c r="IRU32" s="109"/>
      <c r="IRV32" s="109"/>
      <c r="IRW32" s="109"/>
      <c r="IRX32" s="109"/>
      <c r="IRY32" s="109"/>
      <c r="IRZ32" s="109"/>
      <c r="ISA32" s="109"/>
      <c r="ISB32" s="109"/>
      <c r="ISC32" s="109"/>
      <c r="ISD32" s="109"/>
      <c r="ISE32" s="109"/>
      <c r="ISF32" s="109"/>
      <c r="ISG32" s="109"/>
      <c r="ISH32" s="109"/>
      <c r="ISI32" s="109"/>
      <c r="ISJ32" s="109"/>
      <c r="ISK32" s="109"/>
      <c r="ISL32" s="109"/>
      <c r="ISM32" s="109"/>
      <c r="ISN32" s="109"/>
      <c r="ISO32" s="109"/>
      <c r="ISP32" s="109"/>
      <c r="ISQ32" s="109"/>
      <c r="ISR32" s="109"/>
      <c r="ISS32" s="109"/>
      <c r="IST32" s="109"/>
      <c r="ISU32" s="109"/>
      <c r="ISV32" s="109"/>
      <c r="ISW32" s="109"/>
      <c r="ISX32" s="109"/>
      <c r="ISY32" s="109"/>
      <c r="ISZ32" s="109"/>
      <c r="ITA32" s="109"/>
      <c r="ITB32" s="109"/>
      <c r="ITC32" s="109"/>
      <c r="ITD32" s="109"/>
      <c r="ITE32" s="109"/>
      <c r="ITF32" s="109"/>
      <c r="ITG32" s="109"/>
      <c r="ITH32" s="109"/>
      <c r="ITI32" s="109"/>
      <c r="ITJ32" s="109"/>
      <c r="ITK32" s="109"/>
      <c r="ITL32" s="109"/>
      <c r="ITM32" s="109"/>
      <c r="ITN32" s="109"/>
      <c r="ITO32" s="109"/>
      <c r="ITP32" s="109"/>
      <c r="ITQ32" s="109"/>
      <c r="ITR32" s="109"/>
      <c r="ITS32" s="109"/>
      <c r="ITT32" s="109"/>
      <c r="ITU32" s="109"/>
      <c r="ITV32" s="109"/>
      <c r="ITW32" s="109"/>
      <c r="ITX32" s="109"/>
      <c r="ITY32" s="109"/>
      <c r="ITZ32" s="109"/>
      <c r="IUA32" s="109"/>
      <c r="IUB32" s="109"/>
      <c r="IUC32" s="109"/>
      <c r="IUD32" s="109"/>
      <c r="IUE32" s="109"/>
      <c r="IUF32" s="109"/>
      <c r="IUG32" s="109"/>
      <c r="IUH32" s="109"/>
      <c r="IUI32" s="109"/>
      <c r="IUJ32" s="109"/>
      <c r="IUK32" s="109"/>
      <c r="IUL32" s="109"/>
      <c r="IUM32" s="109"/>
      <c r="IUN32" s="109"/>
      <c r="IUO32" s="109"/>
      <c r="IUP32" s="109"/>
      <c r="IUQ32" s="109"/>
      <c r="IUR32" s="109"/>
      <c r="IUS32" s="109"/>
      <c r="IUT32" s="109"/>
      <c r="IUU32" s="109"/>
      <c r="IUV32" s="109"/>
      <c r="IUW32" s="109"/>
      <c r="IUX32" s="109"/>
      <c r="IUY32" s="109"/>
      <c r="IUZ32" s="109"/>
      <c r="IVA32" s="109"/>
      <c r="IVB32" s="109"/>
      <c r="IVC32" s="109"/>
      <c r="IVD32" s="109"/>
      <c r="IVE32" s="109"/>
      <c r="IVF32" s="109"/>
      <c r="IVG32" s="109"/>
      <c r="IVH32" s="109"/>
      <c r="IVI32" s="109"/>
      <c r="IVJ32" s="109"/>
      <c r="IVK32" s="109"/>
      <c r="IVL32" s="109"/>
      <c r="IVM32" s="109"/>
      <c r="IVN32" s="109"/>
      <c r="IVO32" s="109"/>
      <c r="IVP32" s="109"/>
      <c r="IVQ32" s="109"/>
      <c r="IVR32" s="109"/>
      <c r="IVS32" s="109"/>
      <c r="IVT32" s="109"/>
      <c r="IVU32" s="109"/>
      <c r="IVV32" s="109"/>
      <c r="IVW32" s="109"/>
      <c r="IVX32" s="109"/>
      <c r="IVY32" s="109"/>
      <c r="IVZ32" s="109"/>
      <c r="IWA32" s="109"/>
      <c r="IWB32" s="109"/>
      <c r="IWC32" s="109"/>
      <c r="IWD32" s="109"/>
      <c r="IWE32" s="109"/>
      <c r="IWF32" s="109"/>
      <c r="IWG32" s="109"/>
      <c r="IWH32" s="109"/>
      <c r="IWI32" s="109"/>
      <c r="IWJ32" s="109"/>
      <c r="IWK32" s="109"/>
      <c r="IWL32" s="109"/>
      <c r="IWM32" s="109"/>
      <c r="IWN32" s="109"/>
      <c r="IWO32" s="109"/>
      <c r="IWP32" s="109"/>
      <c r="IWQ32" s="109"/>
      <c r="IWR32" s="109"/>
      <c r="IWS32" s="109"/>
      <c r="IWT32" s="109"/>
      <c r="IWU32" s="109"/>
      <c r="IWV32" s="109"/>
      <c r="IWW32" s="109"/>
      <c r="IWX32" s="109"/>
      <c r="IWY32" s="109"/>
      <c r="IWZ32" s="109"/>
      <c r="IXA32" s="109"/>
      <c r="IXB32" s="109"/>
      <c r="IXC32" s="109"/>
      <c r="IXD32" s="109"/>
      <c r="IXE32" s="109"/>
      <c r="IXF32" s="109"/>
      <c r="IXG32" s="109"/>
      <c r="IXH32" s="109"/>
      <c r="IXI32" s="109"/>
      <c r="IXJ32" s="109"/>
      <c r="IXK32" s="109"/>
      <c r="IXL32" s="109"/>
      <c r="IXM32" s="109"/>
      <c r="IXN32" s="109"/>
      <c r="IXO32" s="109"/>
      <c r="IXP32" s="109"/>
      <c r="IXQ32" s="109"/>
      <c r="IXR32" s="109"/>
      <c r="IXS32" s="109"/>
      <c r="IXT32" s="109"/>
      <c r="IXU32" s="109"/>
      <c r="IXV32" s="109"/>
      <c r="IXW32" s="109"/>
      <c r="IXX32" s="109"/>
      <c r="IXY32" s="109"/>
      <c r="IXZ32" s="109"/>
      <c r="IYA32" s="109"/>
      <c r="IYB32" s="109"/>
      <c r="IYC32" s="109"/>
      <c r="IYD32" s="109"/>
      <c r="IYE32" s="109"/>
      <c r="IYF32" s="109"/>
      <c r="IYG32" s="109"/>
      <c r="IYH32" s="109"/>
      <c r="IYI32" s="109"/>
      <c r="IYJ32" s="109"/>
      <c r="IYK32" s="109"/>
      <c r="IYL32" s="109"/>
      <c r="IYM32" s="109"/>
      <c r="IYN32" s="109"/>
      <c r="IYO32" s="109"/>
      <c r="IYP32" s="109"/>
      <c r="IYQ32" s="109"/>
      <c r="IYR32" s="109"/>
      <c r="IYS32" s="109"/>
      <c r="IYT32" s="109"/>
      <c r="IYU32" s="109"/>
      <c r="IYV32" s="109"/>
      <c r="IYW32" s="109"/>
      <c r="IYX32" s="109"/>
      <c r="IYY32" s="109"/>
      <c r="IYZ32" s="109"/>
      <c r="IZA32" s="109"/>
      <c r="IZB32" s="109"/>
      <c r="IZC32" s="109"/>
      <c r="IZD32" s="109"/>
      <c r="IZE32" s="109"/>
      <c r="IZF32" s="109"/>
      <c r="IZG32" s="109"/>
      <c r="IZH32" s="109"/>
      <c r="IZI32" s="109"/>
      <c r="IZJ32" s="109"/>
      <c r="IZK32" s="109"/>
      <c r="IZL32" s="109"/>
      <c r="IZM32" s="109"/>
      <c r="IZN32" s="109"/>
      <c r="IZO32" s="109"/>
      <c r="IZP32" s="109"/>
      <c r="IZQ32" s="109"/>
      <c r="IZR32" s="109"/>
      <c r="IZS32" s="109"/>
      <c r="IZT32" s="109"/>
      <c r="IZU32" s="109"/>
      <c r="IZV32" s="109"/>
      <c r="IZW32" s="109"/>
      <c r="IZX32" s="109"/>
      <c r="IZY32" s="109"/>
      <c r="IZZ32" s="109"/>
      <c r="JAA32" s="109"/>
      <c r="JAB32" s="109"/>
      <c r="JAC32" s="109"/>
      <c r="JAD32" s="109"/>
      <c r="JAE32" s="109"/>
      <c r="JAF32" s="109"/>
      <c r="JAG32" s="109"/>
      <c r="JAH32" s="109"/>
      <c r="JAI32" s="109"/>
      <c r="JAJ32" s="109"/>
      <c r="JAK32" s="109"/>
      <c r="JAL32" s="109"/>
      <c r="JAM32" s="109"/>
      <c r="JAN32" s="109"/>
      <c r="JAO32" s="109"/>
      <c r="JAP32" s="109"/>
      <c r="JAQ32" s="109"/>
      <c r="JAR32" s="109"/>
      <c r="JAS32" s="109"/>
      <c r="JAT32" s="109"/>
      <c r="JAU32" s="109"/>
      <c r="JAV32" s="109"/>
      <c r="JAW32" s="109"/>
      <c r="JAX32" s="109"/>
      <c r="JAY32" s="109"/>
      <c r="JAZ32" s="109"/>
      <c r="JBA32" s="109"/>
      <c r="JBB32" s="109"/>
      <c r="JBC32" s="109"/>
      <c r="JBD32" s="109"/>
      <c r="JBE32" s="109"/>
      <c r="JBF32" s="109"/>
      <c r="JBG32" s="109"/>
      <c r="JBH32" s="109"/>
      <c r="JBI32" s="109"/>
      <c r="JBJ32" s="109"/>
      <c r="JBK32" s="109"/>
      <c r="JBL32" s="109"/>
      <c r="JBM32" s="109"/>
      <c r="JBN32" s="109"/>
      <c r="JBO32" s="109"/>
      <c r="JBP32" s="109"/>
      <c r="JBQ32" s="109"/>
      <c r="JBR32" s="109"/>
      <c r="JBS32" s="109"/>
      <c r="JBT32" s="109"/>
      <c r="JBU32" s="109"/>
      <c r="JBV32" s="109"/>
      <c r="JBW32" s="109"/>
      <c r="JBX32" s="109"/>
      <c r="JBY32" s="109"/>
      <c r="JBZ32" s="109"/>
      <c r="JCA32" s="109"/>
      <c r="JCB32" s="109"/>
      <c r="JCC32" s="109"/>
      <c r="JCD32" s="109"/>
      <c r="JCE32" s="109"/>
      <c r="JCF32" s="109"/>
      <c r="JCG32" s="109"/>
      <c r="JCH32" s="109"/>
      <c r="JCI32" s="109"/>
      <c r="JCJ32" s="109"/>
      <c r="JCK32" s="109"/>
      <c r="JCL32" s="109"/>
      <c r="JCM32" s="109"/>
      <c r="JCN32" s="109"/>
      <c r="JCO32" s="109"/>
      <c r="JCP32" s="109"/>
      <c r="JCQ32" s="109"/>
      <c r="JCR32" s="109"/>
      <c r="JCS32" s="109"/>
      <c r="JCT32" s="109"/>
      <c r="JCU32" s="109"/>
      <c r="JCV32" s="109"/>
      <c r="JCW32" s="109"/>
      <c r="JCX32" s="109"/>
      <c r="JCY32" s="109"/>
      <c r="JCZ32" s="109"/>
      <c r="JDA32" s="109"/>
      <c r="JDB32" s="109"/>
      <c r="JDC32" s="109"/>
      <c r="JDD32" s="109"/>
      <c r="JDE32" s="109"/>
      <c r="JDF32" s="109"/>
      <c r="JDG32" s="109"/>
      <c r="JDH32" s="109"/>
      <c r="JDI32" s="109"/>
      <c r="JDJ32" s="109"/>
      <c r="JDK32" s="109"/>
      <c r="JDL32" s="109"/>
      <c r="JDM32" s="109"/>
      <c r="JDN32" s="109"/>
      <c r="JDO32" s="109"/>
      <c r="JDP32" s="109"/>
      <c r="JDQ32" s="109"/>
      <c r="JDR32" s="109"/>
      <c r="JDS32" s="109"/>
      <c r="JDT32" s="109"/>
      <c r="JDU32" s="109"/>
      <c r="JDV32" s="109"/>
      <c r="JDW32" s="109"/>
      <c r="JDX32" s="109"/>
      <c r="JDY32" s="109"/>
      <c r="JDZ32" s="109"/>
      <c r="JEA32" s="109"/>
      <c r="JEB32" s="109"/>
      <c r="JEC32" s="109"/>
      <c r="JED32" s="109"/>
      <c r="JEE32" s="109"/>
      <c r="JEF32" s="109"/>
      <c r="JEG32" s="109"/>
      <c r="JEH32" s="109"/>
      <c r="JEI32" s="109"/>
      <c r="JEJ32" s="109"/>
      <c r="JEK32" s="109"/>
      <c r="JEL32" s="109"/>
      <c r="JEM32" s="109"/>
      <c r="JEN32" s="109"/>
      <c r="JEO32" s="109"/>
      <c r="JEP32" s="109"/>
      <c r="JEQ32" s="109"/>
      <c r="JER32" s="109"/>
      <c r="JES32" s="109"/>
      <c r="JET32" s="109"/>
      <c r="JEU32" s="109"/>
      <c r="JEV32" s="109"/>
      <c r="JEW32" s="109"/>
      <c r="JEX32" s="109"/>
      <c r="JEY32" s="109"/>
      <c r="JEZ32" s="109"/>
      <c r="JFA32" s="109"/>
      <c r="JFB32" s="109"/>
      <c r="JFC32" s="109"/>
      <c r="JFD32" s="109"/>
      <c r="JFE32" s="109"/>
      <c r="JFF32" s="109"/>
      <c r="JFG32" s="109"/>
      <c r="JFH32" s="109"/>
      <c r="JFI32" s="109"/>
      <c r="JFJ32" s="109"/>
      <c r="JFK32" s="109"/>
      <c r="JFL32" s="109"/>
      <c r="JFM32" s="109"/>
      <c r="JFN32" s="109"/>
      <c r="JFO32" s="109"/>
      <c r="JFP32" s="109"/>
      <c r="JFQ32" s="109"/>
      <c r="JFR32" s="109"/>
      <c r="JFS32" s="109"/>
      <c r="JFT32" s="109"/>
      <c r="JFU32" s="109"/>
      <c r="JFV32" s="109"/>
      <c r="JFW32" s="109"/>
      <c r="JFX32" s="109"/>
      <c r="JFY32" s="109"/>
      <c r="JFZ32" s="109"/>
      <c r="JGA32" s="109"/>
      <c r="JGB32" s="109"/>
      <c r="JGC32" s="109"/>
      <c r="JGD32" s="109"/>
      <c r="JGE32" s="109"/>
      <c r="JGF32" s="109"/>
      <c r="JGG32" s="109"/>
      <c r="JGH32" s="109"/>
      <c r="JGI32" s="109"/>
      <c r="JGJ32" s="109"/>
      <c r="JGK32" s="109"/>
      <c r="JGL32" s="109"/>
      <c r="JGM32" s="109"/>
      <c r="JGN32" s="109"/>
      <c r="JGO32" s="109"/>
      <c r="JGP32" s="109"/>
      <c r="JGQ32" s="109"/>
      <c r="JGR32" s="109"/>
      <c r="JGS32" s="109"/>
      <c r="JGT32" s="109"/>
      <c r="JGU32" s="109"/>
      <c r="JGV32" s="109"/>
      <c r="JGW32" s="109"/>
      <c r="JGX32" s="109"/>
      <c r="JGY32" s="109"/>
      <c r="JGZ32" s="109"/>
      <c r="JHA32" s="109"/>
      <c r="JHB32" s="109"/>
      <c r="JHC32" s="109"/>
      <c r="JHD32" s="109"/>
      <c r="JHE32" s="109"/>
      <c r="JHF32" s="109"/>
      <c r="JHG32" s="109"/>
      <c r="JHH32" s="109"/>
      <c r="JHI32" s="109"/>
      <c r="JHJ32" s="109"/>
      <c r="JHK32" s="109"/>
      <c r="JHL32" s="109"/>
      <c r="JHM32" s="109"/>
      <c r="JHN32" s="109"/>
      <c r="JHO32" s="109"/>
      <c r="JHP32" s="109"/>
      <c r="JHQ32" s="109"/>
      <c r="JHR32" s="109"/>
      <c r="JHS32" s="109"/>
      <c r="JHT32" s="109"/>
      <c r="JHU32" s="109"/>
      <c r="JHV32" s="109"/>
      <c r="JHW32" s="109"/>
      <c r="JHX32" s="109"/>
      <c r="JHY32" s="109"/>
      <c r="JHZ32" s="109"/>
      <c r="JIA32" s="109"/>
      <c r="JIB32" s="109"/>
      <c r="JIC32" s="109"/>
      <c r="JID32" s="109"/>
      <c r="JIE32" s="109"/>
      <c r="JIF32" s="109"/>
      <c r="JIG32" s="109"/>
      <c r="JIH32" s="109"/>
      <c r="JII32" s="109"/>
      <c r="JIJ32" s="109"/>
      <c r="JIK32" s="109"/>
      <c r="JIL32" s="109"/>
      <c r="JIM32" s="109"/>
      <c r="JIN32" s="109"/>
      <c r="JIO32" s="109"/>
      <c r="JIP32" s="109"/>
      <c r="JIQ32" s="109"/>
      <c r="JIR32" s="109"/>
      <c r="JIS32" s="109"/>
      <c r="JIT32" s="109"/>
      <c r="JIU32" s="109"/>
      <c r="JIV32" s="109"/>
      <c r="JIW32" s="109"/>
      <c r="JIX32" s="109"/>
      <c r="JIY32" s="109"/>
      <c r="JIZ32" s="109"/>
      <c r="JJA32" s="109"/>
      <c r="JJB32" s="109"/>
      <c r="JJC32" s="109"/>
      <c r="JJD32" s="109"/>
      <c r="JJE32" s="109"/>
      <c r="JJF32" s="109"/>
      <c r="JJG32" s="109"/>
      <c r="JJH32" s="109"/>
      <c r="JJI32" s="109"/>
      <c r="JJJ32" s="109"/>
      <c r="JJK32" s="109"/>
      <c r="JJL32" s="109"/>
      <c r="JJM32" s="109"/>
      <c r="JJN32" s="109"/>
      <c r="JJO32" s="109"/>
      <c r="JJP32" s="109"/>
      <c r="JJQ32" s="109"/>
      <c r="JJR32" s="109"/>
      <c r="JJS32" s="109"/>
      <c r="JJT32" s="109"/>
      <c r="JJU32" s="109"/>
      <c r="JJV32" s="109"/>
      <c r="JJW32" s="109"/>
      <c r="JJX32" s="109"/>
      <c r="JJY32" s="109"/>
      <c r="JJZ32" s="109"/>
      <c r="JKA32" s="109"/>
      <c r="JKB32" s="109"/>
      <c r="JKC32" s="109"/>
      <c r="JKD32" s="109"/>
      <c r="JKE32" s="109"/>
      <c r="JKF32" s="109"/>
      <c r="JKG32" s="109"/>
      <c r="JKH32" s="109"/>
      <c r="JKI32" s="109"/>
      <c r="JKJ32" s="109"/>
      <c r="JKK32" s="109"/>
      <c r="JKL32" s="109"/>
      <c r="JKM32" s="109"/>
      <c r="JKN32" s="109"/>
      <c r="JKO32" s="109"/>
      <c r="JKP32" s="109"/>
      <c r="JKQ32" s="109"/>
      <c r="JKR32" s="109"/>
      <c r="JKS32" s="109"/>
      <c r="JKT32" s="109"/>
      <c r="JKU32" s="109"/>
      <c r="JKV32" s="109"/>
      <c r="JKW32" s="109"/>
      <c r="JKX32" s="109"/>
      <c r="JKY32" s="109"/>
      <c r="JKZ32" s="109"/>
      <c r="JLA32" s="109"/>
      <c r="JLB32" s="109"/>
      <c r="JLC32" s="109"/>
      <c r="JLD32" s="109"/>
      <c r="JLE32" s="109"/>
      <c r="JLF32" s="109"/>
      <c r="JLG32" s="109"/>
      <c r="JLH32" s="109"/>
      <c r="JLI32" s="109"/>
      <c r="JLJ32" s="109"/>
      <c r="JLK32" s="109"/>
      <c r="JLL32" s="109"/>
      <c r="JLM32" s="109"/>
      <c r="JLN32" s="109"/>
      <c r="JLO32" s="109"/>
      <c r="JLP32" s="109"/>
      <c r="JLQ32" s="109"/>
      <c r="JLR32" s="109"/>
      <c r="JLS32" s="109"/>
      <c r="JLT32" s="109"/>
      <c r="JLU32" s="109"/>
      <c r="JLV32" s="109"/>
      <c r="JLW32" s="109"/>
      <c r="JLX32" s="109"/>
      <c r="JLY32" s="109"/>
      <c r="JLZ32" s="109"/>
      <c r="JMA32" s="109"/>
      <c r="JMB32" s="109"/>
      <c r="JMC32" s="109"/>
      <c r="JMD32" s="109"/>
      <c r="JME32" s="109"/>
      <c r="JMF32" s="109"/>
      <c r="JMG32" s="109"/>
      <c r="JMH32" s="109"/>
      <c r="JMI32" s="109"/>
      <c r="JMJ32" s="109"/>
      <c r="JMK32" s="109"/>
      <c r="JML32" s="109"/>
      <c r="JMM32" s="109"/>
      <c r="JMN32" s="109"/>
      <c r="JMO32" s="109"/>
      <c r="JMP32" s="109"/>
      <c r="JMQ32" s="109"/>
      <c r="JMR32" s="109"/>
      <c r="JMS32" s="109"/>
      <c r="JMT32" s="109"/>
      <c r="JMU32" s="109"/>
      <c r="JMV32" s="109"/>
      <c r="JMW32" s="109"/>
      <c r="JMX32" s="109"/>
      <c r="JMY32" s="109"/>
      <c r="JMZ32" s="109"/>
      <c r="JNA32" s="109"/>
      <c r="JNB32" s="109"/>
      <c r="JNC32" s="109"/>
      <c r="JND32" s="109"/>
      <c r="JNE32" s="109"/>
      <c r="JNF32" s="109"/>
      <c r="JNG32" s="109"/>
      <c r="JNH32" s="109"/>
      <c r="JNI32" s="109"/>
      <c r="JNJ32" s="109"/>
      <c r="JNK32" s="109"/>
      <c r="JNL32" s="109"/>
      <c r="JNM32" s="109"/>
      <c r="JNN32" s="109"/>
      <c r="JNO32" s="109"/>
      <c r="JNP32" s="109"/>
      <c r="JNQ32" s="109"/>
      <c r="JNR32" s="109"/>
      <c r="JNS32" s="109"/>
      <c r="JNT32" s="109"/>
      <c r="JNU32" s="109"/>
      <c r="JNV32" s="109"/>
      <c r="JNW32" s="109"/>
      <c r="JNX32" s="109"/>
      <c r="JNY32" s="109"/>
      <c r="JNZ32" s="109"/>
      <c r="JOA32" s="109"/>
      <c r="JOB32" s="109"/>
      <c r="JOC32" s="109"/>
      <c r="JOD32" s="109"/>
      <c r="JOE32" s="109"/>
      <c r="JOF32" s="109"/>
      <c r="JOG32" s="109"/>
      <c r="JOH32" s="109"/>
      <c r="JOI32" s="109"/>
      <c r="JOJ32" s="109"/>
      <c r="JOK32" s="109"/>
      <c r="JOL32" s="109"/>
      <c r="JOM32" s="109"/>
      <c r="JON32" s="109"/>
      <c r="JOO32" s="109"/>
      <c r="JOP32" s="109"/>
      <c r="JOQ32" s="109"/>
      <c r="JOR32" s="109"/>
      <c r="JOS32" s="109"/>
      <c r="JOT32" s="109"/>
      <c r="JOU32" s="109"/>
      <c r="JOV32" s="109"/>
      <c r="JOW32" s="109"/>
      <c r="JOX32" s="109"/>
      <c r="JOY32" s="109"/>
      <c r="JOZ32" s="109"/>
      <c r="JPA32" s="109"/>
      <c r="JPB32" s="109"/>
      <c r="JPC32" s="109"/>
      <c r="JPD32" s="109"/>
      <c r="JPE32" s="109"/>
      <c r="JPF32" s="109"/>
      <c r="JPG32" s="109"/>
      <c r="JPH32" s="109"/>
      <c r="JPI32" s="109"/>
      <c r="JPJ32" s="109"/>
      <c r="JPK32" s="109"/>
      <c r="JPL32" s="109"/>
      <c r="JPM32" s="109"/>
      <c r="JPN32" s="109"/>
      <c r="JPO32" s="109"/>
      <c r="JPP32" s="109"/>
      <c r="JPQ32" s="109"/>
      <c r="JPR32" s="109"/>
      <c r="JPS32" s="109"/>
      <c r="JPT32" s="109"/>
      <c r="JPU32" s="109"/>
      <c r="JPV32" s="109"/>
      <c r="JPW32" s="109"/>
      <c r="JPX32" s="109"/>
      <c r="JPY32" s="109"/>
      <c r="JPZ32" s="109"/>
      <c r="JQA32" s="109"/>
      <c r="JQB32" s="109"/>
      <c r="JQC32" s="109"/>
      <c r="JQD32" s="109"/>
      <c r="JQE32" s="109"/>
      <c r="JQF32" s="109"/>
      <c r="JQG32" s="109"/>
      <c r="JQH32" s="109"/>
      <c r="JQI32" s="109"/>
      <c r="JQJ32" s="109"/>
      <c r="JQK32" s="109"/>
      <c r="JQL32" s="109"/>
      <c r="JQM32" s="109"/>
      <c r="JQN32" s="109"/>
      <c r="JQO32" s="109"/>
      <c r="JQP32" s="109"/>
      <c r="JQQ32" s="109"/>
      <c r="JQR32" s="109"/>
      <c r="JQS32" s="109"/>
      <c r="JQT32" s="109"/>
      <c r="JQU32" s="109"/>
      <c r="JQV32" s="109"/>
      <c r="JQW32" s="109"/>
      <c r="JQX32" s="109"/>
      <c r="JQY32" s="109"/>
      <c r="JQZ32" s="109"/>
      <c r="JRA32" s="109"/>
      <c r="JRB32" s="109"/>
      <c r="JRC32" s="109"/>
      <c r="JRD32" s="109"/>
      <c r="JRE32" s="109"/>
      <c r="JRF32" s="109"/>
      <c r="JRG32" s="109"/>
      <c r="JRH32" s="109"/>
      <c r="JRI32" s="109"/>
      <c r="JRJ32" s="109"/>
      <c r="JRK32" s="109"/>
      <c r="JRL32" s="109"/>
      <c r="JRM32" s="109"/>
      <c r="JRN32" s="109"/>
      <c r="JRO32" s="109"/>
      <c r="JRP32" s="109"/>
      <c r="JRQ32" s="109"/>
      <c r="JRR32" s="109"/>
      <c r="JRS32" s="109"/>
      <c r="JRT32" s="109"/>
      <c r="JRU32" s="109"/>
      <c r="JRV32" s="109"/>
      <c r="JRW32" s="109"/>
      <c r="JRX32" s="109"/>
      <c r="JRY32" s="109"/>
      <c r="JRZ32" s="109"/>
      <c r="JSA32" s="109"/>
      <c r="JSB32" s="109"/>
      <c r="JSC32" s="109"/>
      <c r="JSD32" s="109"/>
      <c r="JSE32" s="109"/>
      <c r="JSF32" s="109"/>
      <c r="JSG32" s="109"/>
      <c r="JSH32" s="109"/>
      <c r="JSI32" s="109"/>
      <c r="JSJ32" s="109"/>
      <c r="JSK32" s="109"/>
      <c r="JSL32" s="109"/>
      <c r="JSM32" s="109"/>
      <c r="JSN32" s="109"/>
      <c r="JSO32" s="109"/>
      <c r="JSP32" s="109"/>
      <c r="JSQ32" s="109"/>
      <c r="JSR32" s="109"/>
      <c r="JSS32" s="109"/>
      <c r="JST32" s="109"/>
      <c r="JSU32" s="109"/>
      <c r="JSV32" s="109"/>
      <c r="JSW32" s="109"/>
      <c r="JSX32" s="109"/>
      <c r="JSY32" s="109"/>
      <c r="JSZ32" s="109"/>
      <c r="JTA32" s="109"/>
      <c r="JTB32" s="109"/>
      <c r="JTC32" s="109"/>
      <c r="JTD32" s="109"/>
      <c r="JTE32" s="109"/>
      <c r="JTF32" s="109"/>
      <c r="JTG32" s="109"/>
      <c r="JTH32" s="109"/>
      <c r="JTI32" s="109"/>
      <c r="JTJ32" s="109"/>
      <c r="JTK32" s="109"/>
      <c r="JTL32" s="109"/>
      <c r="JTM32" s="109"/>
      <c r="JTN32" s="109"/>
      <c r="JTO32" s="109"/>
      <c r="JTP32" s="109"/>
      <c r="JTQ32" s="109"/>
      <c r="JTR32" s="109"/>
      <c r="JTS32" s="109"/>
      <c r="JTT32" s="109"/>
      <c r="JTU32" s="109"/>
      <c r="JTV32" s="109"/>
      <c r="JTW32" s="109"/>
      <c r="JTX32" s="109"/>
      <c r="JTY32" s="109"/>
      <c r="JTZ32" s="109"/>
      <c r="JUA32" s="109"/>
      <c r="JUB32" s="109"/>
      <c r="JUC32" s="109"/>
      <c r="JUD32" s="109"/>
      <c r="JUE32" s="109"/>
      <c r="JUF32" s="109"/>
      <c r="JUG32" s="109"/>
      <c r="JUH32" s="109"/>
      <c r="JUI32" s="109"/>
      <c r="JUJ32" s="109"/>
      <c r="JUK32" s="109"/>
      <c r="JUL32" s="109"/>
      <c r="JUM32" s="109"/>
      <c r="JUN32" s="109"/>
      <c r="JUO32" s="109"/>
      <c r="JUP32" s="109"/>
      <c r="JUQ32" s="109"/>
      <c r="JUR32" s="109"/>
      <c r="JUS32" s="109"/>
      <c r="JUT32" s="109"/>
      <c r="JUU32" s="109"/>
      <c r="JUV32" s="109"/>
      <c r="JUW32" s="109"/>
      <c r="JUX32" s="109"/>
      <c r="JUY32" s="109"/>
      <c r="JUZ32" s="109"/>
      <c r="JVA32" s="109"/>
      <c r="JVB32" s="109"/>
      <c r="JVC32" s="109"/>
      <c r="JVD32" s="109"/>
      <c r="JVE32" s="109"/>
      <c r="JVF32" s="109"/>
      <c r="JVG32" s="109"/>
      <c r="JVH32" s="109"/>
      <c r="JVI32" s="109"/>
      <c r="JVJ32" s="109"/>
      <c r="JVK32" s="109"/>
      <c r="JVL32" s="109"/>
      <c r="JVM32" s="109"/>
      <c r="JVN32" s="109"/>
      <c r="JVO32" s="109"/>
      <c r="JVP32" s="109"/>
      <c r="JVQ32" s="109"/>
      <c r="JVR32" s="109"/>
      <c r="JVS32" s="109"/>
      <c r="JVT32" s="109"/>
      <c r="JVU32" s="109"/>
      <c r="JVV32" s="109"/>
      <c r="JVW32" s="109"/>
      <c r="JVX32" s="109"/>
      <c r="JVY32" s="109"/>
      <c r="JVZ32" s="109"/>
      <c r="JWA32" s="109"/>
      <c r="JWB32" s="109"/>
      <c r="JWC32" s="109"/>
      <c r="JWD32" s="109"/>
      <c r="JWE32" s="109"/>
      <c r="JWF32" s="109"/>
      <c r="JWG32" s="109"/>
      <c r="JWH32" s="109"/>
      <c r="JWI32" s="109"/>
      <c r="JWJ32" s="109"/>
      <c r="JWK32" s="109"/>
      <c r="JWL32" s="109"/>
      <c r="JWM32" s="109"/>
      <c r="JWN32" s="109"/>
      <c r="JWO32" s="109"/>
      <c r="JWP32" s="109"/>
      <c r="JWQ32" s="109"/>
      <c r="JWR32" s="109"/>
      <c r="JWS32" s="109"/>
      <c r="JWT32" s="109"/>
      <c r="JWU32" s="109"/>
      <c r="JWV32" s="109"/>
      <c r="JWW32" s="109"/>
      <c r="JWX32" s="109"/>
      <c r="JWY32" s="109"/>
      <c r="JWZ32" s="109"/>
      <c r="JXA32" s="109"/>
      <c r="JXB32" s="109"/>
      <c r="JXC32" s="109"/>
      <c r="JXD32" s="109"/>
      <c r="JXE32" s="109"/>
      <c r="JXF32" s="109"/>
      <c r="JXG32" s="109"/>
      <c r="JXH32" s="109"/>
      <c r="JXI32" s="109"/>
      <c r="JXJ32" s="109"/>
      <c r="JXK32" s="109"/>
      <c r="JXL32" s="109"/>
      <c r="JXM32" s="109"/>
      <c r="JXN32" s="109"/>
      <c r="JXO32" s="109"/>
      <c r="JXP32" s="109"/>
      <c r="JXQ32" s="109"/>
      <c r="JXR32" s="109"/>
      <c r="JXS32" s="109"/>
      <c r="JXT32" s="109"/>
      <c r="JXU32" s="109"/>
      <c r="JXV32" s="109"/>
      <c r="JXW32" s="109"/>
      <c r="JXX32" s="109"/>
      <c r="JXY32" s="109"/>
      <c r="JXZ32" s="109"/>
      <c r="JYA32" s="109"/>
      <c r="JYB32" s="109"/>
      <c r="JYC32" s="109"/>
      <c r="JYD32" s="109"/>
      <c r="JYE32" s="109"/>
      <c r="JYF32" s="109"/>
      <c r="JYG32" s="109"/>
      <c r="JYH32" s="109"/>
      <c r="JYI32" s="109"/>
      <c r="JYJ32" s="109"/>
      <c r="JYK32" s="109"/>
      <c r="JYL32" s="109"/>
      <c r="JYM32" s="109"/>
      <c r="JYN32" s="109"/>
      <c r="JYO32" s="109"/>
      <c r="JYP32" s="109"/>
      <c r="JYQ32" s="109"/>
      <c r="JYR32" s="109"/>
      <c r="JYS32" s="109"/>
      <c r="JYT32" s="109"/>
      <c r="JYU32" s="109"/>
      <c r="JYV32" s="109"/>
      <c r="JYW32" s="109"/>
      <c r="JYX32" s="109"/>
      <c r="JYY32" s="109"/>
      <c r="JYZ32" s="109"/>
      <c r="JZA32" s="109"/>
      <c r="JZB32" s="109"/>
      <c r="JZC32" s="109"/>
      <c r="JZD32" s="109"/>
      <c r="JZE32" s="109"/>
      <c r="JZF32" s="109"/>
      <c r="JZG32" s="109"/>
      <c r="JZH32" s="109"/>
      <c r="JZI32" s="109"/>
      <c r="JZJ32" s="109"/>
      <c r="JZK32" s="109"/>
      <c r="JZL32" s="109"/>
      <c r="JZM32" s="109"/>
      <c r="JZN32" s="109"/>
      <c r="JZO32" s="109"/>
      <c r="JZP32" s="109"/>
      <c r="JZQ32" s="109"/>
      <c r="JZR32" s="109"/>
      <c r="JZS32" s="109"/>
      <c r="JZT32" s="109"/>
      <c r="JZU32" s="109"/>
      <c r="JZV32" s="109"/>
      <c r="JZW32" s="109"/>
      <c r="JZX32" s="109"/>
      <c r="JZY32" s="109"/>
      <c r="JZZ32" s="109"/>
      <c r="KAA32" s="109"/>
      <c r="KAB32" s="109"/>
      <c r="KAC32" s="109"/>
      <c r="KAD32" s="109"/>
      <c r="KAE32" s="109"/>
      <c r="KAF32" s="109"/>
      <c r="KAG32" s="109"/>
      <c r="KAH32" s="109"/>
      <c r="KAI32" s="109"/>
      <c r="KAJ32" s="109"/>
      <c r="KAK32" s="109"/>
      <c r="KAL32" s="109"/>
      <c r="KAM32" s="109"/>
      <c r="KAN32" s="109"/>
      <c r="KAO32" s="109"/>
      <c r="KAP32" s="109"/>
      <c r="KAQ32" s="109"/>
      <c r="KAR32" s="109"/>
      <c r="KAS32" s="109"/>
      <c r="KAT32" s="109"/>
      <c r="KAU32" s="109"/>
      <c r="KAV32" s="109"/>
      <c r="KAW32" s="109"/>
      <c r="KAX32" s="109"/>
      <c r="KAY32" s="109"/>
      <c r="KAZ32" s="109"/>
      <c r="KBA32" s="109"/>
      <c r="KBB32" s="109"/>
      <c r="KBC32" s="109"/>
      <c r="KBD32" s="109"/>
      <c r="KBE32" s="109"/>
      <c r="KBF32" s="109"/>
      <c r="KBG32" s="109"/>
      <c r="KBH32" s="109"/>
      <c r="KBI32" s="109"/>
      <c r="KBJ32" s="109"/>
      <c r="KBK32" s="109"/>
      <c r="KBL32" s="109"/>
      <c r="KBM32" s="109"/>
      <c r="KBN32" s="109"/>
      <c r="KBO32" s="109"/>
      <c r="KBP32" s="109"/>
      <c r="KBQ32" s="109"/>
      <c r="KBR32" s="109"/>
      <c r="KBS32" s="109"/>
      <c r="KBT32" s="109"/>
      <c r="KBU32" s="109"/>
      <c r="KBV32" s="109"/>
      <c r="KBW32" s="109"/>
      <c r="KBX32" s="109"/>
      <c r="KBY32" s="109"/>
      <c r="KBZ32" s="109"/>
      <c r="KCA32" s="109"/>
      <c r="KCB32" s="109"/>
      <c r="KCC32" s="109"/>
      <c r="KCD32" s="109"/>
      <c r="KCE32" s="109"/>
      <c r="KCF32" s="109"/>
      <c r="KCG32" s="109"/>
      <c r="KCH32" s="109"/>
      <c r="KCI32" s="109"/>
      <c r="KCJ32" s="109"/>
      <c r="KCK32" s="109"/>
      <c r="KCL32" s="109"/>
      <c r="KCM32" s="109"/>
      <c r="KCN32" s="109"/>
      <c r="KCO32" s="109"/>
      <c r="KCP32" s="109"/>
      <c r="KCQ32" s="109"/>
      <c r="KCR32" s="109"/>
      <c r="KCS32" s="109"/>
      <c r="KCT32" s="109"/>
      <c r="KCU32" s="109"/>
      <c r="KCV32" s="109"/>
      <c r="KCW32" s="109"/>
      <c r="KCX32" s="109"/>
      <c r="KCY32" s="109"/>
      <c r="KCZ32" s="109"/>
      <c r="KDA32" s="109"/>
      <c r="KDB32" s="109"/>
      <c r="KDC32" s="109"/>
      <c r="KDD32" s="109"/>
      <c r="KDE32" s="109"/>
      <c r="KDF32" s="109"/>
      <c r="KDG32" s="109"/>
      <c r="KDH32" s="109"/>
      <c r="KDI32" s="109"/>
      <c r="KDJ32" s="109"/>
      <c r="KDK32" s="109"/>
      <c r="KDL32" s="109"/>
      <c r="KDM32" s="109"/>
      <c r="KDN32" s="109"/>
      <c r="KDO32" s="109"/>
      <c r="KDP32" s="109"/>
      <c r="KDQ32" s="109"/>
      <c r="KDR32" s="109"/>
      <c r="KDS32" s="109"/>
      <c r="KDT32" s="109"/>
      <c r="KDU32" s="109"/>
      <c r="KDV32" s="109"/>
      <c r="KDW32" s="109"/>
      <c r="KDX32" s="109"/>
      <c r="KDY32" s="109"/>
      <c r="KDZ32" s="109"/>
      <c r="KEA32" s="109"/>
      <c r="KEB32" s="109"/>
      <c r="KEC32" s="109"/>
      <c r="KED32" s="109"/>
      <c r="KEE32" s="109"/>
      <c r="KEF32" s="109"/>
      <c r="KEG32" s="109"/>
      <c r="KEH32" s="109"/>
      <c r="KEI32" s="109"/>
      <c r="KEJ32" s="109"/>
      <c r="KEK32" s="109"/>
      <c r="KEL32" s="109"/>
      <c r="KEM32" s="109"/>
      <c r="KEN32" s="109"/>
      <c r="KEO32" s="109"/>
      <c r="KEP32" s="109"/>
      <c r="KEQ32" s="109"/>
      <c r="KER32" s="109"/>
      <c r="KES32" s="109"/>
      <c r="KET32" s="109"/>
      <c r="KEU32" s="109"/>
      <c r="KEV32" s="109"/>
      <c r="KEW32" s="109"/>
      <c r="KEX32" s="109"/>
      <c r="KEY32" s="109"/>
      <c r="KEZ32" s="109"/>
      <c r="KFA32" s="109"/>
      <c r="KFB32" s="109"/>
      <c r="KFC32" s="109"/>
      <c r="KFD32" s="109"/>
      <c r="KFE32" s="109"/>
      <c r="KFF32" s="109"/>
      <c r="KFG32" s="109"/>
      <c r="KFH32" s="109"/>
      <c r="KFI32" s="109"/>
      <c r="KFJ32" s="109"/>
      <c r="KFK32" s="109"/>
      <c r="KFL32" s="109"/>
      <c r="KFM32" s="109"/>
      <c r="KFN32" s="109"/>
      <c r="KFO32" s="109"/>
      <c r="KFP32" s="109"/>
      <c r="KFQ32" s="109"/>
      <c r="KFR32" s="109"/>
      <c r="KFS32" s="109"/>
      <c r="KFT32" s="109"/>
      <c r="KFU32" s="109"/>
      <c r="KFV32" s="109"/>
      <c r="KFW32" s="109"/>
      <c r="KFX32" s="109"/>
      <c r="KFY32" s="109"/>
      <c r="KFZ32" s="109"/>
      <c r="KGA32" s="109"/>
      <c r="KGB32" s="109"/>
      <c r="KGC32" s="109"/>
      <c r="KGD32" s="109"/>
      <c r="KGE32" s="109"/>
      <c r="KGF32" s="109"/>
      <c r="KGG32" s="109"/>
      <c r="KGH32" s="109"/>
      <c r="KGI32" s="109"/>
      <c r="KGJ32" s="109"/>
      <c r="KGK32" s="109"/>
      <c r="KGL32" s="109"/>
      <c r="KGM32" s="109"/>
      <c r="KGN32" s="109"/>
      <c r="KGO32" s="109"/>
      <c r="KGP32" s="109"/>
      <c r="KGQ32" s="109"/>
      <c r="KGR32" s="109"/>
      <c r="KGS32" s="109"/>
      <c r="KGT32" s="109"/>
      <c r="KGU32" s="109"/>
      <c r="KGV32" s="109"/>
      <c r="KGW32" s="109"/>
      <c r="KGX32" s="109"/>
      <c r="KGY32" s="109"/>
      <c r="KGZ32" s="109"/>
      <c r="KHA32" s="109"/>
      <c r="KHB32" s="109"/>
      <c r="KHC32" s="109"/>
      <c r="KHD32" s="109"/>
      <c r="KHE32" s="109"/>
      <c r="KHF32" s="109"/>
      <c r="KHG32" s="109"/>
      <c r="KHH32" s="109"/>
      <c r="KHI32" s="109"/>
      <c r="KHJ32" s="109"/>
      <c r="KHK32" s="109"/>
      <c r="KHL32" s="109"/>
      <c r="KHM32" s="109"/>
      <c r="KHN32" s="109"/>
      <c r="KHO32" s="109"/>
      <c r="KHP32" s="109"/>
      <c r="KHQ32" s="109"/>
      <c r="KHR32" s="109"/>
      <c r="KHS32" s="109"/>
      <c r="KHT32" s="109"/>
      <c r="KHU32" s="109"/>
      <c r="KHV32" s="109"/>
      <c r="KHW32" s="109"/>
      <c r="KHX32" s="109"/>
      <c r="KHY32" s="109"/>
      <c r="KHZ32" s="109"/>
      <c r="KIA32" s="109"/>
      <c r="KIB32" s="109"/>
      <c r="KIC32" s="109"/>
      <c r="KID32" s="109"/>
      <c r="KIE32" s="109"/>
      <c r="KIF32" s="109"/>
      <c r="KIG32" s="109"/>
      <c r="KIH32" s="109"/>
      <c r="KII32" s="109"/>
      <c r="KIJ32" s="109"/>
      <c r="KIK32" s="109"/>
      <c r="KIL32" s="109"/>
      <c r="KIM32" s="109"/>
      <c r="KIN32" s="109"/>
      <c r="KIO32" s="109"/>
      <c r="KIP32" s="109"/>
      <c r="KIQ32" s="109"/>
      <c r="KIR32" s="109"/>
      <c r="KIS32" s="109"/>
      <c r="KIT32" s="109"/>
      <c r="KIU32" s="109"/>
      <c r="KIV32" s="109"/>
      <c r="KIW32" s="109"/>
      <c r="KIX32" s="109"/>
      <c r="KIY32" s="109"/>
      <c r="KIZ32" s="109"/>
      <c r="KJA32" s="109"/>
      <c r="KJB32" s="109"/>
      <c r="KJC32" s="109"/>
      <c r="KJD32" s="109"/>
      <c r="KJE32" s="109"/>
      <c r="KJF32" s="109"/>
      <c r="KJG32" s="109"/>
      <c r="KJH32" s="109"/>
      <c r="KJI32" s="109"/>
      <c r="KJJ32" s="109"/>
      <c r="KJK32" s="109"/>
      <c r="KJL32" s="109"/>
      <c r="KJM32" s="109"/>
      <c r="KJN32" s="109"/>
      <c r="KJO32" s="109"/>
      <c r="KJP32" s="109"/>
      <c r="KJQ32" s="109"/>
      <c r="KJR32" s="109"/>
      <c r="KJS32" s="109"/>
      <c r="KJT32" s="109"/>
      <c r="KJU32" s="109"/>
      <c r="KJV32" s="109"/>
      <c r="KJW32" s="109"/>
      <c r="KJX32" s="109"/>
      <c r="KJY32" s="109"/>
      <c r="KJZ32" s="109"/>
      <c r="KKA32" s="109"/>
      <c r="KKB32" s="109"/>
      <c r="KKC32" s="109"/>
      <c r="KKD32" s="109"/>
      <c r="KKE32" s="109"/>
      <c r="KKF32" s="109"/>
      <c r="KKG32" s="109"/>
      <c r="KKH32" s="109"/>
      <c r="KKI32" s="109"/>
      <c r="KKJ32" s="109"/>
      <c r="KKK32" s="109"/>
      <c r="KKL32" s="109"/>
      <c r="KKM32" s="109"/>
      <c r="KKN32" s="109"/>
      <c r="KKO32" s="109"/>
      <c r="KKP32" s="109"/>
      <c r="KKQ32" s="109"/>
      <c r="KKR32" s="109"/>
      <c r="KKS32" s="109"/>
      <c r="KKT32" s="109"/>
      <c r="KKU32" s="109"/>
      <c r="KKV32" s="109"/>
      <c r="KKW32" s="109"/>
      <c r="KKX32" s="109"/>
      <c r="KKY32" s="109"/>
      <c r="KKZ32" s="109"/>
      <c r="KLA32" s="109"/>
      <c r="KLB32" s="109"/>
      <c r="KLC32" s="109"/>
      <c r="KLD32" s="109"/>
      <c r="KLE32" s="109"/>
      <c r="KLF32" s="109"/>
      <c r="KLG32" s="109"/>
      <c r="KLH32" s="109"/>
      <c r="KLI32" s="109"/>
      <c r="KLJ32" s="109"/>
      <c r="KLK32" s="109"/>
      <c r="KLL32" s="109"/>
      <c r="KLM32" s="109"/>
      <c r="KLN32" s="109"/>
      <c r="KLO32" s="109"/>
      <c r="KLP32" s="109"/>
      <c r="KLQ32" s="109"/>
      <c r="KLR32" s="109"/>
      <c r="KLS32" s="109"/>
      <c r="KLT32" s="109"/>
      <c r="KLU32" s="109"/>
      <c r="KLV32" s="109"/>
      <c r="KLW32" s="109"/>
      <c r="KLX32" s="109"/>
      <c r="KLY32" s="109"/>
      <c r="KLZ32" s="109"/>
      <c r="KMA32" s="109"/>
      <c r="KMB32" s="109"/>
      <c r="KMC32" s="109"/>
      <c r="KMD32" s="109"/>
      <c r="KME32" s="109"/>
      <c r="KMF32" s="109"/>
      <c r="KMG32" s="109"/>
      <c r="KMH32" s="109"/>
      <c r="KMI32" s="109"/>
      <c r="KMJ32" s="109"/>
      <c r="KMK32" s="109"/>
      <c r="KML32" s="109"/>
      <c r="KMM32" s="109"/>
      <c r="KMN32" s="109"/>
      <c r="KMO32" s="109"/>
      <c r="KMP32" s="109"/>
      <c r="KMQ32" s="109"/>
      <c r="KMR32" s="109"/>
      <c r="KMS32" s="109"/>
      <c r="KMT32" s="109"/>
      <c r="KMU32" s="109"/>
      <c r="KMV32" s="109"/>
      <c r="KMW32" s="109"/>
      <c r="KMX32" s="109"/>
      <c r="KMY32" s="109"/>
      <c r="KMZ32" s="109"/>
      <c r="KNA32" s="109"/>
      <c r="KNB32" s="109"/>
      <c r="KNC32" s="109"/>
      <c r="KND32" s="109"/>
      <c r="KNE32" s="109"/>
      <c r="KNF32" s="109"/>
      <c r="KNG32" s="109"/>
      <c r="KNH32" s="109"/>
      <c r="KNI32" s="109"/>
      <c r="KNJ32" s="109"/>
      <c r="KNK32" s="109"/>
      <c r="KNL32" s="109"/>
      <c r="KNM32" s="109"/>
      <c r="KNN32" s="109"/>
      <c r="KNO32" s="109"/>
      <c r="KNP32" s="109"/>
      <c r="KNQ32" s="109"/>
      <c r="KNR32" s="109"/>
      <c r="KNS32" s="109"/>
      <c r="KNT32" s="109"/>
      <c r="KNU32" s="109"/>
      <c r="KNV32" s="109"/>
      <c r="KNW32" s="109"/>
      <c r="KNX32" s="109"/>
      <c r="KNY32" s="109"/>
      <c r="KNZ32" s="109"/>
      <c r="KOA32" s="109"/>
      <c r="KOB32" s="109"/>
      <c r="KOC32" s="109"/>
      <c r="KOD32" s="109"/>
      <c r="KOE32" s="109"/>
      <c r="KOF32" s="109"/>
      <c r="KOG32" s="109"/>
      <c r="KOH32" s="109"/>
      <c r="KOI32" s="109"/>
      <c r="KOJ32" s="109"/>
      <c r="KOK32" s="109"/>
      <c r="KOL32" s="109"/>
      <c r="KOM32" s="109"/>
      <c r="KON32" s="109"/>
      <c r="KOO32" s="109"/>
      <c r="KOP32" s="109"/>
      <c r="KOQ32" s="109"/>
      <c r="KOR32" s="109"/>
      <c r="KOS32" s="109"/>
      <c r="KOT32" s="109"/>
      <c r="KOU32" s="109"/>
      <c r="KOV32" s="109"/>
      <c r="KOW32" s="109"/>
      <c r="KOX32" s="109"/>
      <c r="KOY32" s="109"/>
      <c r="KOZ32" s="109"/>
      <c r="KPA32" s="109"/>
      <c r="KPB32" s="109"/>
      <c r="KPC32" s="109"/>
      <c r="KPD32" s="109"/>
      <c r="KPE32" s="109"/>
      <c r="KPF32" s="109"/>
      <c r="KPG32" s="109"/>
      <c r="KPH32" s="109"/>
      <c r="KPI32" s="109"/>
      <c r="KPJ32" s="109"/>
      <c r="KPK32" s="109"/>
      <c r="KPL32" s="109"/>
      <c r="KPM32" s="109"/>
      <c r="KPN32" s="109"/>
      <c r="KPO32" s="109"/>
      <c r="KPP32" s="109"/>
      <c r="KPQ32" s="109"/>
      <c r="KPR32" s="109"/>
      <c r="KPS32" s="109"/>
      <c r="KPT32" s="109"/>
      <c r="KPU32" s="109"/>
      <c r="KPV32" s="109"/>
      <c r="KPW32" s="109"/>
      <c r="KPX32" s="109"/>
      <c r="KPY32" s="109"/>
      <c r="KPZ32" s="109"/>
      <c r="KQA32" s="109"/>
      <c r="KQB32" s="109"/>
      <c r="KQC32" s="109"/>
      <c r="KQD32" s="109"/>
      <c r="KQE32" s="109"/>
      <c r="KQF32" s="109"/>
      <c r="KQG32" s="109"/>
      <c r="KQH32" s="109"/>
      <c r="KQI32" s="109"/>
      <c r="KQJ32" s="109"/>
      <c r="KQK32" s="109"/>
      <c r="KQL32" s="109"/>
      <c r="KQM32" s="109"/>
      <c r="KQN32" s="109"/>
      <c r="KQO32" s="109"/>
      <c r="KQP32" s="109"/>
      <c r="KQQ32" s="109"/>
      <c r="KQR32" s="109"/>
      <c r="KQS32" s="109"/>
      <c r="KQT32" s="109"/>
      <c r="KQU32" s="109"/>
      <c r="KQV32" s="109"/>
      <c r="KQW32" s="109"/>
      <c r="KQX32" s="109"/>
      <c r="KQY32" s="109"/>
      <c r="KQZ32" s="109"/>
      <c r="KRA32" s="109"/>
      <c r="KRB32" s="109"/>
      <c r="KRC32" s="109"/>
      <c r="KRD32" s="109"/>
      <c r="KRE32" s="109"/>
      <c r="KRF32" s="109"/>
      <c r="KRG32" s="109"/>
      <c r="KRH32" s="109"/>
      <c r="KRI32" s="109"/>
      <c r="KRJ32" s="109"/>
      <c r="KRK32" s="109"/>
      <c r="KRL32" s="109"/>
      <c r="KRM32" s="109"/>
      <c r="KRN32" s="109"/>
      <c r="KRO32" s="109"/>
      <c r="KRP32" s="109"/>
      <c r="KRQ32" s="109"/>
      <c r="KRR32" s="109"/>
      <c r="KRS32" s="109"/>
      <c r="KRT32" s="109"/>
      <c r="KRU32" s="109"/>
      <c r="KRV32" s="109"/>
      <c r="KRW32" s="109"/>
      <c r="KRX32" s="109"/>
      <c r="KRY32" s="109"/>
      <c r="KRZ32" s="109"/>
      <c r="KSA32" s="109"/>
      <c r="KSB32" s="109"/>
      <c r="KSC32" s="109"/>
      <c r="KSD32" s="109"/>
      <c r="KSE32" s="109"/>
      <c r="KSF32" s="109"/>
      <c r="KSG32" s="109"/>
      <c r="KSH32" s="109"/>
      <c r="KSI32" s="109"/>
      <c r="KSJ32" s="109"/>
      <c r="KSK32" s="109"/>
      <c r="KSL32" s="109"/>
      <c r="KSM32" s="109"/>
      <c r="KSN32" s="109"/>
      <c r="KSO32" s="109"/>
      <c r="KSP32" s="109"/>
      <c r="KSQ32" s="109"/>
      <c r="KSR32" s="109"/>
      <c r="KSS32" s="109"/>
      <c r="KST32" s="109"/>
      <c r="KSU32" s="109"/>
      <c r="KSV32" s="109"/>
      <c r="KSW32" s="109"/>
      <c r="KSX32" s="109"/>
      <c r="KSY32" s="109"/>
      <c r="KSZ32" s="109"/>
      <c r="KTA32" s="109"/>
      <c r="KTB32" s="109"/>
      <c r="KTC32" s="109"/>
      <c r="KTD32" s="109"/>
      <c r="KTE32" s="109"/>
      <c r="KTF32" s="109"/>
      <c r="KTG32" s="109"/>
      <c r="KTH32" s="109"/>
      <c r="KTI32" s="109"/>
      <c r="KTJ32" s="109"/>
      <c r="KTK32" s="109"/>
      <c r="KTL32" s="109"/>
      <c r="KTM32" s="109"/>
      <c r="KTN32" s="109"/>
      <c r="KTO32" s="109"/>
      <c r="KTP32" s="109"/>
      <c r="KTQ32" s="109"/>
      <c r="KTR32" s="109"/>
      <c r="KTS32" s="109"/>
      <c r="KTT32" s="109"/>
      <c r="KTU32" s="109"/>
      <c r="KTV32" s="109"/>
      <c r="KTW32" s="109"/>
      <c r="KTX32" s="109"/>
      <c r="KTY32" s="109"/>
      <c r="KTZ32" s="109"/>
      <c r="KUA32" s="109"/>
      <c r="KUB32" s="109"/>
      <c r="KUC32" s="109"/>
      <c r="KUD32" s="109"/>
      <c r="KUE32" s="109"/>
      <c r="KUF32" s="109"/>
      <c r="KUG32" s="109"/>
      <c r="KUH32" s="109"/>
      <c r="KUI32" s="109"/>
      <c r="KUJ32" s="109"/>
      <c r="KUK32" s="109"/>
      <c r="KUL32" s="109"/>
      <c r="KUM32" s="109"/>
      <c r="KUN32" s="109"/>
      <c r="KUO32" s="109"/>
      <c r="KUP32" s="109"/>
      <c r="KUQ32" s="109"/>
      <c r="KUR32" s="109"/>
      <c r="KUS32" s="109"/>
      <c r="KUT32" s="109"/>
      <c r="KUU32" s="109"/>
      <c r="KUV32" s="109"/>
      <c r="KUW32" s="109"/>
      <c r="KUX32" s="109"/>
      <c r="KUY32" s="109"/>
      <c r="KUZ32" s="109"/>
      <c r="KVA32" s="109"/>
      <c r="KVB32" s="109"/>
      <c r="KVC32" s="109"/>
      <c r="KVD32" s="109"/>
      <c r="KVE32" s="109"/>
      <c r="KVF32" s="109"/>
      <c r="KVG32" s="109"/>
      <c r="KVH32" s="109"/>
      <c r="KVI32" s="109"/>
      <c r="KVJ32" s="109"/>
      <c r="KVK32" s="109"/>
      <c r="KVL32" s="109"/>
      <c r="KVM32" s="109"/>
      <c r="KVN32" s="109"/>
      <c r="KVO32" s="109"/>
      <c r="KVP32" s="109"/>
      <c r="KVQ32" s="109"/>
      <c r="KVR32" s="109"/>
      <c r="KVS32" s="109"/>
      <c r="KVT32" s="109"/>
      <c r="KVU32" s="109"/>
      <c r="KVV32" s="109"/>
      <c r="KVW32" s="109"/>
      <c r="KVX32" s="109"/>
      <c r="KVY32" s="109"/>
      <c r="KVZ32" s="109"/>
      <c r="KWA32" s="109"/>
      <c r="KWB32" s="109"/>
      <c r="KWC32" s="109"/>
      <c r="KWD32" s="109"/>
      <c r="KWE32" s="109"/>
      <c r="KWF32" s="109"/>
      <c r="KWG32" s="109"/>
      <c r="KWH32" s="109"/>
      <c r="KWI32" s="109"/>
      <c r="KWJ32" s="109"/>
      <c r="KWK32" s="109"/>
      <c r="KWL32" s="109"/>
      <c r="KWM32" s="109"/>
      <c r="KWN32" s="109"/>
      <c r="KWO32" s="109"/>
      <c r="KWP32" s="109"/>
      <c r="KWQ32" s="109"/>
      <c r="KWR32" s="109"/>
      <c r="KWS32" s="109"/>
      <c r="KWT32" s="109"/>
      <c r="KWU32" s="109"/>
      <c r="KWV32" s="109"/>
      <c r="KWW32" s="109"/>
      <c r="KWX32" s="109"/>
      <c r="KWY32" s="109"/>
      <c r="KWZ32" s="109"/>
      <c r="KXA32" s="109"/>
      <c r="KXB32" s="109"/>
      <c r="KXC32" s="109"/>
      <c r="KXD32" s="109"/>
      <c r="KXE32" s="109"/>
      <c r="KXF32" s="109"/>
      <c r="KXG32" s="109"/>
      <c r="KXH32" s="109"/>
      <c r="KXI32" s="109"/>
      <c r="KXJ32" s="109"/>
      <c r="KXK32" s="109"/>
      <c r="KXL32" s="109"/>
      <c r="KXM32" s="109"/>
      <c r="KXN32" s="109"/>
      <c r="KXO32" s="109"/>
      <c r="KXP32" s="109"/>
      <c r="KXQ32" s="109"/>
      <c r="KXR32" s="109"/>
      <c r="KXS32" s="109"/>
      <c r="KXT32" s="109"/>
      <c r="KXU32" s="109"/>
      <c r="KXV32" s="109"/>
      <c r="KXW32" s="109"/>
      <c r="KXX32" s="109"/>
      <c r="KXY32" s="109"/>
      <c r="KXZ32" s="109"/>
      <c r="KYA32" s="109"/>
      <c r="KYB32" s="109"/>
      <c r="KYC32" s="109"/>
      <c r="KYD32" s="109"/>
      <c r="KYE32" s="109"/>
      <c r="KYF32" s="109"/>
      <c r="KYG32" s="109"/>
      <c r="KYH32" s="109"/>
      <c r="KYI32" s="109"/>
      <c r="KYJ32" s="109"/>
      <c r="KYK32" s="109"/>
      <c r="KYL32" s="109"/>
      <c r="KYM32" s="109"/>
      <c r="KYN32" s="109"/>
      <c r="KYO32" s="109"/>
      <c r="KYP32" s="109"/>
      <c r="KYQ32" s="109"/>
      <c r="KYR32" s="109"/>
      <c r="KYS32" s="109"/>
      <c r="KYT32" s="109"/>
      <c r="KYU32" s="109"/>
      <c r="KYV32" s="109"/>
      <c r="KYW32" s="109"/>
      <c r="KYX32" s="109"/>
      <c r="KYY32" s="109"/>
      <c r="KYZ32" s="109"/>
      <c r="KZA32" s="109"/>
      <c r="KZB32" s="109"/>
      <c r="KZC32" s="109"/>
      <c r="KZD32" s="109"/>
      <c r="KZE32" s="109"/>
      <c r="KZF32" s="109"/>
      <c r="KZG32" s="109"/>
      <c r="KZH32" s="109"/>
      <c r="KZI32" s="109"/>
      <c r="KZJ32" s="109"/>
      <c r="KZK32" s="109"/>
      <c r="KZL32" s="109"/>
      <c r="KZM32" s="109"/>
      <c r="KZN32" s="109"/>
      <c r="KZO32" s="109"/>
      <c r="KZP32" s="109"/>
      <c r="KZQ32" s="109"/>
      <c r="KZR32" s="109"/>
      <c r="KZS32" s="109"/>
      <c r="KZT32" s="109"/>
      <c r="KZU32" s="109"/>
      <c r="KZV32" s="109"/>
      <c r="KZW32" s="109"/>
      <c r="KZX32" s="109"/>
      <c r="KZY32" s="109"/>
      <c r="KZZ32" s="109"/>
      <c r="LAA32" s="109"/>
      <c r="LAB32" s="109"/>
      <c r="LAC32" s="109"/>
      <c r="LAD32" s="109"/>
      <c r="LAE32" s="109"/>
      <c r="LAF32" s="109"/>
      <c r="LAG32" s="109"/>
      <c r="LAH32" s="109"/>
      <c r="LAI32" s="109"/>
      <c r="LAJ32" s="109"/>
      <c r="LAK32" s="109"/>
      <c r="LAL32" s="109"/>
      <c r="LAM32" s="109"/>
      <c r="LAN32" s="109"/>
      <c r="LAO32" s="109"/>
      <c r="LAP32" s="109"/>
      <c r="LAQ32" s="109"/>
      <c r="LAR32" s="109"/>
      <c r="LAS32" s="109"/>
      <c r="LAT32" s="109"/>
      <c r="LAU32" s="109"/>
      <c r="LAV32" s="109"/>
      <c r="LAW32" s="109"/>
      <c r="LAX32" s="109"/>
      <c r="LAY32" s="109"/>
      <c r="LAZ32" s="109"/>
      <c r="LBA32" s="109"/>
      <c r="LBB32" s="109"/>
      <c r="LBC32" s="109"/>
      <c r="LBD32" s="109"/>
      <c r="LBE32" s="109"/>
      <c r="LBF32" s="109"/>
      <c r="LBG32" s="109"/>
      <c r="LBH32" s="109"/>
      <c r="LBI32" s="109"/>
      <c r="LBJ32" s="109"/>
      <c r="LBK32" s="109"/>
      <c r="LBL32" s="109"/>
      <c r="LBM32" s="109"/>
      <c r="LBN32" s="109"/>
      <c r="LBO32" s="109"/>
      <c r="LBP32" s="109"/>
      <c r="LBQ32" s="109"/>
      <c r="LBR32" s="109"/>
      <c r="LBS32" s="109"/>
      <c r="LBT32" s="109"/>
      <c r="LBU32" s="109"/>
      <c r="LBV32" s="109"/>
      <c r="LBW32" s="109"/>
      <c r="LBX32" s="109"/>
      <c r="LBY32" s="109"/>
      <c r="LBZ32" s="109"/>
      <c r="LCA32" s="109"/>
      <c r="LCB32" s="109"/>
      <c r="LCC32" s="109"/>
      <c r="LCD32" s="109"/>
      <c r="LCE32" s="109"/>
      <c r="LCF32" s="109"/>
      <c r="LCG32" s="109"/>
      <c r="LCH32" s="109"/>
      <c r="LCI32" s="109"/>
      <c r="LCJ32" s="109"/>
      <c r="LCK32" s="109"/>
      <c r="LCL32" s="109"/>
      <c r="LCM32" s="109"/>
      <c r="LCN32" s="109"/>
      <c r="LCO32" s="109"/>
      <c r="LCP32" s="109"/>
      <c r="LCQ32" s="109"/>
      <c r="LCR32" s="109"/>
      <c r="LCS32" s="109"/>
      <c r="LCT32" s="109"/>
      <c r="LCU32" s="109"/>
      <c r="LCV32" s="109"/>
      <c r="LCW32" s="109"/>
      <c r="LCX32" s="109"/>
      <c r="LCY32" s="109"/>
      <c r="LCZ32" s="109"/>
      <c r="LDA32" s="109"/>
      <c r="LDB32" s="109"/>
      <c r="LDC32" s="109"/>
      <c r="LDD32" s="109"/>
      <c r="LDE32" s="109"/>
      <c r="LDF32" s="109"/>
      <c r="LDG32" s="109"/>
      <c r="LDH32" s="109"/>
      <c r="LDI32" s="109"/>
      <c r="LDJ32" s="109"/>
      <c r="LDK32" s="109"/>
      <c r="LDL32" s="109"/>
      <c r="LDM32" s="109"/>
      <c r="LDN32" s="109"/>
      <c r="LDO32" s="109"/>
      <c r="LDP32" s="109"/>
      <c r="LDQ32" s="109"/>
      <c r="LDR32" s="109"/>
      <c r="LDS32" s="109"/>
      <c r="LDT32" s="109"/>
      <c r="LDU32" s="109"/>
      <c r="LDV32" s="109"/>
      <c r="LDW32" s="109"/>
      <c r="LDX32" s="109"/>
      <c r="LDY32" s="109"/>
      <c r="LDZ32" s="109"/>
      <c r="LEA32" s="109"/>
      <c r="LEB32" s="109"/>
      <c r="LEC32" s="109"/>
      <c r="LED32" s="109"/>
      <c r="LEE32" s="109"/>
      <c r="LEF32" s="109"/>
      <c r="LEG32" s="109"/>
      <c r="LEH32" s="109"/>
      <c r="LEI32" s="109"/>
      <c r="LEJ32" s="109"/>
      <c r="LEK32" s="109"/>
      <c r="LEL32" s="109"/>
      <c r="LEM32" s="109"/>
      <c r="LEN32" s="109"/>
      <c r="LEO32" s="109"/>
      <c r="LEP32" s="109"/>
      <c r="LEQ32" s="109"/>
      <c r="LER32" s="109"/>
      <c r="LES32" s="109"/>
      <c r="LET32" s="109"/>
      <c r="LEU32" s="109"/>
      <c r="LEV32" s="109"/>
      <c r="LEW32" s="109"/>
      <c r="LEX32" s="109"/>
      <c r="LEY32" s="109"/>
      <c r="LEZ32" s="109"/>
      <c r="LFA32" s="109"/>
      <c r="LFB32" s="109"/>
      <c r="LFC32" s="109"/>
      <c r="LFD32" s="109"/>
      <c r="LFE32" s="109"/>
      <c r="LFF32" s="109"/>
      <c r="LFG32" s="109"/>
      <c r="LFH32" s="109"/>
      <c r="LFI32" s="109"/>
      <c r="LFJ32" s="109"/>
      <c r="LFK32" s="109"/>
      <c r="LFL32" s="109"/>
      <c r="LFM32" s="109"/>
      <c r="LFN32" s="109"/>
      <c r="LFO32" s="109"/>
      <c r="LFP32" s="109"/>
      <c r="LFQ32" s="109"/>
      <c r="LFR32" s="109"/>
      <c r="LFS32" s="109"/>
      <c r="LFT32" s="109"/>
      <c r="LFU32" s="109"/>
      <c r="LFV32" s="109"/>
      <c r="LFW32" s="109"/>
      <c r="LFX32" s="109"/>
      <c r="LFY32" s="109"/>
      <c r="LFZ32" s="109"/>
      <c r="LGA32" s="109"/>
      <c r="LGB32" s="109"/>
      <c r="LGC32" s="109"/>
      <c r="LGD32" s="109"/>
      <c r="LGE32" s="109"/>
      <c r="LGF32" s="109"/>
      <c r="LGG32" s="109"/>
      <c r="LGH32" s="109"/>
      <c r="LGI32" s="109"/>
      <c r="LGJ32" s="109"/>
      <c r="LGK32" s="109"/>
      <c r="LGL32" s="109"/>
      <c r="LGM32" s="109"/>
      <c r="LGN32" s="109"/>
      <c r="LGO32" s="109"/>
      <c r="LGP32" s="109"/>
      <c r="LGQ32" s="109"/>
      <c r="LGR32" s="109"/>
      <c r="LGS32" s="109"/>
      <c r="LGT32" s="109"/>
      <c r="LGU32" s="109"/>
      <c r="LGV32" s="109"/>
      <c r="LGW32" s="109"/>
      <c r="LGX32" s="109"/>
      <c r="LGY32" s="109"/>
      <c r="LGZ32" s="109"/>
      <c r="LHA32" s="109"/>
      <c r="LHB32" s="109"/>
      <c r="LHC32" s="109"/>
      <c r="LHD32" s="109"/>
      <c r="LHE32" s="109"/>
      <c r="LHF32" s="109"/>
      <c r="LHG32" s="109"/>
      <c r="LHH32" s="109"/>
      <c r="LHI32" s="109"/>
      <c r="LHJ32" s="109"/>
      <c r="LHK32" s="109"/>
      <c r="LHL32" s="109"/>
      <c r="LHM32" s="109"/>
      <c r="LHN32" s="109"/>
      <c r="LHO32" s="109"/>
      <c r="LHP32" s="109"/>
      <c r="LHQ32" s="109"/>
      <c r="LHR32" s="109"/>
      <c r="LHS32" s="109"/>
      <c r="LHT32" s="109"/>
      <c r="LHU32" s="109"/>
      <c r="LHV32" s="109"/>
      <c r="LHW32" s="109"/>
      <c r="LHX32" s="109"/>
      <c r="LHY32" s="109"/>
      <c r="LHZ32" s="109"/>
      <c r="LIA32" s="109"/>
      <c r="LIB32" s="109"/>
      <c r="LIC32" s="109"/>
      <c r="LID32" s="109"/>
      <c r="LIE32" s="109"/>
      <c r="LIF32" s="109"/>
      <c r="LIG32" s="109"/>
      <c r="LIH32" s="109"/>
      <c r="LII32" s="109"/>
      <c r="LIJ32" s="109"/>
      <c r="LIK32" s="109"/>
      <c r="LIL32" s="109"/>
      <c r="LIM32" s="109"/>
      <c r="LIN32" s="109"/>
      <c r="LIO32" s="109"/>
      <c r="LIP32" s="109"/>
      <c r="LIQ32" s="109"/>
      <c r="LIR32" s="109"/>
      <c r="LIS32" s="109"/>
      <c r="LIT32" s="109"/>
      <c r="LIU32" s="109"/>
      <c r="LIV32" s="109"/>
      <c r="LIW32" s="109"/>
      <c r="LIX32" s="109"/>
      <c r="LIY32" s="109"/>
      <c r="LIZ32" s="109"/>
      <c r="LJA32" s="109"/>
      <c r="LJB32" s="109"/>
      <c r="LJC32" s="109"/>
      <c r="LJD32" s="109"/>
      <c r="LJE32" s="109"/>
      <c r="LJF32" s="109"/>
      <c r="LJG32" s="109"/>
      <c r="LJH32" s="109"/>
      <c r="LJI32" s="109"/>
      <c r="LJJ32" s="109"/>
      <c r="LJK32" s="109"/>
      <c r="LJL32" s="109"/>
      <c r="LJM32" s="109"/>
      <c r="LJN32" s="109"/>
      <c r="LJO32" s="109"/>
      <c r="LJP32" s="109"/>
      <c r="LJQ32" s="109"/>
      <c r="LJR32" s="109"/>
      <c r="LJS32" s="109"/>
      <c r="LJT32" s="109"/>
      <c r="LJU32" s="109"/>
      <c r="LJV32" s="109"/>
      <c r="LJW32" s="109"/>
      <c r="LJX32" s="109"/>
      <c r="LJY32" s="109"/>
      <c r="LJZ32" s="109"/>
      <c r="LKA32" s="109"/>
      <c r="LKB32" s="109"/>
      <c r="LKC32" s="109"/>
      <c r="LKD32" s="109"/>
      <c r="LKE32" s="109"/>
      <c r="LKF32" s="109"/>
      <c r="LKG32" s="109"/>
      <c r="LKH32" s="109"/>
      <c r="LKI32" s="109"/>
      <c r="LKJ32" s="109"/>
      <c r="LKK32" s="109"/>
      <c r="LKL32" s="109"/>
      <c r="LKM32" s="109"/>
      <c r="LKN32" s="109"/>
      <c r="LKO32" s="109"/>
      <c r="LKP32" s="109"/>
      <c r="LKQ32" s="109"/>
      <c r="LKR32" s="109"/>
      <c r="LKS32" s="109"/>
      <c r="LKT32" s="109"/>
      <c r="LKU32" s="109"/>
      <c r="LKV32" s="109"/>
      <c r="LKW32" s="109"/>
      <c r="LKX32" s="109"/>
      <c r="LKY32" s="109"/>
      <c r="LKZ32" s="109"/>
      <c r="LLA32" s="109"/>
      <c r="LLB32" s="109"/>
      <c r="LLC32" s="109"/>
      <c r="LLD32" s="109"/>
      <c r="LLE32" s="109"/>
      <c r="LLF32" s="109"/>
      <c r="LLG32" s="109"/>
      <c r="LLH32" s="109"/>
      <c r="LLI32" s="109"/>
      <c r="LLJ32" s="109"/>
      <c r="LLK32" s="109"/>
      <c r="LLL32" s="109"/>
      <c r="LLM32" s="109"/>
      <c r="LLN32" s="109"/>
      <c r="LLO32" s="109"/>
      <c r="LLP32" s="109"/>
      <c r="LLQ32" s="109"/>
      <c r="LLR32" s="109"/>
      <c r="LLS32" s="109"/>
      <c r="LLT32" s="109"/>
      <c r="LLU32" s="109"/>
      <c r="LLV32" s="109"/>
      <c r="LLW32" s="109"/>
      <c r="LLX32" s="109"/>
      <c r="LLY32" s="109"/>
      <c r="LLZ32" s="109"/>
      <c r="LMA32" s="109"/>
      <c r="LMB32" s="109"/>
      <c r="LMC32" s="109"/>
      <c r="LMD32" s="109"/>
      <c r="LME32" s="109"/>
      <c r="LMF32" s="109"/>
      <c r="LMG32" s="109"/>
      <c r="LMH32" s="109"/>
      <c r="LMI32" s="109"/>
      <c r="LMJ32" s="109"/>
      <c r="LMK32" s="109"/>
      <c r="LML32" s="109"/>
      <c r="LMM32" s="109"/>
      <c r="LMN32" s="109"/>
      <c r="LMO32" s="109"/>
      <c r="LMP32" s="109"/>
      <c r="LMQ32" s="109"/>
      <c r="LMR32" s="109"/>
      <c r="LMS32" s="109"/>
      <c r="LMT32" s="109"/>
      <c r="LMU32" s="109"/>
      <c r="LMV32" s="109"/>
      <c r="LMW32" s="109"/>
      <c r="LMX32" s="109"/>
      <c r="LMY32" s="109"/>
      <c r="LMZ32" s="109"/>
      <c r="LNA32" s="109"/>
      <c r="LNB32" s="109"/>
      <c r="LNC32" s="109"/>
      <c r="LND32" s="109"/>
      <c r="LNE32" s="109"/>
      <c r="LNF32" s="109"/>
      <c r="LNG32" s="109"/>
      <c r="LNH32" s="109"/>
      <c r="LNI32" s="109"/>
      <c r="LNJ32" s="109"/>
      <c r="LNK32" s="109"/>
      <c r="LNL32" s="109"/>
      <c r="LNM32" s="109"/>
      <c r="LNN32" s="109"/>
      <c r="LNO32" s="109"/>
      <c r="LNP32" s="109"/>
      <c r="LNQ32" s="109"/>
      <c r="LNR32" s="109"/>
      <c r="LNS32" s="109"/>
      <c r="LNT32" s="109"/>
      <c r="LNU32" s="109"/>
      <c r="LNV32" s="109"/>
      <c r="LNW32" s="109"/>
      <c r="LNX32" s="109"/>
      <c r="LNY32" s="109"/>
      <c r="LNZ32" s="109"/>
      <c r="LOA32" s="109"/>
      <c r="LOB32" s="109"/>
      <c r="LOC32" s="109"/>
      <c r="LOD32" s="109"/>
      <c r="LOE32" s="109"/>
      <c r="LOF32" s="109"/>
      <c r="LOG32" s="109"/>
      <c r="LOH32" s="109"/>
      <c r="LOI32" s="109"/>
      <c r="LOJ32" s="109"/>
      <c r="LOK32" s="109"/>
      <c r="LOL32" s="109"/>
      <c r="LOM32" s="109"/>
      <c r="LON32" s="109"/>
      <c r="LOO32" s="109"/>
      <c r="LOP32" s="109"/>
      <c r="LOQ32" s="109"/>
      <c r="LOR32" s="109"/>
      <c r="LOS32" s="109"/>
      <c r="LOT32" s="109"/>
      <c r="LOU32" s="109"/>
      <c r="LOV32" s="109"/>
      <c r="LOW32" s="109"/>
      <c r="LOX32" s="109"/>
      <c r="LOY32" s="109"/>
      <c r="LOZ32" s="109"/>
      <c r="LPA32" s="109"/>
      <c r="LPB32" s="109"/>
      <c r="LPC32" s="109"/>
      <c r="LPD32" s="109"/>
      <c r="LPE32" s="109"/>
      <c r="LPF32" s="109"/>
      <c r="LPG32" s="109"/>
      <c r="LPH32" s="109"/>
      <c r="LPI32" s="109"/>
      <c r="LPJ32" s="109"/>
      <c r="LPK32" s="109"/>
      <c r="LPL32" s="109"/>
      <c r="LPM32" s="109"/>
      <c r="LPN32" s="109"/>
      <c r="LPO32" s="109"/>
      <c r="LPP32" s="109"/>
      <c r="LPQ32" s="109"/>
      <c r="LPR32" s="109"/>
      <c r="LPS32" s="109"/>
      <c r="LPT32" s="109"/>
      <c r="LPU32" s="109"/>
      <c r="LPV32" s="109"/>
      <c r="LPW32" s="109"/>
      <c r="LPX32" s="109"/>
      <c r="LPY32" s="109"/>
      <c r="LPZ32" s="109"/>
      <c r="LQA32" s="109"/>
      <c r="LQB32" s="109"/>
      <c r="LQC32" s="109"/>
      <c r="LQD32" s="109"/>
      <c r="LQE32" s="109"/>
      <c r="LQF32" s="109"/>
      <c r="LQG32" s="109"/>
      <c r="LQH32" s="109"/>
      <c r="LQI32" s="109"/>
      <c r="LQJ32" s="109"/>
      <c r="LQK32" s="109"/>
      <c r="LQL32" s="109"/>
      <c r="LQM32" s="109"/>
      <c r="LQN32" s="109"/>
      <c r="LQO32" s="109"/>
      <c r="LQP32" s="109"/>
      <c r="LQQ32" s="109"/>
      <c r="LQR32" s="109"/>
      <c r="LQS32" s="109"/>
      <c r="LQT32" s="109"/>
      <c r="LQU32" s="109"/>
      <c r="LQV32" s="109"/>
      <c r="LQW32" s="109"/>
      <c r="LQX32" s="109"/>
      <c r="LQY32" s="109"/>
      <c r="LQZ32" s="109"/>
      <c r="LRA32" s="109"/>
      <c r="LRB32" s="109"/>
      <c r="LRC32" s="109"/>
      <c r="LRD32" s="109"/>
      <c r="LRE32" s="109"/>
      <c r="LRF32" s="109"/>
      <c r="LRG32" s="109"/>
      <c r="LRH32" s="109"/>
      <c r="LRI32" s="109"/>
      <c r="LRJ32" s="109"/>
      <c r="LRK32" s="109"/>
      <c r="LRL32" s="109"/>
      <c r="LRM32" s="109"/>
      <c r="LRN32" s="109"/>
      <c r="LRO32" s="109"/>
      <c r="LRP32" s="109"/>
      <c r="LRQ32" s="109"/>
      <c r="LRR32" s="109"/>
      <c r="LRS32" s="109"/>
      <c r="LRT32" s="109"/>
      <c r="LRU32" s="109"/>
      <c r="LRV32" s="109"/>
      <c r="LRW32" s="109"/>
      <c r="LRX32" s="109"/>
      <c r="LRY32" s="109"/>
      <c r="LRZ32" s="109"/>
      <c r="LSA32" s="109"/>
      <c r="LSB32" s="109"/>
      <c r="LSC32" s="109"/>
      <c r="LSD32" s="109"/>
      <c r="LSE32" s="109"/>
      <c r="LSF32" s="109"/>
      <c r="LSG32" s="109"/>
      <c r="LSH32" s="109"/>
      <c r="LSI32" s="109"/>
      <c r="LSJ32" s="109"/>
      <c r="LSK32" s="109"/>
      <c r="LSL32" s="109"/>
      <c r="LSM32" s="109"/>
      <c r="LSN32" s="109"/>
      <c r="LSO32" s="109"/>
      <c r="LSP32" s="109"/>
      <c r="LSQ32" s="109"/>
      <c r="LSR32" s="109"/>
      <c r="LSS32" s="109"/>
      <c r="LST32" s="109"/>
      <c r="LSU32" s="109"/>
      <c r="LSV32" s="109"/>
      <c r="LSW32" s="109"/>
      <c r="LSX32" s="109"/>
      <c r="LSY32" s="109"/>
      <c r="LSZ32" s="109"/>
      <c r="LTA32" s="109"/>
      <c r="LTB32" s="109"/>
      <c r="LTC32" s="109"/>
      <c r="LTD32" s="109"/>
      <c r="LTE32" s="109"/>
      <c r="LTF32" s="109"/>
      <c r="LTG32" s="109"/>
      <c r="LTH32" s="109"/>
      <c r="LTI32" s="109"/>
      <c r="LTJ32" s="109"/>
      <c r="LTK32" s="109"/>
      <c r="LTL32" s="109"/>
      <c r="LTM32" s="109"/>
      <c r="LTN32" s="109"/>
      <c r="LTO32" s="109"/>
      <c r="LTP32" s="109"/>
      <c r="LTQ32" s="109"/>
      <c r="LTR32" s="109"/>
      <c r="LTS32" s="109"/>
      <c r="LTT32" s="109"/>
      <c r="LTU32" s="109"/>
      <c r="LTV32" s="109"/>
      <c r="LTW32" s="109"/>
      <c r="LTX32" s="109"/>
      <c r="LTY32" s="109"/>
      <c r="LTZ32" s="109"/>
      <c r="LUA32" s="109"/>
      <c r="LUB32" s="109"/>
      <c r="LUC32" s="109"/>
      <c r="LUD32" s="109"/>
      <c r="LUE32" s="109"/>
      <c r="LUF32" s="109"/>
      <c r="LUG32" s="109"/>
      <c r="LUH32" s="109"/>
      <c r="LUI32" s="109"/>
      <c r="LUJ32" s="109"/>
      <c r="LUK32" s="109"/>
      <c r="LUL32" s="109"/>
      <c r="LUM32" s="109"/>
      <c r="LUN32" s="109"/>
      <c r="LUO32" s="109"/>
      <c r="LUP32" s="109"/>
      <c r="LUQ32" s="109"/>
      <c r="LUR32" s="109"/>
      <c r="LUS32" s="109"/>
      <c r="LUT32" s="109"/>
      <c r="LUU32" s="109"/>
      <c r="LUV32" s="109"/>
      <c r="LUW32" s="109"/>
      <c r="LUX32" s="109"/>
      <c r="LUY32" s="109"/>
      <c r="LUZ32" s="109"/>
      <c r="LVA32" s="109"/>
      <c r="LVB32" s="109"/>
      <c r="LVC32" s="109"/>
      <c r="LVD32" s="109"/>
      <c r="LVE32" s="109"/>
      <c r="LVF32" s="109"/>
      <c r="LVG32" s="109"/>
      <c r="LVH32" s="109"/>
      <c r="LVI32" s="109"/>
      <c r="LVJ32" s="109"/>
      <c r="LVK32" s="109"/>
      <c r="LVL32" s="109"/>
      <c r="LVM32" s="109"/>
      <c r="LVN32" s="109"/>
      <c r="LVO32" s="109"/>
      <c r="LVP32" s="109"/>
      <c r="LVQ32" s="109"/>
      <c r="LVR32" s="109"/>
      <c r="LVS32" s="109"/>
      <c r="LVT32" s="109"/>
      <c r="LVU32" s="109"/>
      <c r="LVV32" s="109"/>
      <c r="LVW32" s="109"/>
      <c r="LVX32" s="109"/>
      <c r="LVY32" s="109"/>
      <c r="LVZ32" s="109"/>
      <c r="LWA32" s="109"/>
      <c r="LWB32" s="109"/>
      <c r="LWC32" s="109"/>
      <c r="LWD32" s="109"/>
      <c r="LWE32" s="109"/>
      <c r="LWF32" s="109"/>
      <c r="LWG32" s="109"/>
      <c r="LWH32" s="109"/>
      <c r="LWI32" s="109"/>
      <c r="LWJ32" s="109"/>
      <c r="LWK32" s="109"/>
      <c r="LWL32" s="109"/>
      <c r="LWM32" s="109"/>
      <c r="LWN32" s="109"/>
      <c r="LWO32" s="109"/>
      <c r="LWP32" s="109"/>
      <c r="LWQ32" s="109"/>
      <c r="LWR32" s="109"/>
      <c r="LWS32" s="109"/>
      <c r="LWT32" s="109"/>
      <c r="LWU32" s="109"/>
      <c r="LWV32" s="109"/>
      <c r="LWW32" s="109"/>
      <c r="LWX32" s="109"/>
      <c r="LWY32" s="109"/>
      <c r="LWZ32" s="109"/>
      <c r="LXA32" s="109"/>
      <c r="LXB32" s="109"/>
      <c r="LXC32" s="109"/>
      <c r="LXD32" s="109"/>
      <c r="LXE32" s="109"/>
      <c r="LXF32" s="109"/>
      <c r="LXG32" s="109"/>
      <c r="LXH32" s="109"/>
      <c r="LXI32" s="109"/>
      <c r="LXJ32" s="109"/>
      <c r="LXK32" s="109"/>
      <c r="LXL32" s="109"/>
      <c r="LXM32" s="109"/>
      <c r="LXN32" s="109"/>
      <c r="LXO32" s="109"/>
      <c r="LXP32" s="109"/>
      <c r="LXQ32" s="109"/>
      <c r="LXR32" s="109"/>
      <c r="LXS32" s="109"/>
      <c r="LXT32" s="109"/>
      <c r="LXU32" s="109"/>
      <c r="LXV32" s="109"/>
      <c r="LXW32" s="109"/>
      <c r="LXX32" s="109"/>
      <c r="LXY32" s="109"/>
      <c r="LXZ32" s="109"/>
      <c r="LYA32" s="109"/>
      <c r="LYB32" s="109"/>
      <c r="LYC32" s="109"/>
      <c r="LYD32" s="109"/>
      <c r="LYE32" s="109"/>
      <c r="LYF32" s="109"/>
      <c r="LYG32" s="109"/>
      <c r="LYH32" s="109"/>
      <c r="LYI32" s="109"/>
      <c r="LYJ32" s="109"/>
      <c r="LYK32" s="109"/>
      <c r="LYL32" s="109"/>
      <c r="LYM32" s="109"/>
      <c r="LYN32" s="109"/>
      <c r="LYO32" s="109"/>
      <c r="LYP32" s="109"/>
      <c r="LYQ32" s="109"/>
      <c r="LYR32" s="109"/>
      <c r="LYS32" s="109"/>
      <c r="LYT32" s="109"/>
      <c r="LYU32" s="109"/>
      <c r="LYV32" s="109"/>
      <c r="LYW32" s="109"/>
      <c r="LYX32" s="109"/>
      <c r="LYY32" s="109"/>
      <c r="LYZ32" s="109"/>
      <c r="LZA32" s="109"/>
      <c r="LZB32" s="109"/>
      <c r="LZC32" s="109"/>
      <c r="LZD32" s="109"/>
      <c r="LZE32" s="109"/>
      <c r="LZF32" s="109"/>
      <c r="LZG32" s="109"/>
      <c r="LZH32" s="109"/>
      <c r="LZI32" s="109"/>
      <c r="LZJ32" s="109"/>
      <c r="LZK32" s="109"/>
      <c r="LZL32" s="109"/>
      <c r="LZM32" s="109"/>
      <c r="LZN32" s="109"/>
      <c r="LZO32" s="109"/>
      <c r="LZP32" s="109"/>
      <c r="LZQ32" s="109"/>
      <c r="LZR32" s="109"/>
      <c r="LZS32" s="109"/>
      <c r="LZT32" s="109"/>
      <c r="LZU32" s="109"/>
      <c r="LZV32" s="109"/>
      <c r="LZW32" s="109"/>
      <c r="LZX32" s="109"/>
      <c r="LZY32" s="109"/>
      <c r="LZZ32" s="109"/>
      <c r="MAA32" s="109"/>
      <c r="MAB32" s="109"/>
      <c r="MAC32" s="109"/>
      <c r="MAD32" s="109"/>
      <c r="MAE32" s="109"/>
      <c r="MAF32" s="109"/>
      <c r="MAG32" s="109"/>
      <c r="MAH32" s="109"/>
      <c r="MAI32" s="109"/>
      <c r="MAJ32" s="109"/>
      <c r="MAK32" s="109"/>
      <c r="MAL32" s="109"/>
      <c r="MAM32" s="109"/>
      <c r="MAN32" s="109"/>
      <c r="MAO32" s="109"/>
      <c r="MAP32" s="109"/>
      <c r="MAQ32" s="109"/>
      <c r="MAR32" s="109"/>
      <c r="MAS32" s="109"/>
      <c r="MAT32" s="109"/>
      <c r="MAU32" s="109"/>
      <c r="MAV32" s="109"/>
      <c r="MAW32" s="109"/>
      <c r="MAX32" s="109"/>
      <c r="MAY32" s="109"/>
      <c r="MAZ32" s="109"/>
      <c r="MBA32" s="109"/>
      <c r="MBB32" s="109"/>
      <c r="MBC32" s="109"/>
      <c r="MBD32" s="109"/>
      <c r="MBE32" s="109"/>
      <c r="MBF32" s="109"/>
      <c r="MBG32" s="109"/>
      <c r="MBH32" s="109"/>
      <c r="MBI32" s="109"/>
      <c r="MBJ32" s="109"/>
      <c r="MBK32" s="109"/>
      <c r="MBL32" s="109"/>
      <c r="MBM32" s="109"/>
      <c r="MBN32" s="109"/>
      <c r="MBO32" s="109"/>
      <c r="MBP32" s="109"/>
      <c r="MBQ32" s="109"/>
      <c r="MBR32" s="109"/>
      <c r="MBS32" s="109"/>
      <c r="MBT32" s="109"/>
      <c r="MBU32" s="109"/>
      <c r="MBV32" s="109"/>
      <c r="MBW32" s="109"/>
      <c r="MBX32" s="109"/>
      <c r="MBY32" s="109"/>
      <c r="MBZ32" s="109"/>
      <c r="MCA32" s="109"/>
      <c r="MCB32" s="109"/>
      <c r="MCC32" s="109"/>
      <c r="MCD32" s="109"/>
      <c r="MCE32" s="109"/>
      <c r="MCF32" s="109"/>
      <c r="MCG32" s="109"/>
      <c r="MCH32" s="109"/>
      <c r="MCI32" s="109"/>
      <c r="MCJ32" s="109"/>
      <c r="MCK32" s="109"/>
      <c r="MCL32" s="109"/>
      <c r="MCM32" s="109"/>
      <c r="MCN32" s="109"/>
      <c r="MCO32" s="109"/>
      <c r="MCP32" s="109"/>
      <c r="MCQ32" s="109"/>
      <c r="MCR32" s="109"/>
      <c r="MCS32" s="109"/>
      <c r="MCT32" s="109"/>
      <c r="MCU32" s="109"/>
      <c r="MCV32" s="109"/>
      <c r="MCW32" s="109"/>
      <c r="MCX32" s="109"/>
      <c r="MCY32" s="109"/>
      <c r="MCZ32" s="109"/>
      <c r="MDA32" s="109"/>
      <c r="MDB32" s="109"/>
      <c r="MDC32" s="109"/>
      <c r="MDD32" s="109"/>
      <c r="MDE32" s="109"/>
      <c r="MDF32" s="109"/>
      <c r="MDG32" s="109"/>
      <c r="MDH32" s="109"/>
      <c r="MDI32" s="109"/>
      <c r="MDJ32" s="109"/>
      <c r="MDK32" s="109"/>
      <c r="MDL32" s="109"/>
      <c r="MDM32" s="109"/>
      <c r="MDN32" s="109"/>
      <c r="MDO32" s="109"/>
      <c r="MDP32" s="109"/>
      <c r="MDQ32" s="109"/>
      <c r="MDR32" s="109"/>
      <c r="MDS32" s="109"/>
      <c r="MDT32" s="109"/>
      <c r="MDU32" s="109"/>
      <c r="MDV32" s="109"/>
      <c r="MDW32" s="109"/>
      <c r="MDX32" s="109"/>
      <c r="MDY32" s="109"/>
      <c r="MDZ32" s="109"/>
      <c r="MEA32" s="109"/>
      <c r="MEB32" s="109"/>
      <c r="MEC32" s="109"/>
      <c r="MED32" s="109"/>
      <c r="MEE32" s="109"/>
      <c r="MEF32" s="109"/>
      <c r="MEG32" s="109"/>
      <c r="MEH32" s="109"/>
      <c r="MEI32" s="109"/>
      <c r="MEJ32" s="109"/>
      <c r="MEK32" s="109"/>
      <c r="MEL32" s="109"/>
      <c r="MEM32" s="109"/>
      <c r="MEN32" s="109"/>
      <c r="MEO32" s="109"/>
      <c r="MEP32" s="109"/>
      <c r="MEQ32" s="109"/>
      <c r="MER32" s="109"/>
      <c r="MES32" s="109"/>
      <c r="MET32" s="109"/>
      <c r="MEU32" s="109"/>
      <c r="MEV32" s="109"/>
      <c r="MEW32" s="109"/>
      <c r="MEX32" s="109"/>
      <c r="MEY32" s="109"/>
      <c r="MEZ32" s="109"/>
      <c r="MFA32" s="109"/>
      <c r="MFB32" s="109"/>
      <c r="MFC32" s="109"/>
      <c r="MFD32" s="109"/>
      <c r="MFE32" s="109"/>
      <c r="MFF32" s="109"/>
      <c r="MFG32" s="109"/>
      <c r="MFH32" s="109"/>
      <c r="MFI32" s="109"/>
      <c r="MFJ32" s="109"/>
      <c r="MFK32" s="109"/>
      <c r="MFL32" s="109"/>
      <c r="MFM32" s="109"/>
      <c r="MFN32" s="109"/>
      <c r="MFO32" s="109"/>
      <c r="MFP32" s="109"/>
      <c r="MFQ32" s="109"/>
      <c r="MFR32" s="109"/>
      <c r="MFS32" s="109"/>
      <c r="MFT32" s="109"/>
      <c r="MFU32" s="109"/>
      <c r="MFV32" s="109"/>
      <c r="MFW32" s="109"/>
      <c r="MFX32" s="109"/>
      <c r="MFY32" s="109"/>
      <c r="MFZ32" s="109"/>
      <c r="MGA32" s="109"/>
      <c r="MGB32" s="109"/>
      <c r="MGC32" s="109"/>
      <c r="MGD32" s="109"/>
      <c r="MGE32" s="109"/>
      <c r="MGF32" s="109"/>
      <c r="MGG32" s="109"/>
      <c r="MGH32" s="109"/>
      <c r="MGI32" s="109"/>
      <c r="MGJ32" s="109"/>
      <c r="MGK32" s="109"/>
      <c r="MGL32" s="109"/>
      <c r="MGM32" s="109"/>
      <c r="MGN32" s="109"/>
      <c r="MGO32" s="109"/>
      <c r="MGP32" s="109"/>
      <c r="MGQ32" s="109"/>
      <c r="MGR32" s="109"/>
      <c r="MGS32" s="109"/>
      <c r="MGT32" s="109"/>
      <c r="MGU32" s="109"/>
      <c r="MGV32" s="109"/>
      <c r="MGW32" s="109"/>
      <c r="MGX32" s="109"/>
      <c r="MGY32" s="109"/>
      <c r="MGZ32" s="109"/>
      <c r="MHA32" s="109"/>
      <c r="MHB32" s="109"/>
      <c r="MHC32" s="109"/>
      <c r="MHD32" s="109"/>
      <c r="MHE32" s="109"/>
      <c r="MHF32" s="109"/>
      <c r="MHG32" s="109"/>
      <c r="MHH32" s="109"/>
      <c r="MHI32" s="109"/>
      <c r="MHJ32" s="109"/>
      <c r="MHK32" s="109"/>
      <c r="MHL32" s="109"/>
      <c r="MHM32" s="109"/>
      <c r="MHN32" s="109"/>
      <c r="MHO32" s="109"/>
      <c r="MHP32" s="109"/>
      <c r="MHQ32" s="109"/>
      <c r="MHR32" s="109"/>
      <c r="MHS32" s="109"/>
      <c r="MHT32" s="109"/>
      <c r="MHU32" s="109"/>
      <c r="MHV32" s="109"/>
      <c r="MHW32" s="109"/>
      <c r="MHX32" s="109"/>
      <c r="MHY32" s="109"/>
      <c r="MHZ32" s="109"/>
      <c r="MIA32" s="109"/>
      <c r="MIB32" s="109"/>
      <c r="MIC32" s="109"/>
      <c r="MID32" s="109"/>
      <c r="MIE32" s="109"/>
      <c r="MIF32" s="109"/>
      <c r="MIG32" s="109"/>
      <c r="MIH32" s="109"/>
      <c r="MII32" s="109"/>
      <c r="MIJ32" s="109"/>
      <c r="MIK32" s="109"/>
      <c r="MIL32" s="109"/>
      <c r="MIM32" s="109"/>
      <c r="MIN32" s="109"/>
      <c r="MIO32" s="109"/>
      <c r="MIP32" s="109"/>
      <c r="MIQ32" s="109"/>
      <c r="MIR32" s="109"/>
      <c r="MIS32" s="109"/>
      <c r="MIT32" s="109"/>
      <c r="MIU32" s="109"/>
      <c r="MIV32" s="109"/>
      <c r="MIW32" s="109"/>
      <c r="MIX32" s="109"/>
      <c r="MIY32" s="109"/>
      <c r="MIZ32" s="109"/>
      <c r="MJA32" s="109"/>
      <c r="MJB32" s="109"/>
      <c r="MJC32" s="109"/>
      <c r="MJD32" s="109"/>
      <c r="MJE32" s="109"/>
      <c r="MJF32" s="109"/>
      <c r="MJG32" s="109"/>
      <c r="MJH32" s="109"/>
      <c r="MJI32" s="109"/>
      <c r="MJJ32" s="109"/>
      <c r="MJK32" s="109"/>
      <c r="MJL32" s="109"/>
      <c r="MJM32" s="109"/>
      <c r="MJN32" s="109"/>
      <c r="MJO32" s="109"/>
      <c r="MJP32" s="109"/>
      <c r="MJQ32" s="109"/>
      <c r="MJR32" s="109"/>
      <c r="MJS32" s="109"/>
      <c r="MJT32" s="109"/>
      <c r="MJU32" s="109"/>
      <c r="MJV32" s="109"/>
      <c r="MJW32" s="109"/>
      <c r="MJX32" s="109"/>
      <c r="MJY32" s="109"/>
      <c r="MJZ32" s="109"/>
      <c r="MKA32" s="109"/>
      <c r="MKB32" s="109"/>
      <c r="MKC32" s="109"/>
      <c r="MKD32" s="109"/>
      <c r="MKE32" s="109"/>
      <c r="MKF32" s="109"/>
      <c r="MKG32" s="109"/>
      <c r="MKH32" s="109"/>
      <c r="MKI32" s="109"/>
      <c r="MKJ32" s="109"/>
      <c r="MKK32" s="109"/>
      <c r="MKL32" s="109"/>
      <c r="MKM32" s="109"/>
      <c r="MKN32" s="109"/>
      <c r="MKO32" s="109"/>
      <c r="MKP32" s="109"/>
      <c r="MKQ32" s="109"/>
      <c r="MKR32" s="109"/>
      <c r="MKS32" s="109"/>
      <c r="MKT32" s="109"/>
      <c r="MKU32" s="109"/>
      <c r="MKV32" s="109"/>
      <c r="MKW32" s="109"/>
      <c r="MKX32" s="109"/>
      <c r="MKY32" s="109"/>
      <c r="MKZ32" s="109"/>
      <c r="MLA32" s="109"/>
      <c r="MLB32" s="109"/>
      <c r="MLC32" s="109"/>
      <c r="MLD32" s="109"/>
      <c r="MLE32" s="109"/>
      <c r="MLF32" s="109"/>
      <c r="MLG32" s="109"/>
      <c r="MLH32" s="109"/>
      <c r="MLI32" s="109"/>
      <c r="MLJ32" s="109"/>
      <c r="MLK32" s="109"/>
      <c r="MLL32" s="109"/>
      <c r="MLM32" s="109"/>
      <c r="MLN32" s="109"/>
      <c r="MLO32" s="109"/>
      <c r="MLP32" s="109"/>
      <c r="MLQ32" s="109"/>
      <c r="MLR32" s="109"/>
      <c r="MLS32" s="109"/>
      <c r="MLT32" s="109"/>
      <c r="MLU32" s="109"/>
      <c r="MLV32" s="109"/>
      <c r="MLW32" s="109"/>
      <c r="MLX32" s="109"/>
      <c r="MLY32" s="109"/>
      <c r="MLZ32" s="109"/>
      <c r="MMA32" s="109"/>
      <c r="MMB32" s="109"/>
      <c r="MMC32" s="109"/>
      <c r="MMD32" s="109"/>
      <c r="MME32" s="109"/>
      <c r="MMF32" s="109"/>
      <c r="MMG32" s="109"/>
      <c r="MMH32" s="109"/>
      <c r="MMI32" s="109"/>
      <c r="MMJ32" s="109"/>
      <c r="MMK32" s="109"/>
      <c r="MML32" s="109"/>
      <c r="MMM32" s="109"/>
      <c r="MMN32" s="109"/>
      <c r="MMO32" s="109"/>
      <c r="MMP32" s="109"/>
      <c r="MMQ32" s="109"/>
      <c r="MMR32" s="109"/>
      <c r="MMS32" s="109"/>
      <c r="MMT32" s="109"/>
      <c r="MMU32" s="109"/>
      <c r="MMV32" s="109"/>
      <c r="MMW32" s="109"/>
      <c r="MMX32" s="109"/>
      <c r="MMY32" s="109"/>
      <c r="MMZ32" s="109"/>
      <c r="MNA32" s="109"/>
      <c r="MNB32" s="109"/>
      <c r="MNC32" s="109"/>
      <c r="MND32" s="109"/>
      <c r="MNE32" s="109"/>
      <c r="MNF32" s="109"/>
      <c r="MNG32" s="109"/>
      <c r="MNH32" s="109"/>
      <c r="MNI32" s="109"/>
      <c r="MNJ32" s="109"/>
      <c r="MNK32" s="109"/>
      <c r="MNL32" s="109"/>
      <c r="MNM32" s="109"/>
      <c r="MNN32" s="109"/>
      <c r="MNO32" s="109"/>
      <c r="MNP32" s="109"/>
      <c r="MNQ32" s="109"/>
      <c r="MNR32" s="109"/>
      <c r="MNS32" s="109"/>
      <c r="MNT32" s="109"/>
      <c r="MNU32" s="109"/>
      <c r="MNV32" s="109"/>
      <c r="MNW32" s="109"/>
      <c r="MNX32" s="109"/>
      <c r="MNY32" s="109"/>
      <c r="MNZ32" s="109"/>
      <c r="MOA32" s="109"/>
      <c r="MOB32" s="109"/>
      <c r="MOC32" s="109"/>
      <c r="MOD32" s="109"/>
      <c r="MOE32" s="109"/>
      <c r="MOF32" s="109"/>
      <c r="MOG32" s="109"/>
      <c r="MOH32" s="109"/>
      <c r="MOI32" s="109"/>
      <c r="MOJ32" s="109"/>
      <c r="MOK32" s="109"/>
      <c r="MOL32" s="109"/>
      <c r="MOM32" s="109"/>
      <c r="MON32" s="109"/>
      <c r="MOO32" s="109"/>
      <c r="MOP32" s="109"/>
      <c r="MOQ32" s="109"/>
      <c r="MOR32" s="109"/>
      <c r="MOS32" s="109"/>
      <c r="MOT32" s="109"/>
      <c r="MOU32" s="109"/>
      <c r="MOV32" s="109"/>
      <c r="MOW32" s="109"/>
      <c r="MOX32" s="109"/>
      <c r="MOY32" s="109"/>
      <c r="MOZ32" s="109"/>
      <c r="MPA32" s="109"/>
      <c r="MPB32" s="109"/>
      <c r="MPC32" s="109"/>
      <c r="MPD32" s="109"/>
      <c r="MPE32" s="109"/>
      <c r="MPF32" s="109"/>
      <c r="MPG32" s="109"/>
      <c r="MPH32" s="109"/>
      <c r="MPI32" s="109"/>
      <c r="MPJ32" s="109"/>
      <c r="MPK32" s="109"/>
      <c r="MPL32" s="109"/>
      <c r="MPM32" s="109"/>
      <c r="MPN32" s="109"/>
      <c r="MPO32" s="109"/>
      <c r="MPP32" s="109"/>
      <c r="MPQ32" s="109"/>
      <c r="MPR32" s="109"/>
      <c r="MPS32" s="109"/>
      <c r="MPT32" s="109"/>
      <c r="MPU32" s="109"/>
      <c r="MPV32" s="109"/>
      <c r="MPW32" s="109"/>
      <c r="MPX32" s="109"/>
      <c r="MPY32" s="109"/>
      <c r="MPZ32" s="109"/>
      <c r="MQA32" s="109"/>
      <c r="MQB32" s="109"/>
      <c r="MQC32" s="109"/>
      <c r="MQD32" s="109"/>
      <c r="MQE32" s="109"/>
      <c r="MQF32" s="109"/>
      <c r="MQG32" s="109"/>
      <c r="MQH32" s="109"/>
      <c r="MQI32" s="109"/>
      <c r="MQJ32" s="109"/>
      <c r="MQK32" s="109"/>
      <c r="MQL32" s="109"/>
      <c r="MQM32" s="109"/>
      <c r="MQN32" s="109"/>
      <c r="MQO32" s="109"/>
      <c r="MQP32" s="109"/>
      <c r="MQQ32" s="109"/>
      <c r="MQR32" s="109"/>
      <c r="MQS32" s="109"/>
      <c r="MQT32" s="109"/>
      <c r="MQU32" s="109"/>
      <c r="MQV32" s="109"/>
      <c r="MQW32" s="109"/>
      <c r="MQX32" s="109"/>
      <c r="MQY32" s="109"/>
      <c r="MQZ32" s="109"/>
      <c r="MRA32" s="109"/>
      <c r="MRB32" s="109"/>
      <c r="MRC32" s="109"/>
      <c r="MRD32" s="109"/>
      <c r="MRE32" s="109"/>
      <c r="MRF32" s="109"/>
      <c r="MRG32" s="109"/>
      <c r="MRH32" s="109"/>
      <c r="MRI32" s="109"/>
      <c r="MRJ32" s="109"/>
      <c r="MRK32" s="109"/>
      <c r="MRL32" s="109"/>
      <c r="MRM32" s="109"/>
      <c r="MRN32" s="109"/>
      <c r="MRO32" s="109"/>
      <c r="MRP32" s="109"/>
      <c r="MRQ32" s="109"/>
      <c r="MRR32" s="109"/>
      <c r="MRS32" s="109"/>
      <c r="MRT32" s="109"/>
      <c r="MRU32" s="109"/>
      <c r="MRV32" s="109"/>
      <c r="MRW32" s="109"/>
      <c r="MRX32" s="109"/>
      <c r="MRY32" s="109"/>
      <c r="MRZ32" s="109"/>
      <c r="MSA32" s="109"/>
      <c r="MSB32" s="109"/>
      <c r="MSC32" s="109"/>
      <c r="MSD32" s="109"/>
      <c r="MSE32" s="109"/>
      <c r="MSF32" s="109"/>
      <c r="MSG32" s="109"/>
      <c r="MSH32" s="109"/>
      <c r="MSI32" s="109"/>
      <c r="MSJ32" s="109"/>
      <c r="MSK32" s="109"/>
      <c r="MSL32" s="109"/>
      <c r="MSM32" s="109"/>
      <c r="MSN32" s="109"/>
      <c r="MSO32" s="109"/>
      <c r="MSP32" s="109"/>
      <c r="MSQ32" s="109"/>
      <c r="MSR32" s="109"/>
      <c r="MSS32" s="109"/>
      <c r="MST32" s="109"/>
      <c r="MSU32" s="109"/>
      <c r="MSV32" s="109"/>
      <c r="MSW32" s="109"/>
      <c r="MSX32" s="109"/>
      <c r="MSY32" s="109"/>
      <c r="MSZ32" s="109"/>
      <c r="MTA32" s="109"/>
      <c r="MTB32" s="109"/>
      <c r="MTC32" s="109"/>
      <c r="MTD32" s="109"/>
      <c r="MTE32" s="109"/>
      <c r="MTF32" s="109"/>
      <c r="MTG32" s="109"/>
      <c r="MTH32" s="109"/>
      <c r="MTI32" s="109"/>
      <c r="MTJ32" s="109"/>
      <c r="MTK32" s="109"/>
      <c r="MTL32" s="109"/>
      <c r="MTM32" s="109"/>
      <c r="MTN32" s="109"/>
      <c r="MTO32" s="109"/>
      <c r="MTP32" s="109"/>
      <c r="MTQ32" s="109"/>
      <c r="MTR32" s="109"/>
      <c r="MTS32" s="109"/>
      <c r="MTT32" s="109"/>
      <c r="MTU32" s="109"/>
      <c r="MTV32" s="109"/>
      <c r="MTW32" s="109"/>
      <c r="MTX32" s="109"/>
      <c r="MTY32" s="109"/>
      <c r="MTZ32" s="109"/>
      <c r="MUA32" s="109"/>
      <c r="MUB32" s="109"/>
      <c r="MUC32" s="109"/>
      <c r="MUD32" s="109"/>
      <c r="MUE32" s="109"/>
      <c r="MUF32" s="109"/>
      <c r="MUG32" s="109"/>
      <c r="MUH32" s="109"/>
      <c r="MUI32" s="109"/>
      <c r="MUJ32" s="109"/>
      <c r="MUK32" s="109"/>
      <c r="MUL32" s="109"/>
      <c r="MUM32" s="109"/>
      <c r="MUN32" s="109"/>
      <c r="MUO32" s="109"/>
      <c r="MUP32" s="109"/>
      <c r="MUQ32" s="109"/>
      <c r="MUR32" s="109"/>
      <c r="MUS32" s="109"/>
      <c r="MUT32" s="109"/>
      <c r="MUU32" s="109"/>
      <c r="MUV32" s="109"/>
      <c r="MUW32" s="109"/>
      <c r="MUX32" s="109"/>
      <c r="MUY32" s="109"/>
      <c r="MUZ32" s="109"/>
      <c r="MVA32" s="109"/>
      <c r="MVB32" s="109"/>
      <c r="MVC32" s="109"/>
      <c r="MVD32" s="109"/>
      <c r="MVE32" s="109"/>
      <c r="MVF32" s="109"/>
      <c r="MVG32" s="109"/>
      <c r="MVH32" s="109"/>
      <c r="MVI32" s="109"/>
      <c r="MVJ32" s="109"/>
      <c r="MVK32" s="109"/>
      <c r="MVL32" s="109"/>
      <c r="MVM32" s="109"/>
      <c r="MVN32" s="109"/>
      <c r="MVO32" s="109"/>
      <c r="MVP32" s="109"/>
      <c r="MVQ32" s="109"/>
      <c r="MVR32" s="109"/>
      <c r="MVS32" s="109"/>
      <c r="MVT32" s="109"/>
      <c r="MVU32" s="109"/>
      <c r="MVV32" s="109"/>
      <c r="MVW32" s="109"/>
      <c r="MVX32" s="109"/>
      <c r="MVY32" s="109"/>
      <c r="MVZ32" s="109"/>
      <c r="MWA32" s="109"/>
      <c r="MWB32" s="109"/>
      <c r="MWC32" s="109"/>
      <c r="MWD32" s="109"/>
      <c r="MWE32" s="109"/>
      <c r="MWF32" s="109"/>
      <c r="MWG32" s="109"/>
      <c r="MWH32" s="109"/>
      <c r="MWI32" s="109"/>
      <c r="MWJ32" s="109"/>
      <c r="MWK32" s="109"/>
      <c r="MWL32" s="109"/>
      <c r="MWM32" s="109"/>
      <c r="MWN32" s="109"/>
      <c r="MWO32" s="109"/>
      <c r="MWP32" s="109"/>
      <c r="MWQ32" s="109"/>
      <c r="MWR32" s="109"/>
      <c r="MWS32" s="109"/>
      <c r="MWT32" s="109"/>
      <c r="MWU32" s="109"/>
      <c r="MWV32" s="109"/>
      <c r="MWW32" s="109"/>
      <c r="MWX32" s="109"/>
      <c r="MWY32" s="109"/>
      <c r="MWZ32" s="109"/>
      <c r="MXA32" s="109"/>
      <c r="MXB32" s="109"/>
      <c r="MXC32" s="109"/>
      <c r="MXD32" s="109"/>
      <c r="MXE32" s="109"/>
      <c r="MXF32" s="109"/>
      <c r="MXG32" s="109"/>
      <c r="MXH32" s="109"/>
      <c r="MXI32" s="109"/>
      <c r="MXJ32" s="109"/>
      <c r="MXK32" s="109"/>
      <c r="MXL32" s="109"/>
      <c r="MXM32" s="109"/>
      <c r="MXN32" s="109"/>
      <c r="MXO32" s="109"/>
      <c r="MXP32" s="109"/>
      <c r="MXQ32" s="109"/>
      <c r="MXR32" s="109"/>
      <c r="MXS32" s="109"/>
      <c r="MXT32" s="109"/>
      <c r="MXU32" s="109"/>
      <c r="MXV32" s="109"/>
      <c r="MXW32" s="109"/>
      <c r="MXX32" s="109"/>
      <c r="MXY32" s="109"/>
      <c r="MXZ32" s="109"/>
      <c r="MYA32" s="109"/>
      <c r="MYB32" s="109"/>
      <c r="MYC32" s="109"/>
      <c r="MYD32" s="109"/>
      <c r="MYE32" s="109"/>
      <c r="MYF32" s="109"/>
      <c r="MYG32" s="109"/>
      <c r="MYH32" s="109"/>
      <c r="MYI32" s="109"/>
      <c r="MYJ32" s="109"/>
      <c r="MYK32" s="109"/>
      <c r="MYL32" s="109"/>
      <c r="MYM32" s="109"/>
      <c r="MYN32" s="109"/>
      <c r="MYO32" s="109"/>
      <c r="MYP32" s="109"/>
      <c r="MYQ32" s="109"/>
      <c r="MYR32" s="109"/>
      <c r="MYS32" s="109"/>
      <c r="MYT32" s="109"/>
      <c r="MYU32" s="109"/>
      <c r="MYV32" s="109"/>
      <c r="MYW32" s="109"/>
      <c r="MYX32" s="109"/>
      <c r="MYY32" s="109"/>
      <c r="MYZ32" s="109"/>
      <c r="MZA32" s="109"/>
      <c r="MZB32" s="109"/>
      <c r="MZC32" s="109"/>
      <c r="MZD32" s="109"/>
      <c r="MZE32" s="109"/>
      <c r="MZF32" s="109"/>
      <c r="MZG32" s="109"/>
      <c r="MZH32" s="109"/>
      <c r="MZI32" s="109"/>
      <c r="MZJ32" s="109"/>
      <c r="MZK32" s="109"/>
      <c r="MZL32" s="109"/>
      <c r="MZM32" s="109"/>
      <c r="MZN32" s="109"/>
      <c r="MZO32" s="109"/>
      <c r="MZP32" s="109"/>
      <c r="MZQ32" s="109"/>
      <c r="MZR32" s="109"/>
      <c r="MZS32" s="109"/>
      <c r="MZT32" s="109"/>
      <c r="MZU32" s="109"/>
      <c r="MZV32" s="109"/>
      <c r="MZW32" s="109"/>
      <c r="MZX32" s="109"/>
      <c r="MZY32" s="109"/>
      <c r="MZZ32" s="109"/>
      <c r="NAA32" s="109"/>
      <c r="NAB32" s="109"/>
      <c r="NAC32" s="109"/>
      <c r="NAD32" s="109"/>
      <c r="NAE32" s="109"/>
      <c r="NAF32" s="109"/>
      <c r="NAG32" s="109"/>
      <c r="NAH32" s="109"/>
      <c r="NAI32" s="109"/>
      <c r="NAJ32" s="109"/>
      <c r="NAK32" s="109"/>
      <c r="NAL32" s="109"/>
      <c r="NAM32" s="109"/>
      <c r="NAN32" s="109"/>
      <c r="NAO32" s="109"/>
      <c r="NAP32" s="109"/>
      <c r="NAQ32" s="109"/>
      <c r="NAR32" s="109"/>
      <c r="NAS32" s="109"/>
      <c r="NAT32" s="109"/>
      <c r="NAU32" s="109"/>
      <c r="NAV32" s="109"/>
      <c r="NAW32" s="109"/>
      <c r="NAX32" s="109"/>
      <c r="NAY32" s="109"/>
      <c r="NAZ32" s="109"/>
      <c r="NBA32" s="109"/>
      <c r="NBB32" s="109"/>
      <c r="NBC32" s="109"/>
      <c r="NBD32" s="109"/>
      <c r="NBE32" s="109"/>
      <c r="NBF32" s="109"/>
      <c r="NBG32" s="109"/>
      <c r="NBH32" s="109"/>
      <c r="NBI32" s="109"/>
      <c r="NBJ32" s="109"/>
      <c r="NBK32" s="109"/>
      <c r="NBL32" s="109"/>
      <c r="NBM32" s="109"/>
      <c r="NBN32" s="109"/>
      <c r="NBO32" s="109"/>
      <c r="NBP32" s="109"/>
      <c r="NBQ32" s="109"/>
      <c r="NBR32" s="109"/>
      <c r="NBS32" s="109"/>
      <c r="NBT32" s="109"/>
      <c r="NBU32" s="109"/>
      <c r="NBV32" s="109"/>
      <c r="NBW32" s="109"/>
      <c r="NBX32" s="109"/>
      <c r="NBY32" s="109"/>
      <c r="NBZ32" s="109"/>
      <c r="NCA32" s="109"/>
      <c r="NCB32" s="109"/>
      <c r="NCC32" s="109"/>
      <c r="NCD32" s="109"/>
      <c r="NCE32" s="109"/>
      <c r="NCF32" s="109"/>
      <c r="NCG32" s="109"/>
      <c r="NCH32" s="109"/>
      <c r="NCI32" s="109"/>
      <c r="NCJ32" s="109"/>
      <c r="NCK32" s="109"/>
      <c r="NCL32" s="109"/>
      <c r="NCM32" s="109"/>
      <c r="NCN32" s="109"/>
      <c r="NCO32" s="109"/>
      <c r="NCP32" s="109"/>
      <c r="NCQ32" s="109"/>
      <c r="NCR32" s="109"/>
      <c r="NCS32" s="109"/>
      <c r="NCT32" s="109"/>
      <c r="NCU32" s="109"/>
      <c r="NCV32" s="109"/>
      <c r="NCW32" s="109"/>
      <c r="NCX32" s="109"/>
      <c r="NCY32" s="109"/>
      <c r="NCZ32" s="109"/>
      <c r="NDA32" s="109"/>
      <c r="NDB32" s="109"/>
      <c r="NDC32" s="109"/>
      <c r="NDD32" s="109"/>
      <c r="NDE32" s="109"/>
      <c r="NDF32" s="109"/>
      <c r="NDG32" s="109"/>
      <c r="NDH32" s="109"/>
      <c r="NDI32" s="109"/>
      <c r="NDJ32" s="109"/>
      <c r="NDK32" s="109"/>
      <c r="NDL32" s="109"/>
      <c r="NDM32" s="109"/>
      <c r="NDN32" s="109"/>
      <c r="NDO32" s="109"/>
      <c r="NDP32" s="109"/>
      <c r="NDQ32" s="109"/>
      <c r="NDR32" s="109"/>
      <c r="NDS32" s="109"/>
      <c r="NDT32" s="109"/>
      <c r="NDU32" s="109"/>
      <c r="NDV32" s="109"/>
      <c r="NDW32" s="109"/>
      <c r="NDX32" s="109"/>
      <c r="NDY32" s="109"/>
      <c r="NDZ32" s="109"/>
      <c r="NEA32" s="109"/>
      <c r="NEB32" s="109"/>
      <c r="NEC32" s="109"/>
      <c r="NED32" s="109"/>
      <c r="NEE32" s="109"/>
      <c r="NEF32" s="109"/>
      <c r="NEG32" s="109"/>
      <c r="NEH32" s="109"/>
      <c r="NEI32" s="109"/>
      <c r="NEJ32" s="109"/>
      <c r="NEK32" s="109"/>
      <c r="NEL32" s="109"/>
      <c r="NEM32" s="109"/>
      <c r="NEN32" s="109"/>
      <c r="NEO32" s="109"/>
      <c r="NEP32" s="109"/>
      <c r="NEQ32" s="109"/>
      <c r="NER32" s="109"/>
      <c r="NES32" s="109"/>
      <c r="NET32" s="109"/>
      <c r="NEU32" s="109"/>
      <c r="NEV32" s="109"/>
      <c r="NEW32" s="109"/>
      <c r="NEX32" s="109"/>
      <c r="NEY32" s="109"/>
      <c r="NEZ32" s="109"/>
      <c r="NFA32" s="109"/>
      <c r="NFB32" s="109"/>
      <c r="NFC32" s="109"/>
      <c r="NFD32" s="109"/>
      <c r="NFE32" s="109"/>
      <c r="NFF32" s="109"/>
      <c r="NFG32" s="109"/>
      <c r="NFH32" s="109"/>
      <c r="NFI32" s="109"/>
      <c r="NFJ32" s="109"/>
      <c r="NFK32" s="109"/>
      <c r="NFL32" s="109"/>
      <c r="NFM32" s="109"/>
      <c r="NFN32" s="109"/>
      <c r="NFO32" s="109"/>
      <c r="NFP32" s="109"/>
      <c r="NFQ32" s="109"/>
      <c r="NFR32" s="109"/>
      <c r="NFS32" s="109"/>
      <c r="NFT32" s="109"/>
      <c r="NFU32" s="109"/>
      <c r="NFV32" s="109"/>
      <c r="NFW32" s="109"/>
      <c r="NFX32" s="109"/>
      <c r="NFY32" s="109"/>
      <c r="NFZ32" s="109"/>
      <c r="NGA32" s="109"/>
      <c r="NGB32" s="109"/>
      <c r="NGC32" s="109"/>
      <c r="NGD32" s="109"/>
      <c r="NGE32" s="109"/>
      <c r="NGF32" s="109"/>
      <c r="NGG32" s="109"/>
      <c r="NGH32" s="109"/>
      <c r="NGI32" s="109"/>
      <c r="NGJ32" s="109"/>
      <c r="NGK32" s="109"/>
      <c r="NGL32" s="109"/>
      <c r="NGM32" s="109"/>
      <c r="NGN32" s="109"/>
      <c r="NGO32" s="109"/>
      <c r="NGP32" s="109"/>
      <c r="NGQ32" s="109"/>
      <c r="NGR32" s="109"/>
      <c r="NGS32" s="109"/>
      <c r="NGT32" s="109"/>
      <c r="NGU32" s="109"/>
      <c r="NGV32" s="109"/>
      <c r="NGW32" s="109"/>
      <c r="NGX32" s="109"/>
      <c r="NGY32" s="109"/>
      <c r="NGZ32" s="109"/>
      <c r="NHA32" s="109"/>
      <c r="NHB32" s="109"/>
      <c r="NHC32" s="109"/>
      <c r="NHD32" s="109"/>
      <c r="NHE32" s="109"/>
      <c r="NHF32" s="109"/>
      <c r="NHG32" s="109"/>
      <c r="NHH32" s="109"/>
      <c r="NHI32" s="109"/>
      <c r="NHJ32" s="109"/>
      <c r="NHK32" s="109"/>
      <c r="NHL32" s="109"/>
      <c r="NHM32" s="109"/>
      <c r="NHN32" s="109"/>
      <c r="NHO32" s="109"/>
      <c r="NHP32" s="109"/>
      <c r="NHQ32" s="109"/>
      <c r="NHR32" s="109"/>
      <c r="NHS32" s="109"/>
      <c r="NHT32" s="109"/>
      <c r="NHU32" s="109"/>
      <c r="NHV32" s="109"/>
      <c r="NHW32" s="109"/>
      <c r="NHX32" s="109"/>
      <c r="NHY32" s="109"/>
      <c r="NHZ32" s="109"/>
      <c r="NIA32" s="109"/>
      <c r="NIB32" s="109"/>
      <c r="NIC32" s="109"/>
      <c r="NID32" s="109"/>
      <c r="NIE32" s="109"/>
      <c r="NIF32" s="109"/>
      <c r="NIG32" s="109"/>
      <c r="NIH32" s="109"/>
      <c r="NII32" s="109"/>
      <c r="NIJ32" s="109"/>
      <c r="NIK32" s="109"/>
      <c r="NIL32" s="109"/>
      <c r="NIM32" s="109"/>
      <c r="NIN32" s="109"/>
      <c r="NIO32" s="109"/>
      <c r="NIP32" s="109"/>
      <c r="NIQ32" s="109"/>
      <c r="NIR32" s="109"/>
      <c r="NIS32" s="109"/>
      <c r="NIT32" s="109"/>
      <c r="NIU32" s="109"/>
      <c r="NIV32" s="109"/>
      <c r="NIW32" s="109"/>
      <c r="NIX32" s="109"/>
      <c r="NIY32" s="109"/>
      <c r="NIZ32" s="109"/>
      <c r="NJA32" s="109"/>
      <c r="NJB32" s="109"/>
      <c r="NJC32" s="109"/>
      <c r="NJD32" s="109"/>
      <c r="NJE32" s="109"/>
      <c r="NJF32" s="109"/>
      <c r="NJG32" s="109"/>
      <c r="NJH32" s="109"/>
      <c r="NJI32" s="109"/>
      <c r="NJJ32" s="109"/>
      <c r="NJK32" s="109"/>
      <c r="NJL32" s="109"/>
      <c r="NJM32" s="109"/>
      <c r="NJN32" s="109"/>
      <c r="NJO32" s="109"/>
      <c r="NJP32" s="109"/>
      <c r="NJQ32" s="109"/>
      <c r="NJR32" s="109"/>
      <c r="NJS32" s="109"/>
      <c r="NJT32" s="109"/>
      <c r="NJU32" s="109"/>
      <c r="NJV32" s="109"/>
      <c r="NJW32" s="109"/>
      <c r="NJX32" s="109"/>
      <c r="NJY32" s="109"/>
      <c r="NJZ32" s="109"/>
      <c r="NKA32" s="109"/>
      <c r="NKB32" s="109"/>
      <c r="NKC32" s="109"/>
      <c r="NKD32" s="109"/>
      <c r="NKE32" s="109"/>
      <c r="NKF32" s="109"/>
      <c r="NKG32" s="109"/>
      <c r="NKH32" s="109"/>
      <c r="NKI32" s="109"/>
      <c r="NKJ32" s="109"/>
      <c r="NKK32" s="109"/>
      <c r="NKL32" s="109"/>
      <c r="NKM32" s="109"/>
      <c r="NKN32" s="109"/>
      <c r="NKO32" s="109"/>
      <c r="NKP32" s="109"/>
      <c r="NKQ32" s="109"/>
      <c r="NKR32" s="109"/>
      <c r="NKS32" s="109"/>
      <c r="NKT32" s="109"/>
      <c r="NKU32" s="109"/>
      <c r="NKV32" s="109"/>
      <c r="NKW32" s="109"/>
      <c r="NKX32" s="109"/>
      <c r="NKY32" s="109"/>
      <c r="NKZ32" s="109"/>
      <c r="NLA32" s="109"/>
      <c r="NLB32" s="109"/>
      <c r="NLC32" s="109"/>
      <c r="NLD32" s="109"/>
      <c r="NLE32" s="109"/>
      <c r="NLF32" s="109"/>
      <c r="NLG32" s="109"/>
      <c r="NLH32" s="109"/>
      <c r="NLI32" s="109"/>
      <c r="NLJ32" s="109"/>
      <c r="NLK32" s="109"/>
      <c r="NLL32" s="109"/>
      <c r="NLM32" s="109"/>
      <c r="NLN32" s="109"/>
      <c r="NLO32" s="109"/>
      <c r="NLP32" s="109"/>
      <c r="NLQ32" s="109"/>
      <c r="NLR32" s="109"/>
      <c r="NLS32" s="109"/>
      <c r="NLT32" s="109"/>
      <c r="NLU32" s="109"/>
      <c r="NLV32" s="109"/>
      <c r="NLW32" s="109"/>
      <c r="NLX32" s="109"/>
      <c r="NLY32" s="109"/>
      <c r="NLZ32" s="109"/>
      <c r="NMA32" s="109"/>
      <c r="NMB32" s="109"/>
      <c r="NMC32" s="109"/>
      <c r="NMD32" s="109"/>
      <c r="NME32" s="109"/>
      <c r="NMF32" s="109"/>
      <c r="NMG32" s="109"/>
      <c r="NMH32" s="109"/>
      <c r="NMI32" s="109"/>
      <c r="NMJ32" s="109"/>
      <c r="NMK32" s="109"/>
      <c r="NML32" s="109"/>
      <c r="NMM32" s="109"/>
      <c r="NMN32" s="109"/>
      <c r="NMO32" s="109"/>
      <c r="NMP32" s="109"/>
      <c r="NMQ32" s="109"/>
      <c r="NMR32" s="109"/>
      <c r="NMS32" s="109"/>
      <c r="NMT32" s="109"/>
      <c r="NMU32" s="109"/>
      <c r="NMV32" s="109"/>
      <c r="NMW32" s="109"/>
      <c r="NMX32" s="109"/>
      <c r="NMY32" s="109"/>
      <c r="NMZ32" s="109"/>
      <c r="NNA32" s="109"/>
      <c r="NNB32" s="109"/>
      <c r="NNC32" s="109"/>
      <c r="NND32" s="109"/>
      <c r="NNE32" s="109"/>
      <c r="NNF32" s="109"/>
      <c r="NNG32" s="109"/>
      <c r="NNH32" s="109"/>
      <c r="NNI32" s="109"/>
      <c r="NNJ32" s="109"/>
      <c r="NNK32" s="109"/>
      <c r="NNL32" s="109"/>
      <c r="NNM32" s="109"/>
      <c r="NNN32" s="109"/>
      <c r="NNO32" s="109"/>
      <c r="NNP32" s="109"/>
      <c r="NNQ32" s="109"/>
      <c r="NNR32" s="109"/>
      <c r="NNS32" s="109"/>
      <c r="NNT32" s="109"/>
      <c r="NNU32" s="109"/>
      <c r="NNV32" s="109"/>
      <c r="NNW32" s="109"/>
      <c r="NNX32" s="109"/>
      <c r="NNY32" s="109"/>
      <c r="NNZ32" s="109"/>
      <c r="NOA32" s="109"/>
      <c r="NOB32" s="109"/>
      <c r="NOC32" s="109"/>
      <c r="NOD32" s="109"/>
      <c r="NOE32" s="109"/>
      <c r="NOF32" s="109"/>
      <c r="NOG32" s="109"/>
      <c r="NOH32" s="109"/>
      <c r="NOI32" s="109"/>
      <c r="NOJ32" s="109"/>
      <c r="NOK32" s="109"/>
      <c r="NOL32" s="109"/>
      <c r="NOM32" s="109"/>
      <c r="NON32" s="109"/>
      <c r="NOO32" s="109"/>
      <c r="NOP32" s="109"/>
      <c r="NOQ32" s="109"/>
      <c r="NOR32" s="109"/>
      <c r="NOS32" s="109"/>
      <c r="NOT32" s="109"/>
      <c r="NOU32" s="109"/>
      <c r="NOV32" s="109"/>
      <c r="NOW32" s="109"/>
      <c r="NOX32" s="109"/>
      <c r="NOY32" s="109"/>
      <c r="NOZ32" s="109"/>
      <c r="NPA32" s="109"/>
      <c r="NPB32" s="109"/>
      <c r="NPC32" s="109"/>
      <c r="NPD32" s="109"/>
      <c r="NPE32" s="109"/>
      <c r="NPF32" s="109"/>
      <c r="NPG32" s="109"/>
      <c r="NPH32" s="109"/>
      <c r="NPI32" s="109"/>
      <c r="NPJ32" s="109"/>
      <c r="NPK32" s="109"/>
      <c r="NPL32" s="109"/>
      <c r="NPM32" s="109"/>
      <c r="NPN32" s="109"/>
      <c r="NPO32" s="109"/>
      <c r="NPP32" s="109"/>
      <c r="NPQ32" s="109"/>
      <c r="NPR32" s="109"/>
      <c r="NPS32" s="109"/>
      <c r="NPT32" s="109"/>
      <c r="NPU32" s="109"/>
      <c r="NPV32" s="109"/>
      <c r="NPW32" s="109"/>
      <c r="NPX32" s="109"/>
      <c r="NPY32" s="109"/>
      <c r="NPZ32" s="109"/>
      <c r="NQA32" s="109"/>
      <c r="NQB32" s="109"/>
      <c r="NQC32" s="109"/>
      <c r="NQD32" s="109"/>
      <c r="NQE32" s="109"/>
      <c r="NQF32" s="109"/>
      <c r="NQG32" s="109"/>
      <c r="NQH32" s="109"/>
      <c r="NQI32" s="109"/>
      <c r="NQJ32" s="109"/>
      <c r="NQK32" s="109"/>
      <c r="NQL32" s="109"/>
      <c r="NQM32" s="109"/>
      <c r="NQN32" s="109"/>
      <c r="NQO32" s="109"/>
      <c r="NQP32" s="109"/>
      <c r="NQQ32" s="109"/>
      <c r="NQR32" s="109"/>
      <c r="NQS32" s="109"/>
      <c r="NQT32" s="109"/>
      <c r="NQU32" s="109"/>
      <c r="NQV32" s="109"/>
      <c r="NQW32" s="109"/>
      <c r="NQX32" s="109"/>
      <c r="NQY32" s="109"/>
      <c r="NQZ32" s="109"/>
      <c r="NRA32" s="109"/>
      <c r="NRB32" s="109"/>
      <c r="NRC32" s="109"/>
      <c r="NRD32" s="109"/>
      <c r="NRE32" s="109"/>
      <c r="NRF32" s="109"/>
      <c r="NRG32" s="109"/>
      <c r="NRH32" s="109"/>
      <c r="NRI32" s="109"/>
      <c r="NRJ32" s="109"/>
      <c r="NRK32" s="109"/>
      <c r="NRL32" s="109"/>
      <c r="NRM32" s="109"/>
      <c r="NRN32" s="109"/>
      <c r="NRO32" s="109"/>
      <c r="NRP32" s="109"/>
      <c r="NRQ32" s="109"/>
      <c r="NRR32" s="109"/>
      <c r="NRS32" s="109"/>
      <c r="NRT32" s="109"/>
      <c r="NRU32" s="109"/>
      <c r="NRV32" s="109"/>
      <c r="NRW32" s="109"/>
      <c r="NRX32" s="109"/>
      <c r="NRY32" s="109"/>
      <c r="NRZ32" s="109"/>
      <c r="NSA32" s="109"/>
      <c r="NSB32" s="109"/>
      <c r="NSC32" s="109"/>
      <c r="NSD32" s="109"/>
      <c r="NSE32" s="109"/>
      <c r="NSF32" s="109"/>
      <c r="NSG32" s="109"/>
      <c r="NSH32" s="109"/>
      <c r="NSI32" s="109"/>
      <c r="NSJ32" s="109"/>
      <c r="NSK32" s="109"/>
      <c r="NSL32" s="109"/>
      <c r="NSM32" s="109"/>
      <c r="NSN32" s="109"/>
      <c r="NSO32" s="109"/>
      <c r="NSP32" s="109"/>
      <c r="NSQ32" s="109"/>
      <c r="NSR32" s="109"/>
      <c r="NSS32" s="109"/>
      <c r="NST32" s="109"/>
      <c r="NSU32" s="109"/>
      <c r="NSV32" s="109"/>
      <c r="NSW32" s="109"/>
      <c r="NSX32" s="109"/>
      <c r="NSY32" s="109"/>
      <c r="NSZ32" s="109"/>
      <c r="NTA32" s="109"/>
      <c r="NTB32" s="109"/>
      <c r="NTC32" s="109"/>
      <c r="NTD32" s="109"/>
      <c r="NTE32" s="109"/>
      <c r="NTF32" s="109"/>
      <c r="NTG32" s="109"/>
      <c r="NTH32" s="109"/>
      <c r="NTI32" s="109"/>
      <c r="NTJ32" s="109"/>
      <c r="NTK32" s="109"/>
      <c r="NTL32" s="109"/>
      <c r="NTM32" s="109"/>
      <c r="NTN32" s="109"/>
      <c r="NTO32" s="109"/>
      <c r="NTP32" s="109"/>
      <c r="NTQ32" s="109"/>
      <c r="NTR32" s="109"/>
      <c r="NTS32" s="109"/>
      <c r="NTT32" s="109"/>
      <c r="NTU32" s="109"/>
      <c r="NTV32" s="109"/>
      <c r="NTW32" s="109"/>
      <c r="NTX32" s="109"/>
      <c r="NTY32" s="109"/>
      <c r="NTZ32" s="109"/>
      <c r="NUA32" s="109"/>
      <c r="NUB32" s="109"/>
      <c r="NUC32" s="109"/>
      <c r="NUD32" s="109"/>
      <c r="NUE32" s="109"/>
      <c r="NUF32" s="109"/>
      <c r="NUG32" s="109"/>
      <c r="NUH32" s="109"/>
      <c r="NUI32" s="109"/>
      <c r="NUJ32" s="109"/>
      <c r="NUK32" s="109"/>
      <c r="NUL32" s="109"/>
      <c r="NUM32" s="109"/>
      <c r="NUN32" s="109"/>
      <c r="NUO32" s="109"/>
      <c r="NUP32" s="109"/>
      <c r="NUQ32" s="109"/>
      <c r="NUR32" s="109"/>
      <c r="NUS32" s="109"/>
      <c r="NUT32" s="109"/>
      <c r="NUU32" s="109"/>
      <c r="NUV32" s="109"/>
      <c r="NUW32" s="109"/>
      <c r="NUX32" s="109"/>
      <c r="NUY32" s="109"/>
      <c r="NUZ32" s="109"/>
      <c r="NVA32" s="109"/>
      <c r="NVB32" s="109"/>
      <c r="NVC32" s="109"/>
      <c r="NVD32" s="109"/>
      <c r="NVE32" s="109"/>
      <c r="NVF32" s="109"/>
      <c r="NVG32" s="109"/>
      <c r="NVH32" s="109"/>
      <c r="NVI32" s="109"/>
      <c r="NVJ32" s="109"/>
      <c r="NVK32" s="109"/>
      <c r="NVL32" s="109"/>
      <c r="NVM32" s="109"/>
      <c r="NVN32" s="109"/>
      <c r="NVO32" s="109"/>
      <c r="NVP32" s="109"/>
      <c r="NVQ32" s="109"/>
      <c r="NVR32" s="109"/>
      <c r="NVS32" s="109"/>
      <c r="NVT32" s="109"/>
      <c r="NVU32" s="109"/>
      <c r="NVV32" s="109"/>
      <c r="NVW32" s="109"/>
      <c r="NVX32" s="109"/>
      <c r="NVY32" s="109"/>
      <c r="NVZ32" s="109"/>
      <c r="NWA32" s="109"/>
      <c r="NWB32" s="109"/>
      <c r="NWC32" s="109"/>
      <c r="NWD32" s="109"/>
      <c r="NWE32" s="109"/>
      <c r="NWF32" s="109"/>
      <c r="NWG32" s="109"/>
      <c r="NWH32" s="109"/>
      <c r="NWI32" s="109"/>
      <c r="NWJ32" s="109"/>
      <c r="NWK32" s="109"/>
      <c r="NWL32" s="109"/>
      <c r="NWM32" s="109"/>
      <c r="NWN32" s="109"/>
      <c r="NWO32" s="109"/>
      <c r="NWP32" s="109"/>
      <c r="NWQ32" s="109"/>
      <c r="NWR32" s="109"/>
      <c r="NWS32" s="109"/>
      <c r="NWT32" s="109"/>
      <c r="NWU32" s="109"/>
      <c r="NWV32" s="109"/>
      <c r="NWW32" s="109"/>
      <c r="NWX32" s="109"/>
      <c r="NWY32" s="109"/>
      <c r="NWZ32" s="109"/>
      <c r="NXA32" s="109"/>
      <c r="NXB32" s="109"/>
      <c r="NXC32" s="109"/>
      <c r="NXD32" s="109"/>
      <c r="NXE32" s="109"/>
      <c r="NXF32" s="109"/>
      <c r="NXG32" s="109"/>
      <c r="NXH32" s="109"/>
      <c r="NXI32" s="109"/>
      <c r="NXJ32" s="109"/>
      <c r="NXK32" s="109"/>
      <c r="NXL32" s="109"/>
      <c r="NXM32" s="109"/>
      <c r="NXN32" s="109"/>
      <c r="NXO32" s="109"/>
      <c r="NXP32" s="109"/>
      <c r="NXQ32" s="109"/>
      <c r="NXR32" s="109"/>
      <c r="NXS32" s="109"/>
      <c r="NXT32" s="109"/>
      <c r="NXU32" s="109"/>
      <c r="NXV32" s="109"/>
      <c r="NXW32" s="109"/>
      <c r="NXX32" s="109"/>
      <c r="NXY32" s="109"/>
      <c r="NXZ32" s="109"/>
      <c r="NYA32" s="109"/>
      <c r="NYB32" s="109"/>
      <c r="NYC32" s="109"/>
      <c r="NYD32" s="109"/>
      <c r="NYE32" s="109"/>
      <c r="NYF32" s="109"/>
      <c r="NYG32" s="109"/>
      <c r="NYH32" s="109"/>
      <c r="NYI32" s="109"/>
      <c r="NYJ32" s="109"/>
      <c r="NYK32" s="109"/>
      <c r="NYL32" s="109"/>
      <c r="NYM32" s="109"/>
      <c r="NYN32" s="109"/>
      <c r="NYO32" s="109"/>
      <c r="NYP32" s="109"/>
      <c r="NYQ32" s="109"/>
      <c r="NYR32" s="109"/>
      <c r="NYS32" s="109"/>
      <c r="NYT32" s="109"/>
      <c r="NYU32" s="109"/>
      <c r="NYV32" s="109"/>
      <c r="NYW32" s="109"/>
      <c r="NYX32" s="109"/>
      <c r="NYY32" s="109"/>
      <c r="NYZ32" s="109"/>
      <c r="NZA32" s="109"/>
      <c r="NZB32" s="109"/>
      <c r="NZC32" s="109"/>
      <c r="NZD32" s="109"/>
      <c r="NZE32" s="109"/>
      <c r="NZF32" s="109"/>
      <c r="NZG32" s="109"/>
      <c r="NZH32" s="109"/>
      <c r="NZI32" s="109"/>
      <c r="NZJ32" s="109"/>
      <c r="NZK32" s="109"/>
      <c r="NZL32" s="109"/>
      <c r="NZM32" s="109"/>
      <c r="NZN32" s="109"/>
      <c r="NZO32" s="109"/>
      <c r="NZP32" s="109"/>
      <c r="NZQ32" s="109"/>
      <c r="NZR32" s="109"/>
      <c r="NZS32" s="109"/>
      <c r="NZT32" s="109"/>
      <c r="NZU32" s="109"/>
      <c r="NZV32" s="109"/>
      <c r="NZW32" s="109"/>
      <c r="NZX32" s="109"/>
      <c r="NZY32" s="109"/>
      <c r="NZZ32" s="109"/>
      <c r="OAA32" s="109"/>
      <c r="OAB32" s="109"/>
      <c r="OAC32" s="109"/>
      <c r="OAD32" s="109"/>
      <c r="OAE32" s="109"/>
      <c r="OAF32" s="109"/>
      <c r="OAG32" s="109"/>
      <c r="OAH32" s="109"/>
      <c r="OAI32" s="109"/>
      <c r="OAJ32" s="109"/>
      <c r="OAK32" s="109"/>
      <c r="OAL32" s="109"/>
      <c r="OAM32" s="109"/>
      <c r="OAN32" s="109"/>
      <c r="OAO32" s="109"/>
      <c r="OAP32" s="109"/>
      <c r="OAQ32" s="109"/>
      <c r="OAR32" s="109"/>
      <c r="OAS32" s="109"/>
      <c r="OAT32" s="109"/>
      <c r="OAU32" s="109"/>
      <c r="OAV32" s="109"/>
      <c r="OAW32" s="109"/>
      <c r="OAX32" s="109"/>
      <c r="OAY32" s="109"/>
      <c r="OAZ32" s="109"/>
      <c r="OBA32" s="109"/>
      <c r="OBB32" s="109"/>
      <c r="OBC32" s="109"/>
      <c r="OBD32" s="109"/>
      <c r="OBE32" s="109"/>
      <c r="OBF32" s="109"/>
      <c r="OBG32" s="109"/>
      <c r="OBH32" s="109"/>
      <c r="OBI32" s="109"/>
      <c r="OBJ32" s="109"/>
      <c r="OBK32" s="109"/>
      <c r="OBL32" s="109"/>
      <c r="OBM32" s="109"/>
      <c r="OBN32" s="109"/>
      <c r="OBO32" s="109"/>
      <c r="OBP32" s="109"/>
      <c r="OBQ32" s="109"/>
      <c r="OBR32" s="109"/>
      <c r="OBS32" s="109"/>
      <c r="OBT32" s="109"/>
      <c r="OBU32" s="109"/>
      <c r="OBV32" s="109"/>
      <c r="OBW32" s="109"/>
      <c r="OBX32" s="109"/>
      <c r="OBY32" s="109"/>
      <c r="OBZ32" s="109"/>
      <c r="OCA32" s="109"/>
      <c r="OCB32" s="109"/>
      <c r="OCC32" s="109"/>
      <c r="OCD32" s="109"/>
      <c r="OCE32" s="109"/>
      <c r="OCF32" s="109"/>
      <c r="OCG32" s="109"/>
      <c r="OCH32" s="109"/>
      <c r="OCI32" s="109"/>
      <c r="OCJ32" s="109"/>
      <c r="OCK32" s="109"/>
      <c r="OCL32" s="109"/>
      <c r="OCM32" s="109"/>
      <c r="OCN32" s="109"/>
      <c r="OCO32" s="109"/>
      <c r="OCP32" s="109"/>
      <c r="OCQ32" s="109"/>
      <c r="OCR32" s="109"/>
      <c r="OCS32" s="109"/>
      <c r="OCT32" s="109"/>
      <c r="OCU32" s="109"/>
      <c r="OCV32" s="109"/>
      <c r="OCW32" s="109"/>
      <c r="OCX32" s="109"/>
      <c r="OCY32" s="109"/>
      <c r="OCZ32" s="109"/>
      <c r="ODA32" s="109"/>
      <c r="ODB32" s="109"/>
      <c r="ODC32" s="109"/>
      <c r="ODD32" s="109"/>
      <c r="ODE32" s="109"/>
      <c r="ODF32" s="109"/>
      <c r="ODG32" s="109"/>
      <c r="ODH32" s="109"/>
      <c r="ODI32" s="109"/>
      <c r="ODJ32" s="109"/>
      <c r="ODK32" s="109"/>
      <c r="ODL32" s="109"/>
      <c r="ODM32" s="109"/>
      <c r="ODN32" s="109"/>
      <c r="ODO32" s="109"/>
      <c r="ODP32" s="109"/>
      <c r="ODQ32" s="109"/>
      <c r="ODR32" s="109"/>
      <c r="ODS32" s="109"/>
      <c r="ODT32" s="109"/>
      <c r="ODU32" s="109"/>
      <c r="ODV32" s="109"/>
      <c r="ODW32" s="109"/>
      <c r="ODX32" s="109"/>
      <c r="ODY32" s="109"/>
      <c r="ODZ32" s="109"/>
      <c r="OEA32" s="109"/>
      <c r="OEB32" s="109"/>
      <c r="OEC32" s="109"/>
      <c r="OED32" s="109"/>
      <c r="OEE32" s="109"/>
      <c r="OEF32" s="109"/>
      <c r="OEG32" s="109"/>
      <c r="OEH32" s="109"/>
      <c r="OEI32" s="109"/>
      <c r="OEJ32" s="109"/>
      <c r="OEK32" s="109"/>
      <c r="OEL32" s="109"/>
      <c r="OEM32" s="109"/>
      <c r="OEN32" s="109"/>
      <c r="OEO32" s="109"/>
      <c r="OEP32" s="109"/>
      <c r="OEQ32" s="109"/>
      <c r="OER32" s="109"/>
      <c r="OES32" s="109"/>
      <c r="OET32" s="109"/>
      <c r="OEU32" s="109"/>
      <c r="OEV32" s="109"/>
      <c r="OEW32" s="109"/>
      <c r="OEX32" s="109"/>
      <c r="OEY32" s="109"/>
      <c r="OEZ32" s="109"/>
      <c r="OFA32" s="109"/>
      <c r="OFB32" s="109"/>
      <c r="OFC32" s="109"/>
      <c r="OFD32" s="109"/>
      <c r="OFE32" s="109"/>
      <c r="OFF32" s="109"/>
      <c r="OFG32" s="109"/>
      <c r="OFH32" s="109"/>
      <c r="OFI32" s="109"/>
      <c r="OFJ32" s="109"/>
      <c r="OFK32" s="109"/>
      <c r="OFL32" s="109"/>
      <c r="OFM32" s="109"/>
      <c r="OFN32" s="109"/>
      <c r="OFO32" s="109"/>
      <c r="OFP32" s="109"/>
      <c r="OFQ32" s="109"/>
      <c r="OFR32" s="109"/>
      <c r="OFS32" s="109"/>
      <c r="OFT32" s="109"/>
      <c r="OFU32" s="109"/>
      <c r="OFV32" s="109"/>
      <c r="OFW32" s="109"/>
      <c r="OFX32" s="109"/>
      <c r="OFY32" s="109"/>
      <c r="OFZ32" s="109"/>
      <c r="OGA32" s="109"/>
      <c r="OGB32" s="109"/>
      <c r="OGC32" s="109"/>
      <c r="OGD32" s="109"/>
      <c r="OGE32" s="109"/>
      <c r="OGF32" s="109"/>
      <c r="OGG32" s="109"/>
      <c r="OGH32" s="109"/>
      <c r="OGI32" s="109"/>
      <c r="OGJ32" s="109"/>
      <c r="OGK32" s="109"/>
      <c r="OGL32" s="109"/>
      <c r="OGM32" s="109"/>
      <c r="OGN32" s="109"/>
      <c r="OGO32" s="109"/>
      <c r="OGP32" s="109"/>
      <c r="OGQ32" s="109"/>
      <c r="OGR32" s="109"/>
      <c r="OGS32" s="109"/>
      <c r="OGT32" s="109"/>
      <c r="OGU32" s="109"/>
      <c r="OGV32" s="109"/>
      <c r="OGW32" s="109"/>
      <c r="OGX32" s="109"/>
      <c r="OGY32" s="109"/>
      <c r="OGZ32" s="109"/>
      <c r="OHA32" s="109"/>
      <c r="OHB32" s="109"/>
      <c r="OHC32" s="109"/>
      <c r="OHD32" s="109"/>
      <c r="OHE32" s="109"/>
      <c r="OHF32" s="109"/>
      <c r="OHG32" s="109"/>
      <c r="OHH32" s="109"/>
      <c r="OHI32" s="109"/>
      <c r="OHJ32" s="109"/>
      <c r="OHK32" s="109"/>
      <c r="OHL32" s="109"/>
      <c r="OHM32" s="109"/>
      <c r="OHN32" s="109"/>
      <c r="OHO32" s="109"/>
      <c r="OHP32" s="109"/>
      <c r="OHQ32" s="109"/>
      <c r="OHR32" s="109"/>
      <c r="OHS32" s="109"/>
      <c r="OHT32" s="109"/>
      <c r="OHU32" s="109"/>
      <c r="OHV32" s="109"/>
      <c r="OHW32" s="109"/>
      <c r="OHX32" s="109"/>
      <c r="OHY32" s="109"/>
      <c r="OHZ32" s="109"/>
      <c r="OIA32" s="109"/>
      <c r="OIB32" s="109"/>
      <c r="OIC32" s="109"/>
      <c r="OID32" s="109"/>
      <c r="OIE32" s="109"/>
      <c r="OIF32" s="109"/>
      <c r="OIG32" s="109"/>
      <c r="OIH32" s="109"/>
      <c r="OII32" s="109"/>
      <c r="OIJ32" s="109"/>
      <c r="OIK32" s="109"/>
      <c r="OIL32" s="109"/>
      <c r="OIM32" s="109"/>
      <c r="OIN32" s="109"/>
      <c r="OIO32" s="109"/>
      <c r="OIP32" s="109"/>
      <c r="OIQ32" s="109"/>
      <c r="OIR32" s="109"/>
      <c r="OIS32" s="109"/>
      <c r="OIT32" s="109"/>
      <c r="OIU32" s="109"/>
      <c r="OIV32" s="109"/>
      <c r="OIW32" s="109"/>
      <c r="OIX32" s="109"/>
      <c r="OIY32" s="109"/>
      <c r="OIZ32" s="109"/>
      <c r="OJA32" s="109"/>
      <c r="OJB32" s="109"/>
      <c r="OJC32" s="109"/>
      <c r="OJD32" s="109"/>
      <c r="OJE32" s="109"/>
      <c r="OJF32" s="109"/>
      <c r="OJG32" s="109"/>
      <c r="OJH32" s="109"/>
      <c r="OJI32" s="109"/>
      <c r="OJJ32" s="109"/>
      <c r="OJK32" s="109"/>
      <c r="OJL32" s="109"/>
      <c r="OJM32" s="109"/>
      <c r="OJN32" s="109"/>
      <c r="OJO32" s="109"/>
      <c r="OJP32" s="109"/>
      <c r="OJQ32" s="109"/>
      <c r="OJR32" s="109"/>
      <c r="OJS32" s="109"/>
      <c r="OJT32" s="109"/>
      <c r="OJU32" s="109"/>
      <c r="OJV32" s="109"/>
      <c r="OJW32" s="109"/>
      <c r="OJX32" s="109"/>
      <c r="OJY32" s="109"/>
      <c r="OJZ32" s="109"/>
      <c r="OKA32" s="109"/>
      <c r="OKB32" s="109"/>
      <c r="OKC32" s="109"/>
      <c r="OKD32" s="109"/>
      <c r="OKE32" s="109"/>
      <c r="OKF32" s="109"/>
      <c r="OKG32" s="109"/>
      <c r="OKH32" s="109"/>
      <c r="OKI32" s="109"/>
      <c r="OKJ32" s="109"/>
      <c r="OKK32" s="109"/>
      <c r="OKL32" s="109"/>
      <c r="OKM32" s="109"/>
      <c r="OKN32" s="109"/>
      <c r="OKO32" s="109"/>
      <c r="OKP32" s="109"/>
      <c r="OKQ32" s="109"/>
      <c r="OKR32" s="109"/>
      <c r="OKS32" s="109"/>
      <c r="OKT32" s="109"/>
      <c r="OKU32" s="109"/>
      <c r="OKV32" s="109"/>
      <c r="OKW32" s="109"/>
      <c r="OKX32" s="109"/>
      <c r="OKY32" s="109"/>
      <c r="OKZ32" s="109"/>
      <c r="OLA32" s="109"/>
      <c r="OLB32" s="109"/>
      <c r="OLC32" s="109"/>
      <c r="OLD32" s="109"/>
      <c r="OLE32" s="109"/>
      <c r="OLF32" s="109"/>
      <c r="OLG32" s="109"/>
      <c r="OLH32" s="109"/>
      <c r="OLI32" s="109"/>
      <c r="OLJ32" s="109"/>
      <c r="OLK32" s="109"/>
      <c r="OLL32" s="109"/>
      <c r="OLM32" s="109"/>
      <c r="OLN32" s="109"/>
      <c r="OLO32" s="109"/>
      <c r="OLP32" s="109"/>
      <c r="OLQ32" s="109"/>
      <c r="OLR32" s="109"/>
      <c r="OLS32" s="109"/>
      <c r="OLT32" s="109"/>
      <c r="OLU32" s="109"/>
      <c r="OLV32" s="109"/>
      <c r="OLW32" s="109"/>
      <c r="OLX32" s="109"/>
      <c r="OLY32" s="109"/>
      <c r="OLZ32" s="109"/>
      <c r="OMA32" s="109"/>
      <c r="OMB32" s="109"/>
      <c r="OMC32" s="109"/>
      <c r="OMD32" s="109"/>
      <c r="OME32" s="109"/>
      <c r="OMF32" s="109"/>
      <c r="OMG32" s="109"/>
      <c r="OMH32" s="109"/>
      <c r="OMI32" s="109"/>
      <c r="OMJ32" s="109"/>
      <c r="OMK32" s="109"/>
      <c r="OML32" s="109"/>
      <c r="OMM32" s="109"/>
      <c r="OMN32" s="109"/>
      <c r="OMO32" s="109"/>
      <c r="OMP32" s="109"/>
      <c r="OMQ32" s="109"/>
      <c r="OMR32" s="109"/>
      <c r="OMS32" s="109"/>
      <c r="OMT32" s="109"/>
      <c r="OMU32" s="109"/>
      <c r="OMV32" s="109"/>
      <c r="OMW32" s="109"/>
      <c r="OMX32" s="109"/>
      <c r="OMY32" s="109"/>
      <c r="OMZ32" s="109"/>
      <c r="ONA32" s="109"/>
      <c r="ONB32" s="109"/>
      <c r="ONC32" s="109"/>
      <c r="OND32" s="109"/>
      <c r="ONE32" s="109"/>
      <c r="ONF32" s="109"/>
      <c r="ONG32" s="109"/>
      <c r="ONH32" s="109"/>
      <c r="ONI32" s="109"/>
      <c r="ONJ32" s="109"/>
      <c r="ONK32" s="109"/>
      <c r="ONL32" s="109"/>
      <c r="ONM32" s="109"/>
      <c r="ONN32" s="109"/>
      <c r="ONO32" s="109"/>
      <c r="ONP32" s="109"/>
      <c r="ONQ32" s="109"/>
      <c r="ONR32" s="109"/>
      <c r="ONS32" s="109"/>
      <c r="ONT32" s="109"/>
      <c r="ONU32" s="109"/>
      <c r="ONV32" s="109"/>
      <c r="ONW32" s="109"/>
      <c r="ONX32" s="109"/>
      <c r="ONY32" s="109"/>
      <c r="ONZ32" s="109"/>
      <c r="OOA32" s="109"/>
      <c r="OOB32" s="109"/>
      <c r="OOC32" s="109"/>
      <c r="OOD32" s="109"/>
      <c r="OOE32" s="109"/>
      <c r="OOF32" s="109"/>
      <c r="OOG32" s="109"/>
      <c r="OOH32" s="109"/>
      <c r="OOI32" s="109"/>
      <c r="OOJ32" s="109"/>
      <c r="OOK32" s="109"/>
      <c r="OOL32" s="109"/>
      <c r="OOM32" s="109"/>
      <c r="OON32" s="109"/>
      <c r="OOO32" s="109"/>
      <c r="OOP32" s="109"/>
      <c r="OOQ32" s="109"/>
      <c r="OOR32" s="109"/>
      <c r="OOS32" s="109"/>
      <c r="OOT32" s="109"/>
      <c r="OOU32" s="109"/>
      <c r="OOV32" s="109"/>
      <c r="OOW32" s="109"/>
      <c r="OOX32" s="109"/>
      <c r="OOY32" s="109"/>
      <c r="OOZ32" s="109"/>
      <c r="OPA32" s="109"/>
      <c r="OPB32" s="109"/>
      <c r="OPC32" s="109"/>
      <c r="OPD32" s="109"/>
      <c r="OPE32" s="109"/>
      <c r="OPF32" s="109"/>
      <c r="OPG32" s="109"/>
      <c r="OPH32" s="109"/>
      <c r="OPI32" s="109"/>
      <c r="OPJ32" s="109"/>
      <c r="OPK32" s="109"/>
      <c r="OPL32" s="109"/>
      <c r="OPM32" s="109"/>
      <c r="OPN32" s="109"/>
      <c r="OPO32" s="109"/>
      <c r="OPP32" s="109"/>
      <c r="OPQ32" s="109"/>
      <c r="OPR32" s="109"/>
      <c r="OPS32" s="109"/>
      <c r="OPT32" s="109"/>
      <c r="OPU32" s="109"/>
      <c r="OPV32" s="109"/>
      <c r="OPW32" s="109"/>
      <c r="OPX32" s="109"/>
      <c r="OPY32" s="109"/>
      <c r="OPZ32" s="109"/>
      <c r="OQA32" s="109"/>
      <c r="OQB32" s="109"/>
      <c r="OQC32" s="109"/>
      <c r="OQD32" s="109"/>
      <c r="OQE32" s="109"/>
      <c r="OQF32" s="109"/>
      <c r="OQG32" s="109"/>
      <c r="OQH32" s="109"/>
      <c r="OQI32" s="109"/>
      <c r="OQJ32" s="109"/>
      <c r="OQK32" s="109"/>
      <c r="OQL32" s="109"/>
      <c r="OQM32" s="109"/>
      <c r="OQN32" s="109"/>
      <c r="OQO32" s="109"/>
      <c r="OQP32" s="109"/>
      <c r="OQQ32" s="109"/>
      <c r="OQR32" s="109"/>
      <c r="OQS32" s="109"/>
      <c r="OQT32" s="109"/>
      <c r="OQU32" s="109"/>
      <c r="OQV32" s="109"/>
      <c r="OQW32" s="109"/>
      <c r="OQX32" s="109"/>
      <c r="OQY32" s="109"/>
      <c r="OQZ32" s="109"/>
      <c r="ORA32" s="109"/>
      <c r="ORB32" s="109"/>
      <c r="ORC32" s="109"/>
      <c r="ORD32" s="109"/>
      <c r="ORE32" s="109"/>
      <c r="ORF32" s="109"/>
      <c r="ORG32" s="109"/>
      <c r="ORH32" s="109"/>
      <c r="ORI32" s="109"/>
      <c r="ORJ32" s="109"/>
      <c r="ORK32" s="109"/>
      <c r="ORL32" s="109"/>
      <c r="ORM32" s="109"/>
      <c r="ORN32" s="109"/>
      <c r="ORO32" s="109"/>
      <c r="ORP32" s="109"/>
      <c r="ORQ32" s="109"/>
      <c r="ORR32" s="109"/>
      <c r="ORS32" s="109"/>
      <c r="ORT32" s="109"/>
      <c r="ORU32" s="109"/>
      <c r="ORV32" s="109"/>
      <c r="ORW32" s="109"/>
      <c r="ORX32" s="109"/>
      <c r="ORY32" s="109"/>
      <c r="ORZ32" s="109"/>
      <c r="OSA32" s="109"/>
      <c r="OSB32" s="109"/>
      <c r="OSC32" s="109"/>
      <c r="OSD32" s="109"/>
      <c r="OSE32" s="109"/>
      <c r="OSF32" s="109"/>
      <c r="OSG32" s="109"/>
      <c r="OSH32" s="109"/>
      <c r="OSI32" s="109"/>
      <c r="OSJ32" s="109"/>
      <c r="OSK32" s="109"/>
      <c r="OSL32" s="109"/>
      <c r="OSM32" s="109"/>
      <c r="OSN32" s="109"/>
      <c r="OSO32" s="109"/>
      <c r="OSP32" s="109"/>
      <c r="OSQ32" s="109"/>
      <c r="OSR32" s="109"/>
      <c r="OSS32" s="109"/>
      <c r="OST32" s="109"/>
      <c r="OSU32" s="109"/>
      <c r="OSV32" s="109"/>
      <c r="OSW32" s="109"/>
      <c r="OSX32" s="109"/>
      <c r="OSY32" s="109"/>
      <c r="OSZ32" s="109"/>
      <c r="OTA32" s="109"/>
      <c r="OTB32" s="109"/>
      <c r="OTC32" s="109"/>
      <c r="OTD32" s="109"/>
      <c r="OTE32" s="109"/>
      <c r="OTF32" s="109"/>
      <c r="OTG32" s="109"/>
      <c r="OTH32" s="109"/>
      <c r="OTI32" s="109"/>
      <c r="OTJ32" s="109"/>
      <c r="OTK32" s="109"/>
      <c r="OTL32" s="109"/>
      <c r="OTM32" s="109"/>
      <c r="OTN32" s="109"/>
      <c r="OTO32" s="109"/>
      <c r="OTP32" s="109"/>
      <c r="OTQ32" s="109"/>
      <c r="OTR32" s="109"/>
      <c r="OTS32" s="109"/>
      <c r="OTT32" s="109"/>
      <c r="OTU32" s="109"/>
      <c r="OTV32" s="109"/>
      <c r="OTW32" s="109"/>
      <c r="OTX32" s="109"/>
      <c r="OTY32" s="109"/>
      <c r="OTZ32" s="109"/>
      <c r="OUA32" s="109"/>
      <c r="OUB32" s="109"/>
      <c r="OUC32" s="109"/>
      <c r="OUD32" s="109"/>
      <c r="OUE32" s="109"/>
      <c r="OUF32" s="109"/>
      <c r="OUG32" s="109"/>
      <c r="OUH32" s="109"/>
      <c r="OUI32" s="109"/>
      <c r="OUJ32" s="109"/>
      <c r="OUK32" s="109"/>
      <c r="OUL32" s="109"/>
      <c r="OUM32" s="109"/>
      <c r="OUN32" s="109"/>
      <c r="OUO32" s="109"/>
      <c r="OUP32" s="109"/>
      <c r="OUQ32" s="109"/>
      <c r="OUR32" s="109"/>
      <c r="OUS32" s="109"/>
      <c r="OUT32" s="109"/>
      <c r="OUU32" s="109"/>
      <c r="OUV32" s="109"/>
      <c r="OUW32" s="109"/>
      <c r="OUX32" s="109"/>
      <c r="OUY32" s="109"/>
      <c r="OUZ32" s="109"/>
      <c r="OVA32" s="109"/>
      <c r="OVB32" s="109"/>
      <c r="OVC32" s="109"/>
      <c r="OVD32" s="109"/>
      <c r="OVE32" s="109"/>
      <c r="OVF32" s="109"/>
      <c r="OVG32" s="109"/>
      <c r="OVH32" s="109"/>
      <c r="OVI32" s="109"/>
      <c r="OVJ32" s="109"/>
      <c r="OVK32" s="109"/>
      <c r="OVL32" s="109"/>
      <c r="OVM32" s="109"/>
      <c r="OVN32" s="109"/>
      <c r="OVO32" s="109"/>
      <c r="OVP32" s="109"/>
      <c r="OVQ32" s="109"/>
      <c r="OVR32" s="109"/>
      <c r="OVS32" s="109"/>
      <c r="OVT32" s="109"/>
      <c r="OVU32" s="109"/>
      <c r="OVV32" s="109"/>
      <c r="OVW32" s="109"/>
      <c r="OVX32" s="109"/>
      <c r="OVY32" s="109"/>
      <c r="OVZ32" s="109"/>
      <c r="OWA32" s="109"/>
      <c r="OWB32" s="109"/>
      <c r="OWC32" s="109"/>
      <c r="OWD32" s="109"/>
      <c r="OWE32" s="109"/>
      <c r="OWF32" s="109"/>
      <c r="OWG32" s="109"/>
      <c r="OWH32" s="109"/>
      <c r="OWI32" s="109"/>
      <c r="OWJ32" s="109"/>
      <c r="OWK32" s="109"/>
      <c r="OWL32" s="109"/>
      <c r="OWM32" s="109"/>
      <c r="OWN32" s="109"/>
      <c r="OWO32" s="109"/>
      <c r="OWP32" s="109"/>
      <c r="OWQ32" s="109"/>
      <c r="OWR32" s="109"/>
      <c r="OWS32" s="109"/>
      <c r="OWT32" s="109"/>
      <c r="OWU32" s="109"/>
      <c r="OWV32" s="109"/>
      <c r="OWW32" s="109"/>
      <c r="OWX32" s="109"/>
      <c r="OWY32" s="109"/>
      <c r="OWZ32" s="109"/>
      <c r="OXA32" s="109"/>
      <c r="OXB32" s="109"/>
      <c r="OXC32" s="109"/>
      <c r="OXD32" s="109"/>
      <c r="OXE32" s="109"/>
      <c r="OXF32" s="109"/>
      <c r="OXG32" s="109"/>
      <c r="OXH32" s="109"/>
      <c r="OXI32" s="109"/>
      <c r="OXJ32" s="109"/>
      <c r="OXK32" s="109"/>
      <c r="OXL32" s="109"/>
      <c r="OXM32" s="109"/>
      <c r="OXN32" s="109"/>
      <c r="OXO32" s="109"/>
      <c r="OXP32" s="109"/>
      <c r="OXQ32" s="109"/>
      <c r="OXR32" s="109"/>
      <c r="OXS32" s="109"/>
      <c r="OXT32" s="109"/>
      <c r="OXU32" s="109"/>
      <c r="OXV32" s="109"/>
      <c r="OXW32" s="109"/>
      <c r="OXX32" s="109"/>
      <c r="OXY32" s="109"/>
      <c r="OXZ32" s="109"/>
      <c r="OYA32" s="109"/>
      <c r="OYB32" s="109"/>
      <c r="OYC32" s="109"/>
      <c r="OYD32" s="109"/>
      <c r="OYE32" s="109"/>
      <c r="OYF32" s="109"/>
      <c r="OYG32" s="109"/>
      <c r="OYH32" s="109"/>
      <c r="OYI32" s="109"/>
      <c r="OYJ32" s="109"/>
      <c r="OYK32" s="109"/>
      <c r="OYL32" s="109"/>
      <c r="OYM32" s="109"/>
      <c r="OYN32" s="109"/>
      <c r="OYO32" s="109"/>
      <c r="OYP32" s="109"/>
      <c r="OYQ32" s="109"/>
      <c r="OYR32" s="109"/>
      <c r="OYS32" s="109"/>
      <c r="OYT32" s="109"/>
      <c r="OYU32" s="109"/>
      <c r="OYV32" s="109"/>
      <c r="OYW32" s="109"/>
      <c r="OYX32" s="109"/>
      <c r="OYY32" s="109"/>
      <c r="OYZ32" s="109"/>
      <c r="OZA32" s="109"/>
      <c r="OZB32" s="109"/>
      <c r="OZC32" s="109"/>
      <c r="OZD32" s="109"/>
      <c r="OZE32" s="109"/>
      <c r="OZF32" s="109"/>
      <c r="OZG32" s="109"/>
      <c r="OZH32" s="109"/>
      <c r="OZI32" s="109"/>
      <c r="OZJ32" s="109"/>
      <c r="OZK32" s="109"/>
      <c r="OZL32" s="109"/>
      <c r="OZM32" s="109"/>
      <c r="OZN32" s="109"/>
      <c r="OZO32" s="109"/>
      <c r="OZP32" s="109"/>
      <c r="OZQ32" s="109"/>
      <c r="OZR32" s="109"/>
      <c r="OZS32" s="109"/>
      <c r="OZT32" s="109"/>
      <c r="OZU32" s="109"/>
      <c r="OZV32" s="109"/>
      <c r="OZW32" s="109"/>
      <c r="OZX32" s="109"/>
      <c r="OZY32" s="109"/>
      <c r="OZZ32" s="109"/>
      <c r="PAA32" s="109"/>
      <c r="PAB32" s="109"/>
      <c r="PAC32" s="109"/>
      <c r="PAD32" s="109"/>
      <c r="PAE32" s="109"/>
      <c r="PAF32" s="109"/>
      <c r="PAG32" s="109"/>
      <c r="PAH32" s="109"/>
      <c r="PAI32" s="109"/>
      <c r="PAJ32" s="109"/>
      <c r="PAK32" s="109"/>
      <c r="PAL32" s="109"/>
      <c r="PAM32" s="109"/>
      <c r="PAN32" s="109"/>
      <c r="PAO32" s="109"/>
      <c r="PAP32" s="109"/>
      <c r="PAQ32" s="109"/>
      <c r="PAR32" s="109"/>
      <c r="PAS32" s="109"/>
      <c r="PAT32" s="109"/>
      <c r="PAU32" s="109"/>
      <c r="PAV32" s="109"/>
      <c r="PAW32" s="109"/>
      <c r="PAX32" s="109"/>
      <c r="PAY32" s="109"/>
      <c r="PAZ32" s="109"/>
      <c r="PBA32" s="109"/>
      <c r="PBB32" s="109"/>
      <c r="PBC32" s="109"/>
      <c r="PBD32" s="109"/>
      <c r="PBE32" s="109"/>
      <c r="PBF32" s="109"/>
      <c r="PBG32" s="109"/>
      <c r="PBH32" s="109"/>
      <c r="PBI32" s="109"/>
      <c r="PBJ32" s="109"/>
      <c r="PBK32" s="109"/>
      <c r="PBL32" s="109"/>
      <c r="PBM32" s="109"/>
      <c r="PBN32" s="109"/>
      <c r="PBO32" s="109"/>
      <c r="PBP32" s="109"/>
      <c r="PBQ32" s="109"/>
      <c r="PBR32" s="109"/>
      <c r="PBS32" s="109"/>
      <c r="PBT32" s="109"/>
      <c r="PBU32" s="109"/>
      <c r="PBV32" s="109"/>
      <c r="PBW32" s="109"/>
      <c r="PBX32" s="109"/>
      <c r="PBY32" s="109"/>
      <c r="PBZ32" s="109"/>
      <c r="PCA32" s="109"/>
      <c r="PCB32" s="109"/>
      <c r="PCC32" s="109"/>
      <c r="PCD32" s="109"/>
      <c r="PCE32" s="109"/>
      <c r="PCF32" s="109"/>
      <c r="PCG32" s="109"/>
      <c r="PCH32" s="109"/>
      <c r="PCI32" s="109"/>
      <c r="PCJ32" s="109"/>
      <c r="PCK32" s="109"/>
      <c r="PCL32" s="109"/>
      <c r="PCM32" s="109"/>
      <c r="PCN32" s="109"/>
      <c r="PCO32" s="109"/>
      <c r="PCP32" s="109"/>
      <c r="PCQ32" s="109"/>
      <c r="PCR32" s="109"/>
      <c r="PCS32" s="109"/>
      <c r="PCT32" s="109"/>
      <c r="PCU32" s="109"/>
      <c r="PCV32" s="109"/>
      <c r="PCW32" s="109"/>
      <c r="PCX32" s="109"/>
      <c r="PCY32" s="109"/>
      <c r="PCZ32" s="109"/>
      <c r="PDA32" s="109"/>
      <c r="PDB32" s="109"/>
      <c r="PDC32" s="109"/>
      <c r="PDD32" s="109"/>
      <c r="PDE32" s="109"/>
      <c r="PDF32" s="109"/>
      <c r="PDG32" s="109"/>
      <c r="PDH32" s="109"/>
      <c r="PDI32" s="109"/>
      <c r="PDJ32" s="109"/>
      <c r="PDK32" s="109"/>
      <c r="PDL32" s="109"/>
      <c r="PDM32" s="109"/>
      <c r="PDN32" s="109"/>
      <c r="PDO32" s="109"/>
      <c r="PDP32" s="109"/>
      <c r="PDQ32" s="109"/>
      <c r="PDR32" s="109"/>
      <c r="PDS32" s="109"/>
      <c r="PDT32" s="109"/>
      <c r="PDU32" s="109"/>
      <c r="PDV32" s="109"/>
      <c r="PDW32" s="109"/>
      <c r="PDX32" s="109"/>
      <c r="PDY32" s="109"/>
      <c r="PDZ32" s="109"/>
      <c r="PEA32" s="109"/>
      <c r="PEB32" s="109"/>
      <c r="PEC32" s="109"/>
      <c r="PED32" s="109"/>
      <c r="PEE32" s="109"/>
      <c r="PEF32" s="109"/>
      <c r="PEG32" s="109"/>
      <c r="PEH32" s="109"/>
      <c r="PEI32" s="109"/>
      <c r="PEJ32" s="109"/>
      <c r="PEK32" s="109"/>
      <c r="PEL32" s="109"/>
      <c r="PEM32" s="109"/>
      <c r="PEN32" s="109"/>
      <c r="PEO32" s="109"/>
      <c r="PEP32" s="109"/>
      <c r="PEQ32" s="109"/>
      <c r="PER32" s="109"/>
      <c r="PES32" s="109"/>
      <c r="PET32" s="109"/>
      <c r="PEU32" s="109"/>
      <c r="PEV32" s="109"/>
      <c r="PEW32" s="109"/>
      <c r="PEX32" s="109"/>
      <c r="PEY32" s="109"/>
      <c r="PEZ32" s="109"/>
      <c r="PFA32" s="109"/>
      <c r="PFB32" s="109"/>
      <c r="PFC32" s="109"/>
      <c r="PFD32" s="109"/>
      <c r="PFE32" s="109"/>
      <c r="PFF32" s="109"/>
      <c r="PFG32" s="109"/>
      <c r="PFH32" s="109"/>
      <c r="PFI32" s="109"/>
      <c r="PFJ32" s="109"/>
      <c r="PFK32" s="109"/>
      <c r="PFL32" s="109"/>
      <c r="PFM32" s="109"/>
      <c r="PFN32" s="109"/>
      <c r="PFO32" s="109"/>
      <c r="PFP32" s="109"/>
      <c r="PFQ32" s="109"/>
      <c r="PFR32" s="109"/>
      <c r="PFS32" s="109"/>
      <c r="PFT32" s="109"/>
      <c r="PFU32" s="109"/>
      <c r="PFV32" s="109"/>
      <c r="PFW32" s="109"/>
      <c r="PFX32" s="109"/>
      <c r="PFY32" s="109"/>
      <c r="PFZ32" s="109"/>
      <c r="PGA32" s="109"/>
      <c r="PGB32" s="109"/>
      <c r="PGC32" s="109"/>
      <c r="PGD32" s="109"/>
      <c r="PGE32" s="109"/>
      <c r="PGF32" s="109"/>
      <c r="PGG32" s="109"/>
      <c r="PGH32" s="109"/>
      <c r="PGI32" s="109"/>
      <c r="PGJ32" s="109"/>
      <c r="PGK32" s="109"/>
      <c r="PGL32" s="109"/>
      <c r="PGM32" s="109"/>
      <c r="PGN32" s="109"/>
      <c r="PGO32" s="109"/>
      <c r="PGP32" s="109"/>
      <c r="PGQ32" s="109"/>
      <c r="PGR32" s="109"/>
      <c r="PGS32" s="109"/>
      <c r="PGT32" s="109"/>
      <c r="PGU32" s="109"/>
      <c r="PGV32" s="109"/>
      <c r="PGW32" s="109"/>
      <c r="PGX32" s="109"/>
      <c r="PGY32" s="109"/>
      <c r="PGZ32" s="109"/>
      <c r="PHA32" s="109"/>
      <c r="PHB32" s="109"/>
      <c r="PHC32" s="109"/>
      <c r="PHD32" s="109"/>
      <c r="PHE32" s="109"/>
      <c r="PHF32" s="109"/>
      <c r="PHG32" s="109"/>
      <c r="PHH32" s="109"/>
      <c r="PHI32" s="109"/>
      <c r="PHJ32" s="109"/>
      <c r="PHK32" s="109"/>
      <c r="PHL32" s="109"/>
      <c r="PHM32" s="109"/>
      <c r="PHN32" s="109"/>
      <c r="PHO32" s="109"/>
      <c r="PHP32" s="109"/>
      <c r="PHQ32" s="109"/>
      <c r="PHR32" s="109"/>
      <c r="PHS32" s="109"/>
      <c r="PHT32" s="109"/>
      <c r="PHU32" s="109"/>
      <c r="PHV32" s="109"/>
      <c r="PHW32" s="109"/>
      <c r="PHX32" s="109"/>
      <c r="PHY32" s="109"/>
      <c r="PHZ32" s="109"/>
      <c r="PIA32" s="109"/>
      <c r="PIB32" s="109"/>
      <c r="PIC32" s="109"/>
      <c r="PID32" s="109"/>
      <c r="PIE32" s="109"/>
      <c r="PIF32" s="109"/>
      <c r="PIG32" s="109"/>
      <c r="PIH32" s="109"/>
      <c r="PII32" s="109"/>
      <c r="PIJ32" s="109"/>
      <c r="PIK32" s="109"/>
      <c r="PIL32" s="109"/>
      <c r="PIM32" s="109"/>
      <c r="PIN32" s="109"/>
      <c r="PIO32" s="109"/>
      <c r="PIP32" s="109"/>
      <c r="PIQ32" s="109"/>
      <c r="PIR32" s="109"/>
      <c r="PIS32" s="109"/>
      <c r="PIT32" s="109"/>
      <c r="PIU32" s="109"/>
      <c r="PIV32" s="109"/>
      <c r="PIW32" s="109"/>
      <c r="PIX32" s="109"/>
      <c r="PIY32" s="109"/>
      <c r="PIZ32" s="109"/>
      <c r="PJA32" s="109"/>
      <c r="PJB32" s="109"/>
      <c r="PJC32" s="109"/>
      <c r="PJD32" s="109"/>
      <c r="PJE32" s="109"/>
      <c r="PJF32" s="109"/>
      <c r="PJG32" s="109"/>
      <c r="PJH32" s="109"/>
      <c r="PJI32" s="109"/>
      <c r="PJJ32" s="109"/>
      <c r="PJK32" s="109"/>
      <c r="PJL32" s="109"/>
      <c r="PJM32" s="109"/>
      <c r="PJN32" s="109"/>
      <c r="PJO32" s="109"/>
      <c r="PJP32" s="109"/>
      <c r="PJQ32" s="109"/>
      <c r="PJR32" s="109"/>
      <c r="PJS32" s="109"/>
      <c r="PJT32" s="109"/>
      <c r="PJU32" s="109"/>
      <c r="PJV32" s="109"/>
      <c r="PJW32" s="109"/>
      <c r="PJX32" s="109"/>
      <c r="PJY32" s="109"/>
      <c r="PJZ32" s="109"/>
      <c r="PKA32" s="109"/>
      <c r="PKB32" s="109"/>
      <c r="PKC32" s="109"/>
      <c r="PKD32" s="109"/>
      <c r="PKE32" s="109"/>
      <c r="PKF32" s="109"/>
      <c r="PKG32" s="109"/>
      <c r="PKH32" s="109"/>
      <c r="PKI32" s="109"/>
      <c r="PKJ32" s="109"/>
      <c r="PKK32" s="109"/>
      <c r="PKL32" s="109"/>
      <c r="PKM32" s="109"/>
      <c r="PKN32" s="109"/>
      <c r="PKO32" s="109"/>
      <c r="PKP32" s="109"/>
      <c r="PKQ32" s="109"/>
      <c r="PKR32" s="109"/>
      <c r="PKS32" s="109"/>
      <c r="PKT32" s="109"/>
      <c r="PKU32" s="109"/>
      <c r="PKV32" s="109"/>
      <c r="PKW32" s="109"/>
      <c r="PKX32" s="109"/>
      <c r="PKY32" s="109"/>
      <c r="PKZ32" s="109"/>
      <c r="PLA32" s="109"/>
      <c r="PLB32" s="109"/>
      <c r="PLC32" s="109"/>
      <c r="PLD32" s="109"/>
      <c r="PLE32" s="109"/>
      <c r="PLF32" s="109"/>
      <c r="PLG32" s="109"/>
      <c r="PLH32" s="109"/>
      <c r="PLI32" s="109"/>
      <c r="PLJ32" s="109"/>
      <c r="PLK32" s="109"/>
      <c r="PLL32" s="109"/>
      <c r="PLM32" s="109"/>
      <c r="PLN32" s="109"/>
      <c r="PLO32" s="109"/>
      <c r="PLP32" s="109"/>
      <c r="PLQ32" s="109"/>
      <c r="PLR32" s="109"/>
      <c r="PLS32" s="109"/>
      <c r="PLT32" s="109"/>
      <c r="PLU32" s="109"/>
      <c r="PLV32" s="109"/>
      <c r="PLW32" s="109"/>
      <c r="PLX32" s="109"/>
      <c r="PLY32" s="109"/>
      <c r="PLZ32" s="109"/>
      <c r="PMA32" s="109"/>
      <c r="PMB32" s="109"/>
      <c r="PMC32" s="109"/>
      <c r="PMD32" s="109"/>
      <c r="PME32" s="109"/>
      <c r="PMF32" s="109"/>
      <c r="PMG32" s="109"/>
      <c r="PMH32" s="109"/>
      <c r="PMI32" s="109"/>
      <c r="PMJ32" s="109"/>
      <c r="PMK32" s="109"/>
      <c r="PML32" s="109"/>
      <c r="PMM32" s="109"/>
      <c r="PMN32" s="109"/>
      <c r="PMO32" s="109"/>
      <c r="PMP32" s="109"/>
      <c r="PMQ32" s="109"/>
      <c r="PMR32" s="109"/>
      <c r="PMS32" s="109"/>
      <c r="PMT32" s="109"/>
      <c r="PMU32" s="109"/>
      <c r="PMV32" s="109"/>
      <c r="PMW32" s="109"/>
      <c r="PMX32" s="109"/>
      <c r="PMY32" s="109"/>
      <c r="PMZ32" s="109"/>
      <c r="PNA32" s="109"/>
      <c r="PNB32" s="109"/>
      <c r="PNC32" s="109"/>
      <c r="PND32" s="109"/>
      <c r="PNE32" s="109"/>
      <c r="PNF32" s="109"/>
      <c r="PNG32" s="109"/>
      <c r="PNH32" s="109"/>
      <c r="PNI32" s="109"/>
      <c r="PNJ32" s="109"/>
      <c r="PNK32" s="109"/>
      <c r="PNL32" s="109"/>
      <c r="PNM32" s="109"/>
      <c r="PNN32" s="109"/>
      <c r="PNO32" s="109"/>
      <c r="PNP32" s="109"/>
      <c r="PNQ32" s="109"/>
      <c r="PNR32" s="109"/>
      <c r="PNS32" s="109"/>
      <c r="PNT32" s="109"/>
      <c r="PNU32" s="109"/>
      <c r="PNV32" s="109"/>
      <c r="PNW32" s="109"/>
      <c r="PNX32" s="109"/>
      <c r="PNY32" s="109"/>
      <c r="PNZ32" s="109"/>
      <c r="POA32" s="109"/>
      <c r="POB32" s="109"/>
      <c r="POC32" s="109"/>
      <c r="POD32" s="109"/>
      <c r="POE32" s="109"/>
      <c r="POF32" s="109"/>
      <c r="POG32" s="109"/>
      <c r="POH32" s="109"/>
      <c r="POI32" s="109"/>
      <c r="POJ32" s="109"/>
      <c r="POK32" s="109"/>
      <c r="POL32" s="109"/>
      <c r="POM32" s="109"/>
      <c r="PON32" s="109"/>
      <c r="POO32" s="109"/>
      <c r="POP32" s="109"/>
      <c r="POQ32" s="109"/>
      <c r="POR32" s="109"/>
      <c r="POS32" s="109"/>
      <c r="POT32" s="109"/>
      <c r="POU32" s="109"/>
      <c r="POV32" s="109"/>
      <c r="POW32" s="109"/>
      <c r="POX32" s="109"/>
      <c r="POY32" s="109"/>
      <c r="POZ32" s="109"/>
      <c r="PPA32" s="109"/>
      <c r="PPB32" s="109"/>
      <c r="PPC32" s="109"/>
      <c r="PPD32" s="109"/>
      <c r="PPE32" s="109"/>
      <c r="PPF32" s="109"/>
      <c r="PPG32" s="109"/>
      <c r="PPH32" s="109"/>
      <c r="PPI32" s="109"/>
      <c r="PPJ32" s="109"/>
      <c r="PPK32" s="109"/>
      <c r="PPL32" s="109"/>
      <c r="PPM32" s="109"/>
      <c r="PPN32" s="109"/>
      <c r="PPO32" s="109"/>
      <c r="PPP32" s="109"/>
      <c r="PPQ32" s="109"/>
      <c r="PPR32" s="109"/>
      <c r="PPS32" s="109"/>
      <c r="PPT32" s="109"/>
      <c r="PPU32" s="109"/>
      <c r="PPV32" s="109"/>
      <c r="PPW32" s="109"/>
      <c r="PPX32" s="109"/>
      <c r="PPY32" s="109"/>
      <c r="PPZ32" s="109"/>
      <c r="PQA32" s="109"/>
      <c r="PQB32" s="109"/>
      <c r="PQC32" s="109"/>
      <c r="PQD32" s="109"/>
      <c r="PQE32" s="109"/>
      <c r="PQF32" s="109"/>
      <c r="PQG32" s="109"/>
      <c r="PQH32" s="109"/>
      <c r="PQI32" s="109"/>
      <c r="PQJ32" s="109"/>
      <c r="PQK32" s="109"/>
      <c r="PQL32" s="109"/>
      <c r="PQM32" s="109"/>
      <c r="PQN32" s="109"/>
      <c r="PQO32" s="109"/>
      <c r="PQP32" s="109"/>
      <c r="PQQ32" s="109"/>
      <c r="PQR32" s="109"/>
      <c r="PQS32" s="109"/>
      <c r="PQT32" s="109"/>
      <c r="PQU32" s="109"/>
      <c r="PQV32" s="109"/>
      <c r="PQW32" s="109"/>
      <c r="PQX32" s="109"/>
      <c r="PQY32" s="109"/>
      <c r="PQZ32" s="109"/>
      <c r="PRA32" s="109"/>
      <c r="PRB32" s="109"/>
      <c r="PRC32" s="109"/>
      <c r="PRD32" s="109"/>
      <c r="PRE32" s="109"/>
      <c r="PRF32" s="109"/>
      <c r="PRG32" s="109"/>
      <c r="PRH32" s="109"/>
      <c r="PRI32" s="109"/>
      <c r="PRJ32" s="109"/>
      <c r="PRK32" s="109"/>
      <c r="PRL32" s="109"/>
      <c r="PRM32" s="109"/>
      <c r="PRN32" s="109"/>
      <c r="PRO32" s="109"/>
      <c r="PRP32" s="109"/>
      <c r="PRQ32" s="109"/>
      <c r="PRR32" s="109"/>
      <c r="PRS32" s="109"/>
      <c r="PRT32" s="109"/>
      <c r="PRU32" s="109"/>
      <c r="PRV32" s="109"/>
      <c r="PRW32" s="109"/>
      <c r="PRX32" s="109"/>
      <c r="PRY32" s="109"/>
      <c r="PRZ32" s="109"/>
      <c r="PSA32" s="109"/>
      <c r="PSB32" s="109"/>
      <c r="PSC32" s="109"/>
      <c r="PSD32" s="109"/>
      <c r="PSE32" s="109"/>
      <c r="PSF32" s="109"/>
      <c r="PSG32" s="109"/>
      <c r="PSH32" s="109"/>
      <c r="PSI32" s="109"/>
      <c r="PSJ32" s="109"/>
      <c r="PSK32" s="109"/>
      <c r="PSL32" s="109"/>
      <c r="PSM32" s="109"/>
      <c r="PSN32" s="109"/>
      <c r="PSO32" s="109"/>
      <c r="PSP32" s="109"/>
      <c r="PSQ32" s="109"/>
      <c r="PSR32" s="109"/>
      <c r="PSS32" s="109"/>
      <c r="PST32" s="109"/>
      <c r="PSU32" s="109"/>
      <c r="PSV32" s="109"/>
      <c r="PSW32" s="109"/>
      <c r="PSX32" s="109"/>
      <c r="PSY32" s="109"/>
      <c r="PSZ32" s="109"/>
      <c r="PTA32" s="109"/>
      <c r="PTB32" s="109"/>
      <c r="PTC32" s="109"/>
      <c r="PTD32" s="109"/>
      <c r="PTE32" s="109"/>
      <c r="PTF32" s="109"/>
      <c r="PTG32" s="109"/>
      <c r="PTH32" s="109"/>
      <c r="PTI32" s="109"/>
      <c r="PTJ32" s="109"/>
      <c r="PTK32" s="109"/>
      <c r="PTL32" s="109"/>
      <c r="PTM32" s="109"/>
      <c r="PTN32" s="109"/>
      <c r="PTO32" s="109"/>
      <c r="PTP32" s="109"/>
      <c r="PTQ32" s="109"/>
      <c r="PTR32" s="109"/>
      <c r="PTS32" s="109"/>
      <c r="PTT32" s="109"/>
      <c r="PTU32" s="109"/>
      <c r="PTV32" s="109"/>
      <c r="PTW32" s="109"/>
      <c r="PTX32" s="109"/>
      <c r="PTY32" s="109"/>
      <c r="PTZ32" s="109"/>
      <c r="PUA32" s="109"/>
      <c r="PUB32" s="109"/>
      <c r="PUC32" s="109"/>
      <c r="PUD32" s="109"/>
      <c r="PUE32" s="109"/>
      <c r="PUF32" s="109"/>
      <c r="PUG32" s="109"/>
      <c r="PUH32" s="109"/>
      <c r="PUI32" s="109"/>
      <c r="PUJ32" s="109"/>
      <c r="PUK32" s="109"/>
      <c r="PUL32" s="109"/>
      <c r="PUM32" s="109"/>
      <c r="PUN32" s="109"/>
      <c r="PUO32" s="109"/>
      <c r="PUP32" s="109"/>
      <c r="PUQ32" s="109"/>
      <c r="PUR32" s="109"/>
      <c r="PUS32" s="109"/>
      <c r="PUT32" s="109"/>
      <c r="PUU32" s="109"/>
      <c r="PUV32" s="109"/>
      <c r="PUW32" s="109"/>
      <c r="PUX32" s="109"/>
      <c r="PUY32" s="109"/>
      <c r="PUZ32" s="109"/>
      <c r="PVA32" s="109"/>
      <c r="PVB32" s="109"/>
      <c r="PVC32" s="109"/>
      <c r="PVD32" s="109"/>
      <c r="PVE32" s="109"/>
      <c r="PVF32" s="109"/>
      <c r="PVG32" s="109"/>
      <c r="PVH32" s="109"/>
      <c r="PVI32" s="109"/>
      <c r="PVJ32" s="109"/>
      <c r="PVK32" s="109"/>
      <c r="PVL32" s="109"/>
      <c r="PVM32" s="109"/>
      <c r="PVN32" s="109"/>
      <c r="PVO32" s="109"/>
      <c r="PVP32" s="109"/>
      <c r="PVQ32" s="109"/>
      <c r="PVR32" s="109"/>
      <c r="PVS32" s="109"/>
      <c r="PVT32" s="109"/>
      <c r="PVU32" s="109"/>
      <c r="PVV32" s="109"/>
      <c r="PVW32" s="109"/>
      <c r="PVX32" s="109"/>
      <c r="PVY32" s="109"/>
      <c r="PVZ32" s="109"/>
      <c r="PWA32" s="109"/>
      <c r="PWB32" s="109"/>
      <c r="PWC32" s="109"/>
      <c r="PWD32" s="109"/>
      <c r="PWE32" s="109"/>
      <c r="PWF32" s="109"/>
      <c r="PWG32" s="109"/>
      <c r="PWH32" s="109"/>
      <c r="PWI32" s="109"/>
      <c r="PWJ32" s="109"/>
      <c r="PWK32" s="109"/>
      <c r="PWL32" s="109"/>
      <c r="PWM32" s="109"/>
      <c r="PWN32" s="109"/>
      <c r="PWO32" s="109"/>
      <c r="PWP32" s="109"/>
      <c r="PWQ32" s="109"/>
      <c r="PWR32" s="109"/>
      <c r="PWS32" s="109"/>
      <c r="PWT32" s="109"/>
      <c r="PWU32" s="109"/>
      <c r="PWV32" s="109"/>
      <c r="PWW32" s="109"/>
      <c r="PWX32" s="109"/>
      <c r="PWY32" s="109"/>
      <c r="PWZ32" s="109"/>
      <c r="PXA32" s="109"/>
      <c r="PXB32" s="109"/>
      <c r="PXC32" s="109"/>
      <c r="PXD32" s="109"/>
      <c r="PXE32" s="109"/>
      <c r="PXF32" s="109"/>
      <c r="PXG32" s="109"/>
      <c r="PXH32" s="109"/>
      <c r="PXI32" s="109"/>
      <c r="PXJ32" s="109"/>
      <c r="PXK32" s="109"/>
      <c r="PXL32" s="109"/>
      <c r="PXM32" s="109"/>
      <c r="PXN32" s="109"/>
      <c r="PXO32" s="109"/>
      <c r="PXP32" s="109"/>
      <c r="PXQ32" s="109"/>
      <c r="PXR32" s="109"/>
      <c r="PXS32" s="109"/>
      <c r="PXT32" s="109"/>
      <c r="PXU32" s="109"/>
      <c r="PXV32" s="109"/>
      <c r="PXW32" s="109"/>
      <c r="PXX32" s="109"/>
      <c r="PXY32" s="109"/>
      <c r="PXZ32" s="109"/>
      <c r="PYA32" s="109"/>
      <c r="PYB32" s="109"/>
      <c r="PYC32" s="109"/>
      <c r="PYD32" s="109"/>
      <c r="PYE32" s="109"/>
      <c r="PYF32" s="109"/>
      <c r="PYG32" s="109"/>
      <c r="PYH32" s="109"/>
      <c r="PYI32" s="109"/>
      <c r="PYJ32" s="109"/>
      <c r="PYK32" s="109"/>
      <c r="PYL32" s="109"/>
      <c r="PYM32" s="109"/>
      <c r="PYN32" s="109"/>
      <c r="PYO32" s="109"/>
      <c r="PYP32" s="109"/>
      <c r="PYQ32" s="109"/>
      <c r="PYR32" s="109"/>
      <c r="PYS32" s="109"/>
      <c r="PYT32" s="109"/>
      <c r="PYU32" s="109"/>
      <c r="PYV32" s="109"/>
      <c r="PYW32" s="109"/>
      <c r="PYX32" s="109"/>
      <c r="PYY32" s="109"/>
      <c r="PYZ32" s="109"/>
      <c r="PZA32" s="109"/>
      <c r="PZB32" s="109"/>
      <c r="PZC32" s="109"/>
      <c r="PZD32" s="109"/>
      <c r="PZE32" s="109"/>
      <c r="PZF32" s="109"/>
      <c r="PZG32" s="109"/>
      <c r="PZH32" s="109"/>
      <c r="PZI32" s="109"/>
      <c r="PZJ32" s="109"/>
      <c r="PZK32" s="109"/>
      <c r="PZL32" s="109"/>
      <c r="PZM32" s="109"/>
      <c r="PZN32" s="109"/>
      <c r="PZO32" s="109"/>
      <c r="PZP32" s="109"/>
      <c r="PZQ32" s="109"/>
      <c r="PZR32" s="109"/>
      <c r="PZS32" s="109"/>
      <c r="PZT32" s="109"/>
      <c r="PZU32" s="109"/>
      <c r="PZV32" s="109"/>
      <c r="PZW32" s="109"/>
      <c r="PZX32" s="109"/>
      <c r="PZY32" s="109"/>
      <c r="PZZ32" s="109"/>
      <c r="QAA32" s="109"/>
      <c r="QAB32" s="109"/>
      <c r="QAC32" s="109"/>
      <c r="QAD32" s="109"/>
      <c r="QAE32" s="109"/>
      <c r="QAF32" s="109"/>
      <c r="QAG32" s="109"/>
      <c r="QAH32" s="109"/>
      <c r="QAI32" s="109"/>
      <c r="QAJ32" s="109"/>
      <c r="QAK32" s="109"/>
      <c r="QAL32" s="109"/>
      <c r="QAM32" s="109"/>
      <c r="QAN32" s="109"/>
      <c r="QAO32" s="109"/>
      <c r="QAP32" s="109"/>
      <c r="QAQ32" s="109"/>
      <c r="QAR32" s="109"/>
      <c r="QAS32" s="109"/>
      <c r="QAT32" s="109"/>
      <c r="QAU32" s="109"/>
      <c r="QAV32" s="109"/>
      <c r="QAW32" s="109"/>
      <c r="QAX32" s="109"/>
      <c r="QAY32" s="109"/>
      <c r="QAZ32" s="109"/>
      <c r="QBA32" s="109"/>
      <c r="QBB32" s="109"/>
      <c r="QBC32" s="109"/>
      <c r="QBD32" s="109"/>
      <c r="QBE32" s="109"/>
      <c r="QBF32" s="109"/>
      <c r="QBG32" s="109"/>
      <c r="QBH32" s="109"/>
      <c r="QBI32" s="109"/>
      <c r="QBJ32" s="109"/>
      <c r="QBK32" s="109"/>
      <c r="QBL32" s="109"/>
      <c r="QBM32" s="109"/>
      <c r="QBN32" s="109"/>
      <c r="QBO32" s="109"/>
      <c r="QBP32" s="109"/>
      <c r="QBQ32" s="109"/>
      <c r="QBR32" s="109"/>
      <c r="QBS32" s="109"/>
      <c r="QBT32" s="109"/>
      <c r="QBU32" s="109"/>
      <c r="QBV32" s="109"/>
      <c r="QBW32" s="109"/>
      <c r="QBX32" s="109"/>
      <c r="QBY32" s="109"/>
      <c r="QBZ32" s="109"/>
      <c r="QCA32" s="109"/>
      <c r="QCB32" s="109"/>
      <c r="QCC32" s="109"/>
      <c r="QCD32" s="109"/>
      <c r="QCE32" s="109"/>
      <c r="QCF32" s="109"/>
      <c r="QCG32" s="109"/>
      <c r="QCH32" s="109"/>
      <c r="QCI32" s="109"/>
      <c r="QCJ32" s="109"/>
      <c r="QCK32" s="109"/>
      <c r="QCL32" s="109"/>
      <c r="QCM32" s="109"/>
      <c r="QCN32" s="109"/>
      <c r="QCO32" s="109"/>
      <c r="QCP32" s="109"/>
      <c r="QCQ32" s="109"/>
      <c r="QCR32" s="109"/>
      <c r="QCS32" s="109"/>
      <c r="QCT32" s="109"/>
      <c r="QCU32" s="109"/>
      <c r="QCV32" s="109"/>
      <c r="QCW32" s="109"/>
      <c r="QCX32" s="109"/>
      <c r="QCY32" s="109"/>
      <c r="QCZ32" s="109"/>
      <c r="QDA32" s="109"/>
      <c r="QDB32" s="109"/>
      <c r="QDC32" s="109"/>
      <c r="QDD32" s="109"/>
      <c r="QDE32" s="109"/>
      <c r="QDF32" s="109"/>
      <c r="QDG32" s="109"/>
      <c r="QDH32" s="109"/>
      <c r="QDI32" s="109"/>
      <c r="QDJ32" s="109"/>
      <c r="QDK32" s="109"/>
      <c r="QDL32" s="109"/>
      <c r="QDM32" s="109"/>
      <c r="QDN32" s="109"/>
      <c r="QDO32" s="109"/>
      <c r="QDP32" s="109"/>
      <c r="QDQ32" s="109"/>
      <c r="QDR32" s="109"/>
      <c r="QDS32" s="109"/>
      <c r="QDT32" s="109"/>
      <c r="QDU32" s="109"/>
      <c r="QDV32" s="109"/>
      <c r="QDW32" s="109"/>
      <c r="QDX32" s="109"/>
      <c r="QDY32" s="109"/>
      <c r="QDZ32" s="109"/>
      <c r="QEA32" s="109"/>
      <c r="QEB32" s="109"/>
      <c r="QEC32" s="109"/>
      <c r="QED32" s="109"/>
      <c r="QEE32" s="109"/>
      <c r="QEF32" s="109"/>
      <c r="QEG32" s="109"/>
      <c r="QEH32" s="109"/>
      <c r="QEI32" s="109"/>
      <c r="QEJ32" s="109"/>
      <c r="QEK32" s="109"/>
      <c r="QEL32" s="109"/>
      <c r="QEM32" s="109"/>
      <c r="QEN32" s="109"/>
      <c r="QEO32" s="109"/>
      <c r="QEP32" s="109"/>
      <c r="QEQ32" s="109"/>
      <c r="QER32" s="109"/>
      <c r="QES32" s="109"/>
      <c r="QET32" s="109"/>
      <c r="QEU32" s="109"/>
      <c r="QEV32" s="109"/>
      <c r="QEW32" s="109"/>
      <c r="QEX32" s="109"/>
      <c r="QEY32" s="109"/>
      <c r="QEZ32" s="109"/>
      <c r="QFA32" s="109"/>
      <c r="QFB32" s="109"/>
      <c r="QFC32" s="109"/>
      <c r="QFD32" s="109"/>
      <c r="QFE32" s="109"/>
      <c r="QFF32" s="109"/>
      <c r="QFG32" s="109"/>
      <c r="QFH32" s="109"/>
      <c r="QFI32" s="109"/>
      <c r="QFJ32" s="109"/>
      <c r="QFK32" s="109"/>
      <c r="QFL32" s="109"/>
      <c r="QFM32" s="109"/>
      <c r="QFN32" s="109"/>
      <c r="QFO32" s="109"/>
      <c r="QFP32" s="109"/>
      <c r="QFQ32" s="109"/>
      <c r="QFR32" s="109"/>
      <c r="QFS32" s="109"/>
      <c r="QFT32" s="109"/>
      <c r="QFU32" s="109"/>
      <c r="QFV32" s="109"/>
      <c r="QFW32" s="109"/>
      <c r="QFX32" s="109"/>
      <c r="QFY32" s="109"/>
      <c r="QFZ32" s="109"/>
      <c r="QGA32" s="109"/>
      <c r="QGB32" s="109"/>
      <c r="QGC32" s="109"/>
      <c r="QGD32" s="109"/>
      <c r="QGE32" s="109"/>
      <c r="QGF32" s="109"/>
      <c r="QGG32" s="109"/>
      <c r="QGH32" s="109"/>
      <c r="QGI32" s="109"/>
      <c r="QGJ32" s="109"/>
      <c r="QGK32" s="109"/>
      <c r="QGL32" s="109"/>
      <c r="QGM32" s="109"/>
      <c r="QGN32" s="109"/>
      <c r="QGO32" s="109"/>
      <c r="QGP32" s="109"/>
      <c r="QGQ32" s="109"/>
      <c r="QGR32" s="109"/>
      <c r="QGS32" s="109"/>
      <c r="QGT32" s="109"/>
      <c r="QGU32" s="109"/>
      <c r="QGV32" s="109"/>
      <c r="QGW32" s="109"/>
      <c r="QGX32" s="109"/>
      <c r="QGY32" s="109"/>
      <c r="QGZ32" s="109"/>
      <c r="QHA32" s="109"/>
      <c r="QHB32" s="109"/>
      <c r="QHC32" s="109"/>
      <c r="QHD32" s="109"/>
      <c r="QHE32" s="109"/>
      <c r="QHF32" s="109"/>
      <c r="QHG32" s="109"/>
      <c r="QHH32" s="109"/>
      <c r="QHI32" s="109"/>
      <c r="QHJ32" s="109"/>
      <c r="QHK32" s="109"/>
      <c r="QHL32" s="109"/>
      <c r="QHM32" s="109"/>
      <c r="QHN32" s="109"/>
      <c r="QHO32" s="109"/>
      <c r="QHP32" s="109"/>
      <c r="QHQ32" s="109"/>
      <c r="QHR32" s="109"/>
      <c r="QHS32" s="109"/>
      <c r="QHT32" s="109"/>
      <c r="QHU32" s="109"/>
      <c r="QHV32" s="109"/>
      <c r="QHW32" s="109"/>
      <c r="QHX32" s="109"/>
      <c r="QHY32" s="109"/>
      <c r="QHZ32" s="109"/>
      <c r="QIA32" s="109"/>
      <c r="QIB32" s="109"/>
      <c r="QIC32" s="109"/>
      <c r="QID32" s="109"/>
      <c r="QIE32" s="109"/>
      <c r="QIF32" s="109"/>
      <c r="QIG32" s="109"/>
      <c r="QIH32" s="109"/>
      <c r="QII32" s="109"/>
      <c r="QIJ32" s="109"/>
      <c r="QIK32" s="109"/>
      <c r="QIL32" s="109"/>
      <c r="QIM32" s="109"/>
      <c r="QIN32" s="109"/>
      <c r="QIO32" s="109"/>
      <c r="QIP32" s="109"/>
      <c r="QIQ32" s="109"/>
      <c r="QIR32" s="109"/>
      <c r="QIS32" s="109"/>
      <c r="QIT32" s="109"/>
      <c r="QIU32" s="109"/>
      <c r="QIV32" s="109"/>
      <c r="QIW32" s="109"/>
      <c r="QIX32" s="109"/>
      <c r="QIY32" s="109"/>
      <c r="QIZ32" s="109"/>
      <c r="QJA32" s="109"/>
      <c r="QJB32" s="109"/>
      <c r="QJC32" s="109"/>
      <c r="QJD32" s="109"/>
      <c r="QJE32" s="109"/>
      <c r="QJF32" s="109"/>
      <c r="QJG32" s="109"/>
      <c r="QJH32" s="109"/>
      <c r="QJI32" s="109"/>
      <c r="QJJ32" s="109"/>
      <c r="QJK32" s="109"/>
      <c r="QJL32" s="109"/>
      <c r="QJM32" s="109"/>
      <c r="QJN32" s="109"/>
      <c r="QJO32" s="109"/>
      <c r="QJP32" s="109"/>
      <c r="QJQ32" s="109"/>
      <c r="QJR32" s="109"/>
      <c r="QJS32" s="109"/>
      <c r="QJT32" s="109"/>
      <c r="QJU32" s="109"/>
      <c r="QJV32" s="109"/>
      <c r="QJW32" s="109"/>
      <c r="QJX32" s="109"/>
      <c r="QJY32" s="109"/>
      <c r="QJZ32" s="109"/>
      <c r="QKA32" s="109"/>
      <c r="QKB32" s="109"/>
      <c r="QKC32" s="109"/>
      <c r="QKD32" s="109"/>
      <c r="QKE32" s="109"/>
      <c r="QKF32" s="109"/>
      <c r="QKG32" s="109"/>
      <c r="QKH32" s="109"/>
      <c r="QKI32" s="109"/>
      <c r="QKJ32" s="109"/>
      <c r="QKK32" s="109"/>
      <c r="QKL32" s="109"/>
      <c r="QKM32" s="109"/>
      <c r="QKN32" s="109"/>
      <c r="QKO32" s="109"/>
      <c r="QKP32" s="109"/>
      <c r="QKQ32" s="109"/>
      <c r="QKR32" s="109"/>
      <c r="QKS32" s="109"/>
      <c r="QKT32" s="109"/>
      <c r="QKU32" s="109"/>
      <c r="QKV32" s="109"/>
      <c r="QKW32" s="109"/>
      <c r="QKX32" s="109"/>
      <c r="QKY32" s="109"/>
      <c r="QKZ32" s="109"/>
      <c r="QLA32" s="109"/>
      <c r="QLB32" s="109"/>
      <c r="QLC32" s="109"/>
      <c r="QLD32" s="109"/>
      <c r="QLE32" s="109"/>
      <c r="QLF32" s="109"/>
      <c r="QLG32" s="109"/>
      <c r="QLH32" s="109"/>
      <c r="QLI32" s="109"/>
      <c r="QLJ32" s="109"/>
      <c r="QLK32" s="109"/>
      <c r="QLL32" s="109"/>
      <c r="QLM32" s="109"/>
      <c r="QLN32" s="109"/>
      <c r="QLO32" s="109"/>
      <c r="QLP32" s="109"/>
      <c r="QLQ32" s="109"/>
      <c r="QLR32" s="109"/>
      <c r="QLS32" s="109"/>
      <c r="QLT32" s="109"/>
      <c r="QLU32" s="109"/>
      <c r="QLV32" s="109"/>
      <c r="QLW32" s="109"/>
      <c r="QLX32" s="109"/>
      <c r="QLY32" s="109"/>
      <c r="QLZ32" s="109"/>
      <c r="QMA32" s="109"/>
      <c r="QMB32" s="109"/>
      <c r="QMC32" s="109"/>
      <c r="QMD32" s="109"/>
      <c r="QME32" s="109"/>
      <c r="QMF32" s="109"/>
      <c r="QMG32" s="109"/>
      <c r="QMH32" s="109"/>
      <c r="QMI32" s="109"/>
      <c r="QMJ32" s="109"/>
      <c r="QMK32" s="109"/>
      <c r="QML32" s="109"/>
      <c r="QMM32" s="109"/>
      <c r="QMN32" s="109"/>
      <c r="QMO32" s="109"/>
      <c r="QMP32" s="109"/>
      <c r="QMQ32" s="109"/>
      <c r="QMR32" s="109"/>
      <c r="QMS32" s="109"/>
      <c r="QMT32" s="109"/>
      <c r="QMU32" s="109"/>
      <c r="QMV32" s="109"/>
      <c r="QMW32" s="109"/>
      <c r="QMX32" s="109"/>
      <c r="QMY32" s="109"/>
      <c r="QMZ32" s="109"/>
      <c r="QNA32" s="109"/>
      <c r="QNB32" s="109"/>
      <c r="QNC32" s="109"/>
      <c r="QND32" s="109"/>
      <c r="QNE32" s="109"/>
      <c r="QNF32" s="109"/>
      <c r="QNG32" s="109"/>
      <c r="QNH32" s="109"/>
      <c r="QNI32" s="109"/>
      <c r="QNJ32" s="109"/>
      <c r="QNK32" s="109"/>
      <c r="QNL32" s="109"/>
      <c r="QNM32" s="109"/>
      <c r="QNN32" s="109"/>
      <c r="QNO32" s="109"/>
      <c r="QNP32" s="109"/>
      <c r="QNQ32" s="109"/>
      <c r="QNR32" s="109"/>
      <c r="QNS32" s="109"/>
      <c r="QNT32" s="109"/>
      <c r="QNU32" s="109"/>
      <c r="QNV32" s="109"/>
      <c r="QNW32" s="109"/>
      <c r="QNX32" s="109"/>
      <c r="QNY32" s="109"/>
      <c r="QNZ32" s="109"/>
      <c r="QOA32" s="109"/>
      <c r="QOB32" s="109"/>
      <c r="QOC32" s="109"/>
      <c r="QOD32" s="109"/>
      <c r="QOE32" s="109"/>
      <c r="QOF32" s="109"/>
      <c r="QOG32" s="109"/>
      <c r="QOH32" s="109"/>
      <c r="QOI32" s="109"/>
      <c r="QOJ32" s="109"/>
      <c r="QOK32" s="109"/>
      <c r="QOL32" s="109"/>
      <c r="QOM32" s="109"/>
      <c r="QON32" s="109"/>
      <c r="QOO32" s="109"/>
      <c r="QOP32" s="109"/>
      <c r="QOQ32" s="109"/>
      <c r="QOR32" s="109"/>
      <c r="QOS32" s="109"/>
      <c r="QOT32" s="109"/>
      <c r="QOU32" s="109"/>
      <c r="QOV32" s="109"/>
      <c r="QOW32" s="109"/>
      <c r="QOX32" s="109"/>
      <c r="QOY32" s="109"/>
      <c r="QOZ32" s="109"/>
      <c r="QPA32" s="109"/>
      <c r="QPB32" s="109"/>
      <c r="QPC32" s="109"/>
      <c r="QPD32" s="109"/>
      <c r="QPE32" s="109"/>
      <c r="QPF32" s="109"/>
      <c r="QPG32" s="109"/>
      <c r="QPH32" s="109"/>
      <c r="QPI32" s="109"/>
      <c r="QPJ32" s="109"/>
      <c r="QPK32" s="109"/>
      <c r="QPL32" s="109"/>
      <c r="QPM32" s="109"/>
      <c r="QPN32" s="109"/>
      <c r="QPO32" s="109"/>
      <c r="QPP32" s="109"/>
      <c r="QPQ32" s="109"/>
      <c r="QPR32" s="109"/>
      <c r="QPS32" s="109"/>
      <c r="QPT32" s="109"/>
      <c r="QPU32" s="109"/>
      <c r="QPV32" s="109"/>
      <c r="QPW32" s="109"/>
      <c r="QPX32" s="109"/>
      <c r="QPY32" s="109"/>
      <c r="QPZ32" s="109"/>
      <c r="QQA32" s="109"/>
      <c r="QQB32" s="109"/>
      <c r="QQC32" s="109"/>
      <c r="QQD32" s="109"/>
      <c r="QQE32" s="109"/>
      <c r="QQF32" s="109"/>
      <c r="QQG32" s="109"/>
      <c r="QQH32" s="109"/>
      <c r="QQI32" s="109"/>
      <c r="QQJ32" s="109"/>
      <c r="QQK32" s="109"/>
      <c r="QQL32" s="109"/>
      <c r="QQM32" s="109"/>
      <c r="QQN32" s="109"/>
      <c r="QQO32" s="109"/>
      <c r="QQP32" s="109"/>
      <c r="QQQ32" s="109"/>
      <c r="QQR32" s="109"/>
      <c r="QQS32" s="109"/>
      <c r="QQT32" s="109"/>
      <c r="QQU32" s="109"/>
      <c r="QQV32" s="109"/>
      <c r="QQW32" s="109"/>
      <c r="QQX32" s="109"/>
      <c r="QQY32" s="109"/>
      <c r="QQZ32" s="109"/>
      <c r="QRA32" s="109"/>
      <c r="QRB32" s="109"/>
      <c r="QRC32" s="109"/>
      <c r="QRD32" s="109"/>
      <c r="QRE32" s="109"/>
      <c r="QRF32" s="109"/>
      <c r="QRG32" s="109"/>
      <c r="QRH32" s="109"/>
      <c r="QRI32" s="109"/>
      <c r="QRJ32" s="109"/>
      <c r="QRK32" s="109"/>
      <c r="QRL32" s="109"/>
      <c r="QRM32" s="109"/>
      <c r="QRN32" s="109"/>
      <c r="QRO32" s="109"/>
      <c r="QRP32" s="109"/>
      <c r="QRQ32" s="109"/>
      <c r="QRR32" s="109"/>
      <c r="QRS32" s="109"/>
      <c r="QRT32" s="109"/>
      <c r="QRU32" s="109"/>
      <c r="QRV32" s="109"/>
      <c r="QRW32" s="109"/>
      <c r="QRX32" s="109"/>
      <c r="QRY32" s="109"/>
      <c r="QRZ32" s="109"/>
      <c r="QSA32" s="109"/>
      <c r="QSB32" s="109"/>
      <c r="QSC32" s="109"/>
      <c r="QSD32" s="109"/>
      <c r="QSE32" s="109"/>
      <c r="QSF32" s="109"/>
      <c r="QSG32" s="109"/>
      <c r="QSH32" s="109"/>
      <c r="QSI32" s="109"/>
      <c r="QSJ32" s="109"/>
      <c r="QSK32" s="109"/>
      <c r="QSL32" s="109"/>
      <c r="QSM32" s="109"/>
      <c r="QSN32" s="109"/>
      <c r="QSO32" s="109"/>
      <c r="QSP32" s="109"/>
      <c r="QSQ32" s="109"/>
      <c r="QSR32" s="109"/>
      <c r="QSS32" s="109"/>
      <c r="QST32" s="109"/>
      <c r="QSU32" s="109"/>
      <c r="QSV32" s="109"/>
      <c r="QSW32" s="109"/>
      <c r="QSX32" s="109"/>
      <c r="QSY32" s="109"/>
      <c r="QSZ32" s="109"/>
      <c r="QTA32" s="109"/>
      <c r="QTB32" s="109"/>
      <c r="QTC32" s="109"/>
      <c r="QTD32" s="109"/>
      <c r="QTE32" s="109"/>
      <c r="QTF32" s="109"/>
      <c r="QTG32" s="109"/>
      <c r="QTH32" s="109"/>
      <c r="QTI32" s="109"/>
      <c r="QTJ32" s="109"/>
      <c r="QTK32" s="109"/>
      <c r="QTL32" s="109"/>
      <c r="QTM32" s="109"/>
      <c r="QTN32" s="109"/>
      <c r="QTO32" s="109"/>
      <c r="QTP32" s="109"/>
      <c r="QTQ32" s="109"/>
      <c r="QTR32" s="109"/>
      <c r="QTS32" s="109"/>
      <c r="QTT32" s="109"/>
      <c r="QTU32" s="109"/>
      <c r="QTV32" s="109"/>
      <c r="QTW32" s="109"/>
      <c r="QTX32" s="109"/>
      <c r="QTY32" s="109"/>
      <c r="QTZ32" s="109"/>
      <c r="QUA32" s="109"/>
      <c r="QUB32" s="109"/>
      <c r="QUC32" s="109"/>
      <c r="QUD32" s="109"/>
      <c r="QUE32" s="109"/>
      <c r="QUF32" s="109"/>
      <c r="QUG32" s="109"/>
      <c r="QUH32" s="109"/>
      <c r="QUI32" s="109"/>
      <c r="QUJ32" s="109"/>
      <c r="QUK32" s="109"/>
      <c r="QUL32" s="109"/>
      <c r="QUM32" s="109"/>
      <c r="QUN32" s="109"/>
      <c r="QUO32" s="109"/>
      <c r="QUP32" s="109"/>
      <c r="QUQ32" s="109"/>
      <c r="QUR32" s="109"/>
      <c r="QUS32" s="109"/>
      <c r="QUT32" s="109"/>
      <c r="QUU32" s="109"/>
      <c r="QUV32" s="109"/>
      <c r="QUW32" s="109"/>
      <c r="QUX32" s="109"/>
      <c r="QUY32" s="109"/>
      <c r="QUZ32" s="109"/>
      <c r="QVA32" s="109"/>
      <c r="QVB32" s="109"/>
      <c r="QVC32" s="109"/>
      <c r="QVD32" s="109"/>
      <c r="QVE32" s="109"/>
      <c r="QVF32" s="109"/>
      <c r="QVG32" s="109"/>
      <c r="QVH32" s="109"/>
      <c r="QVI32" s="109"/>
      <c r="QVJ32" s="109"/>
      <c r="QVK32" s="109"/>
      <c r="QVL32" s="109"/>
      <c r="QVM32" s="109"/>
      <c r="QVN32" s="109"/>
      <c r="QVO32" s="109"/>
      <c r="QVP32" s="109"/>
      <c r="QVQ32" s="109"/>
      <c r="QVR32" s="109"/>
      <c r="QVS32" s="109"/>
      <c r="QVT32" s="109"/>
      <c r="QVU32" s="109"/>
      <c r="QVV32" s="109"/>
      <c r="QVW32" s="109"/>
      <c r="QVX32" s="109"/>
      <c r="QVY32" s="109"/>
      <c r="QVZ32" s="109"/>
      <c r="QWA32" s="109"/>
      <c r="QWB32" s="109"/>
      <c r="QWC32" s="109"/>
      <c r="QWD32" s="109"/>
      <c r="QWE32" s="109"/>
      <c r="QWF32" s="109"/>
      <c r="QWG32" s="109"/>
      <c r="QWH32" s="109"/>
      <c r="QWI32" s="109"/>
      <c r="QWJ32" s="109"/>
      <c r="QWK32" s="109"/>
      <c r="QWL32" s="109"/>
      <c r="QWM32" s="109"/>
      <c r="QWN32" s="109"/>
      <c r="QWO32" s="109"/>
      <c r="QWP32" s="109"/>
      <c r="QWQ32" s="109"/>
      <c r="QWR32" s="109"/>
      <c r="QWS32" s="109"/>
      <c r="QWT32" s="109"/>
      <c r="QWU32" s="109"/>
      <c r="QWV32" s="109"/>
      <c r="QWW32" s="109"/>
      <c r="QWX32" s="109"/>
      <c r="QWY32" s="109"/>
      <c r="QWZ32" s="109"/>
      <c r="QXA32" s="109"/>
      <c r="QXB32" s="109"/>
      <c r="QXC32" s="109"/>
      <c r="QXD32" s="109"/>
      <c r="QXE32" s="109"/>
      <c r="QXF32" s="109"/>
      <c r="QXG32" s="109"/>
      <c r="QXH32" s="109"/>
      <c r="QXI32" s="109"/>
      <c r="QXJ32" s="109"/>
      <c r="QXK32" s="109"/>
      <c r="QXL32" s="109"/>
      <c r="QXM32" s="109"/>
      <c r="QXN32" s="109"/>
      <c r="QXO32" s="109"/>
      <c r="QXP32" s="109"/>
      <c r="QXQ32" s="109"/>
      <c r="QXR32" s="109"/>
      <c r="QXS32" s="109"/>
      <c r="QXT32" s="109"/>
      <c r="QXU32" s="109"/>
      <c r="QXV32" s="109"/>
      <c r="QXW32" s="109"/>
      <c r="QXX32" s="109"/>
      <c r="QXY32" s="109"/>
      <c r="QXZ32" s="109"/>
      <c r="QYA32" s="109"/>
      <c r="QYB32" s="109"/>
      <c r="QYC32" s="109"/>
      <c r="QYD32" s="109"/>
      <c r="QYE32" s="109"/>
      <c r="QYF32" s="109"/>
      <c r="QYG32" s="109"/>
      <c r="QYH32" s="109"/>
      <c r="QYI32" s="109"/>
      <c r="QYJ32" s="109"/>
      <c r="QYK32" s="109"/>
      <c r="QYL32" s="109"/>
      <c r="QYM32" s="109"/>
      <c r="QYN32" s="109"/>
      <c r="QYO32" s="109"/>
      <c r="QYP32" s="109"/>
      <c r="QYQ32" s="109"/>
      <c r="QYR32" s="109"/>
      <c r="QYS32" s="109"/>
      <c r="QYT32" s="109"/>
      <c r="QYU32" s="109"/>
      <c r="QYV32" s="109"/>
      <c r="QYW32" s="109"/>
      <c r="QYX32" s="109"/>
      <c r="QYY32" s="109"/>
      <c r="QYZ32" s="109"/>
      <c r="QZA32" s="109"/>
      <c r="QZB32" s="109"/>
      <c r="QZC32" s="109"/>
      <c r="QZD32" s="109"/>
      <c r="QZE32" s="109"/>
      <c r="QZF32" s="109"/>
      <c r="QZG32" s="109"/>
      <c r="QZH32" s="109"/>
      <c r="QZI32" s="109"/>
      <c r="QZJ32" s="109"/>
      <c r="QZK32" s="109"/>
      <c r="QZL32" s="109"/>
      <c r="QZM32" s="109"/>
      <c r="QZN32" s="109"/>
      <c r="QZO32" s="109"/>
      <c r="QZP32" s="109"/>
      <c r="QZQ32" s="109"/>
      <c r="QZR32" s="109"/>
      <c r="QZS32" s="109"/>
      <c r="QZT32" s="109"/>
      <c r="QZU32" s="109"/>
      <c r="QZV32" s="109"/>
      <c r="QZW32" s="109"/>
      <c r="QZX32" s="109"/>
      <c r="QZY32" s="109"/>
      <c r="QZZ32" s="109"/>
      <c r="RAA32" s="109"/>
      <c r="RAB32" s="109"/>
      <c r="RAC32" s="109"/>
      <c r="RAD32" s="109"/>
      <c r="RAE32" s="109"/>
      <c r="RAF32" s="109"/>
      <c r="RAG32" s="109"/>
      <c r="RAH32" s="109"/>
      <c r="RAI32" s="109"/>
      <c r="RAJ32" s="109"/>
      <c r="RAK32" s="109"/>
      <c r="RAL32" s="109"/>
      <c r="RAM32" s="109"/>
      <c r="RAN32" s="109"/>
      <c r="RAO32" s="109"/>
      <c r="RAP32" s="109"/>
      <c r="RAQ32" s="109"/>
      <c r="RAR32" s="109"/>
      <c r="RAS32" s="109"/>
      <c r="RAT32" s="109"/>
      <c r="RAU32" s="109"/>
      <c r="RAV32" s="109"/>
      <c r="RAW32" s="109"/>
      <c r="RAX32" s="109"/>
      <c r="RAY32" s="109"/>
      <c r="RAZ32" s="109"/>
      <c r="RBA32" s="109"/>
      <c r="RBB32" s="109"/>
      <c r="RBC32" s="109"/>
      <c r="RBD32" s="109"/>
      <c r="RBE32" s="109"/>
      <c r="RBF32" s="109"/>
      <c r="RBG32" s="109"/>
      <c r="RBH32" s="109"/>
      <c r="RBI32" s="109"/>
      <c r="RBJ32" s="109"/>
      <c r="RBK32" s="109"/>
      <c r="RBL32" s="109"/>
      <c r="RBM32" s="109"/>
      <c r="RBN32" s="109"/>
      <c r="RBO32" s="109"/>
      <c r="RBP32" s="109"/>
      <c r="RBQ32" s="109"/>
      <c r="RBR32" s="109"/>
      <c r="RBS32" s="109"/>
      <c r="RBT32" s="109"/>
      <c r="RBU32" s="109"/>
      <c r="RBV32" s="109"/>
      <c r="RBW32" s="109"/>
      <c r="RBX32" s="109"/>
      <c r="RBY32" s="109"/>
      <c r="RBZ32" s="109"/>
      <c r="RCA32" s="109"/>
      <c r="RCB32" s="109"/>
      <c r="RCC32" s="109"/>
      <c r="RCD32" s="109"/>
      <c r="RCE32" s="109"/>
      <c r="RCF32" s="109"/>
      <c r="RCG32" s="109"/>
      <c r="RCH32" s="109"/>
      <c r="RCI32" s="109"/>
      <c r="RCJ32" s="109"/>
      <c r="RCK32" s="109"/>
      <c r="RCL32" s="109"/>
      <c r="RCM32" s="109"/>
      <c r="RCN32" s="109"/>
      <c r="RCO32" s="109"/>
      <c r="RCP32" s="109"/>
      <c r="RCQ32" s="109"/>
      <c r="RCR32" s="109"/>
      <c r="RCS32" s="109"/>
      <c r="RCT32" s="109"/>
      <c r="RCU32" s="109"/>
      <c r="RCV32" s="109"/>
      <c r="RCW32" s="109"/>
      <c r="RCX32" s="109"/>
      <c r="RCY32" s="109"/>
      <c r="RCZ32" s="109"/>
      <c r="RDA32" s="109"/>
      <c r="RDB32" s="109"/>
      <c r="RDC32" s="109"/>
      <c r="RDD32" s="109"/>
      <c r="RDE32" s="109"/>
      <c r="RDF32" s="109"/>
      <c r="RDG32" s="109"/>
      <c r="RDH32" s="109"/>
      <c r="RDI32" s="109"/>
      <c r="RDJ32" s="109"/>
      <c r="RDK32" s="109"/>
      <c r="RDL32" s="109"/>
      <c r="RDM32" s="109"/>
      <c r="RDN32" s="109"/>
      <c r="RDO32" s="109"/>
      <c r="RDP32" s="109"/>
      <c r="RDQ32" s="109"/>
      <c r="RDR32" s="109"/>
      <c r="RDS32" s="109"/>
      <c r="RDT32" s="109"/>
      <c r="RDU32" s="109"/>
      <c r="RDV32" s="109"/>
      <c r="RDW32" s="109"/>
      <c r="RDX32" s="109"/>
      <c r="RDY32" s="109"/>
      <c r="RDZ32" s="109"/>
      <c r="REA32" s="109"/>
      <c r="REB32" s="109"/>
      <c r="REC32" s="109"/>
      <c r="RED32" s="109"/>
      <c r="REE32" s="109"/>
      <c r="REF32" s="109"/>
      <c r="REG32" s="109"/>
      <c r="REH32" s="109"/>
      <c r="REI32" s="109"/>
      <c r="REJ32" s="109"/>
      <c r="REK32" s="109"/>
      <c r="REL32" s="109"/>
      <c r="REM32" s="109"/>
      <c r="REN32" s="109"/>
      <c r="REO32" s="109"/>
      <c r="REP32" s="109"/>
      <c r="REQ32" s="109"/>
      <c r="RER32" s="109"/>
      <c r="RES32" s="109"/>
      <c r="RET32" s="109"/>
      <c r="REU32" s="109"/>
      <c r="REV32" s="109"/>
      <c r="REW32" s="109"/>
      <c r="REX32" s="109"/>
      <c r="REY32" s="109"/>
      <c r="REZ32" s="109"/>
      <c r="RFA32" s="109"/>
      <c r="RFB32" s="109"/>
      <c r="RFC32" s="109"/>
      <c r="RFD32" s="109"/>
      <c r="RFE32" s="109"/>
      <c r="RFF32" s="109"/>
      <c r="RFG32" s="109"/>
      <c r="RFH32" s="109"/>
      <c r="RFI32" s="109"/>
      <c r="RFJ32" s="109"/>
      <c r="RFK32" s="109"/>
      <c r="RFL32" s="109"/>
      <c r="RFM32" s="109"/>
      <c r="RFN32" s="109"/>
      <c r="RFO32" s="109"/>
      <c r="RFP32" s="109"/>
      <c r="RFQ32" s="109"/>
      <c r="RFR32" s="109"/>
      <c r="RFS32" s="109"/>
      <c r="RFT32" s="109"/>
      <c r="RFU32" s="109"/>
      <c r="RFV32" s="109"/>
      <c r="RFW32" s="109"/>
      <c r="RFX32" s="109"/>
      <c r="RFY32" s="109"/>
      <c r="RFZ32" s="109"/>
      <c r="RGA32" s="109"/>
      <c r="RGB32" s="109"/>
      <c r="RGC32" s="109"/>
      <c r="RGD32" s="109"/>
      <c r="RGE32" s="109"/>
      <c r="RGF32" s="109"/>
      <c r="RGG32" s="109"/>
      <c r="RGH32" s="109"/>
      <c r="RGI32" s="109"/>
      <c r="RGJ32" s="109"/>
      <c r="RGK32" s="109"/>
      <c r="RGL32" s="109"/>
      <c r="RGM32" s="109"/>
      <c r="RGN32" s="109"/>
      <c r="RGO32" s="109"/>
      <c r="RGP32" s="109"/>
      <c r="RGQ32" s="109"/>
      <c r="RGR32" s="109"/>
      <c r="RGS32" s="109"/>
      <c r="RGT32" s="109"/>
      <c r="RGU32" s="109"/>
      <c r="RGV32" s="109"/>
      <c r="RGW32" s="109"/>
      <c r="RGX32" s="109"/>
      <c r="RGY32" s="109"/>
      <c r="RGZ32" s="109"/>
      <c r="RHA32" s="109"/>
      <c r="RHB32" s="109"/>
      <c r="RHC32" s="109"/>
      <c r="RHD32" s="109"/>
      <c r="RHE32" s="109"/>
      <c r="RHF32" s="109"/>
      <c r="RHG32" s="109"/>
      <c r="RHH32" s="109"/>
      <c r="RHI32" s="109"/>
      <c r="RHJ32" s="109"/>
      <c r="RHK32" s="109"/>
      <c r="RHL32" s="109"/>
      <c r="RHM32" s="109"/>
      <c r="RHN32" s="109"/>
      <c r="RHO32" s="109"/>
      <c r="RHP32" s="109"/>
      <c r="RHQ32" s="109"/>
      <c r="RHR32" s="109"/>
      <c r="RHS32" s="109"/>
      <c r="RHT32" s="109"/>
      <c r="RHU32" s="109"/>
      <c r="RHV32" s="109"/>
      <c r="RHW32" s="109"/>
      <c r="RHX32" s="109"/>
      <c r="RHY32" s="109"/>
      <c r="RHZ32" s="109"/>
      <c r="RIA32" s="109"/>
      <c r="RIB32" s="109"/>
      <c r="RIC32" s="109"/>
      <c r="RID32" s="109"/>
      <c r="RIE32" s="109"/>
      <c r="RIF32" s="109"/>
      <c r="RIG32" s="109"/>
      <c r="RIH32" s="109"/>
      <c r="RII32" s="109"/>
      <c r="RIJ32" s="109"/>
      <c r="RIK32" s="109"/>
      <c r="RIL32" s="109"/>
      <c r="RIM32" s="109"/>
      <c r="RIN32" s="109"/>
      <c r="RIO32" s="109"/>
      <c r="RIP32" s="109"/>
      <c r="RIQ32" s="109"/>
      <c r="RIR32" s="109"/>
      <c r="RIS32" s="109"/>
      <c r="RIT32" s="109"/>
      <c r="RIU32" s="109"/>
      <c r="RIV32" s="109"/>
      <c r="RIW32" s="109"/>
      <c r="RIX32" s="109"/>
      <c r="RIY32" s="109"/>
      <c r="RIZ32" s="109"/>
      <c r="RJA32" s="109"/>
      <c r="RJB32" s="109"/>
      <c r="RJC32" s="109"/>
      <c r="RJD32" s="109"/>
      <c r="RJE32" s="109"/>
      <c r="RJF32" s="109"/>
      <c r="RJG32" s="109"/>
      <c r="RJH32" s="109"/>
      <c r="RJI32" s="109"/>
      <c r="RJJ32" s="109"/>
      <c r="RJK32" s="109"/>
      <c r="RJL32" s="109"/>
      <c r="RJM32" s="109"/>
      <c r="RJN32" s="109"/>
      <c r="RJO32" s="109"/>
      <c r="RJP32" s="109"/>
      <c r="RJQ32" s="109"/>
      <c r="RJR32" s="109"/>
      <c r="RJS32" s="109"/>
      <c r="RJT32" s="109"/>
      <c r="RJU32" s="109"/>
      <c r="RJV32" s="109"/>
      <c r="RJW32" s="109"/>
      <c r="RJX32" s="109"/>
      <c r="RJY32" s="109"/>
      <c r="RJZ32" s="109"/>
      <c r="RKA32" s="109"/>
      <c r="RKB32" s="109"/>
      <c r="RKC32" s="109"/>
      <c r="RKD32" s="109"/>
      <c r="RKE32" s="109"/>
      <c r="RKF32" s="109"/>
      <c r="RKG32" s="109"/>
      <c r="RKH32" s="109"/>
      <c r="RKI32" s="109"/>
      <c r="RKJ32" s="109"/>
      <c r="RKK32" s="109"/>
      <c r="RKL32" s="109"/>
      <c r="RKM32" s="109"/>
      <c r="RKN32" s="109"/>
      <c r="RKO32" s="109"/>
      <c r="RKP32" s="109"/>
      <c r="RKQ32" s="109"/>
      <c r="RKR32" s="109"/>
      <c r="RKS32" s="109"/>
      <c r="RKT32" s="109"/>
      <c r="RKU32" s="109"/>
      <c r="RKV32" s="109"/>
      <c r="RKW32" s="109"/>
      <c r="RKX32" s="109"/>
      <c r="RKY32" s="109"/>
      <c r="RKZ32" s="109"/>
      <c r="RLA32" s="109"/>
      <c r="RLB32" s="109"/>
      <c r="RLC32" s="109"/>
      <c r="RLD32" s="109"/>
      <c r="RLE32" s="109"/>
      <c r="RLF32" s="109"/>
      <c r="RLG32" s="109"/>
      <c r="RLH32" s="109"/>
      <c r="RLI32" s="109"/>
      <c r="RLJ32" s="109"/>
      <c r="RLK32" s="109"/>
      <c r="RLL32" s="109"/>
      <c r="RLM32" s="109"/>
      <c r="RLN32" s="109"/>
      <c r="RLO32" s="109"/>
      <c r="RLP32" s="109"/>
      <c r="RLQ32" s="109"/>
      <c r="RLR32" s="109"/>
      <c r="RLS32" s="109"/>
      <c r="RLT32" s="109"/>
      <c r="RLU32" s="109"/>
      <c r="RLV32" s="109"/>
      <c r="RLW32" s="109"/>
      <c r="RLX32" s="109"/>
      <c r="RLY32" s="109"/>
      <c r="RLZ32" s="109"/>
      <c r="RMA32" s="109"/>
      <c r="RMB32" s="109"/>
      <c r="RMC32" s="109"/>
      <c r="RMD32" s="109"/>
      <c r="RME32" s="109"/>
      <c r="RMF32" s="109"/>
      <c r="RMG32" s="109"/>
      <c r="RMH32" s="109"/>
      <c r="RMI32" s="109"/>
      <c r="RMJ32" s="109"/>
      <c r="RMK32" s="109"/>
      <c r="RML32" s="109"/>
      <c r="RMM32" s="109"/>
      <c r="RMN32" s="109"/>
      <c r="RMO32" s="109"/>
      <c r="RMP32" s="109"/>
      <c r="RMQ32" s="109"/>
      <c r="RMR32" s="109"/>
      <c r="RMS32" s="109"/>
      <c r="RMT32" s="109"/>
      <c r="RMU32" s="109"/>
      <c r="RMV32" s="109"/>
      <c r="RMW32" s="109"/>
      <c r="RMX32" s="109"/>
      <c r="RMY32" s="109"/>
      <c r="RMZ32" s="109"/>
      <c r="RNA32" s="109"/>
      <c r="RNB32" s="109"/>
      <c r="RNC32" s="109"/>
      <c r="RND32" s="109"/>
      <c r="RNE32" s="109"/>
      <c r="RNF32" s="109"/>
      <c r="RNG32" s="109"/>
      <c r="RNH32" s="109"/>
      <c r="RNI32" s="109"/>
      <c r="RNJ32" s="109"/>
      <c r="RNK32" s="109"/>
      <c r="RNL32" s="109"/>
      <c r="RNM32" s="109"/>
      <c r="RNN32" s="109"/>
      <c r="RNO32" s="109"/>
      <c r="RNP32" s="109"/>
      <c r="RNQ32" s="109"/>
      <c r="RNR32" s="109"/>
      <c r="RNS32" s="109"/>
      <c r="RNT32" s="109"/>
      <c r="RNU32" s="109"/>
      <c r="RNV32" s="109"/>
      <c r="RNW32" s="109"/>
      <c r="RNX32" s="109"/>
      <c r="RNY32" s="109"/>
      <c r="RNZ32" s="109"/>
      <c r="ROA32" s="109"/>
      <c r="ROB32" s="109"/>
      <c r="ROC32" s="109"/>
      <c r="ROD32" s="109"/>
      <c r="ROE32" s="109"/>
      <c r="ROF32" s="109"/>
      <c r="ROG32" s="109"/>
      <c r="ROH32" s="109"/>
      <c r="ROI32" s="109"/>
      <c r="ROJ32" s="109"/>
      <c r="ROK32" s="109"/>
      <c r="ROL32" s="109"/>
      <c r="ROM32" s="109"/>
      <c r="RON32" s="109"/>
      <c r="ROO32" s="109"/>
      <c r="ROP32" s="109"/>
      <c r="ROQ32" s="109"/>
      <c r="ROR32" s="109"/>
      <c r="ROS32" s="109"/>
      <c r="ROT32" s="109"/>
      <c r="ROU32" s="109"/>
      <c r="ROV32" s="109"/>
      <c r="ROW32" s="109"/>
      <c r="ROX32" s="109"/>
      <c r="ROY32" s="109"/>
      <c r="ROZ32" s="109"/>
      <c r="RPA32" s="109"/>
      <c r="RPB32" s="109"/>
      <c r="RPC32" s="109"/>
      <c r="RPD32" s="109"/>
      <c r="RPE32" s="109"/>
      <c r="RPF32" s="109"/>
      <c r="RPG32" s="109"/>
      <c r="RPH32" s="109"/>
      <c r="RPI32" s="109"/>
      <c r="RPJ32" s="109"/>
      <c r="RPK32" s="109"/>
      <c r="RPL32" s="109"/>
      <c r="RPM32" s="109"/>
      <c r="RPN32" s="109"/>
      <c r="RPO32" s="109"/>
      <c r="RPP32" s="109"/>
      <c r="RPQ32" s="109"/>
      <c r="RPR32" s="109"/>
      <c r="RPS32" s="109"/>
      <c r="RPT32" s="109"/>
      <c r="RPU32" s="109"/>
      <c r="RPV32" s="109"/>
      <c r="RPW32" s="109"/>
      <c r="RPX32" s="109"/>
      <c r="RPY32" s="109"/>
      <c r="RPZ32" s="109"/>
      <c r="RQA32" s="109"/>
      <c r="RQB32" s="109"/>
      <c r="RQC32" s="109"/>
      <c r="RQD32" s="109"/>
      <c r="RQE32" s="109"/>
      <c r="RQF32" s="109"/>
      <c r="RQG32" s="109"/>
      <c r="RQH32" s="109"/>
      <c r="RQI32" s="109"/>
      <c r="RQJ32" s="109"/>
      <c r="RQK32" s="109"/>
      <c r="RQL32" s="109"/>
      <c r="RQM32" s="109"/>
      <c r="RQN32" s="109"/>
      <c r="RQO32" s="109"/>
      <c r="RQP32" s="109"/>
      <c r="RQQ32" s="109"/>
      <c r="RQR32" s="109"/>
      <c r="RQS32" s="109"/>
      <c r="RQT32" s="109"/>
      <c r="RQU32" s="109"/>
      <c r="RQV32" s="109"/>
      <c r="RQW32" s="109"/>
      <c r="RQX32" s="109"/>
      <c r="RQY32" s="109"/>
      <c r="RQZ32" s="109"/>
      <c r="RRA32" s="109"/>
      <c r="RRB32" s="109"/>
      <c r="RRC32" s="109"/>
      <c r="RRD32" s="109"/>
      <c r="RRE32" s="109"/>
      <c r="RRF32" s="109"/>
      <c r="RRG32" s="109"/>
      <c r="RRH32" s="109"/>
      <c r="RRI32" s="109"/>
      <c r="RRJ32" s="109"/>
      <c r="RRK32" s="109"/>
      <c r="RRL32" s="109"/>
      <c r="RRM32" s="109"/>
      <c r="RRN32" s="109"/>
      <c r="RRO32" s="109"/>
      <c r="RRP32" s="109"/>
      <c r="RRQ32" s="109"/>
      <c r="RRR32" s="109"/>
      <c r="RRS32" s="109"/>
      <c r="RRT32" s="109"/>
      <c r="RRU32" s="109"/>
      <c r="RRV32" s="109"/>
      <c r="RRW32" s="109"/>
      <c r="RRX32" s="109"/>
      <c r="RRY32" s="109"/>
      <c r="RRZ32" s="109"/>
      <c r="RSA32" s="109"/>
      <c r="RSB32" s="109"/>
      <c r="RSC32" s="109"/>
      <c r="RSD32" s="109"/>
      <c r="RSE32" s="109"/>
      <c r="RSF32" s="109"/>
      <c r="RSG32" s="109"/>
      <c r="RSH32" s="109"/>
      <c r="RSI32" s="109"/>
      <c r="RSJ32" s="109"/>
      <c r="RSK32" s="109"/>
      <c r="RSL32" s="109"/>
      <c r="RSM32" s="109"/>
      <c r="RSN32" s="109"/>
      <c r="RSO32" s="109"/>
      <c r="RSP32" s="109"/>
      <c r="RSQ32" s="109"/>
      <c r="RSR32" s="109"/>
      <c r="RSS32" s="109"/>
      <c r="RST32" s="109"/>
      <c r="RSU32" s="109"/>
      <c r="RSV32" s="109"/>
      <c r="RSW32" s="109"/>
      <c r="RSX32" s="109"/>
      <c r="RSY32" s="109"/>
      <c r="RSZ32" s="109"/>
      <c r="RTA32" s="109"/>
      <c r="RTB32" s="109"/>
      <c r="RTC32" s="109"/>
      <c r="RTD32" s="109"/>
      <c r="RTE32" s="109"/>
      <c r="RTF32" s="109"/>
      <c r="RTG32" s="109"/>
      <c r="RTH32" s="109"/>
      <c r="RTI32" s="109"/>
      <c r="RTJ32" s="109"/>
      <c r="RTK32" s="109"/>
      <c r="RTL32" s="109"/>
      <c r="RTM32" s="109"/>
      <c r="RTN32" s="109"/>
      <c r="RTO32" s="109"/>
      <c r="RTP32" s="109"/>
      <c r="RTQ32" s="109"/>
      <c r="RTR32" s="109"/>
      <c r="RTS32" s="109"/>
      <c r="RTT32" s="109"/>
      <c r="RTU32" s="109"/>
      <c r="RTV32" s="109"/>
      <c r="RTW32" s="109"/>
      <c r="RTX32" s="109"/>
      <c r="RTY32" s="109"/>
      <c r="RTZ32" s="109"/>
      <c r="RUA32" s="109"/>
      <c r="RUB32" s="109"/>
      <c r="RUC32" s="109"/>
      <c r="RUD32" s="109"/>
      <c r="RUE32" s="109"/>
      <c r="RUF32" s="109"/>
      <c r="RUG32" s="109"/>
      <c r="RUH32" s="109"/>
      <c r="RUI32" s="109"/>
      <c r="RUJ32" s="109"/>
      <c r="RUK32" s="109"/>
      <c r="RUL32" s="109"/>
      <c r="RUM32" s="109"/>
      <c r="RUN32" s="109"/>
      <c r="RUO32" s="109"/>
      <c r="RUP32" s="109"/>
      <c r="RUQ32" s="109"/>
      <c r="RUR32" s="109"/>
      <c r="RUS32" s="109"/>
      <c r="RUT32" s="109"/>
      <c r="RUU32" s="109"/>
      <c r="RUV32" s="109"/>
      <c r="RUW32" s="109"/>
      <c r="RUX32" s="109"/>
      <c r="RUY32" s="109"/>
      <c r="RUZ32" s="109"/>
      <c r="RVA32" s="109"/>
      <c r="RVB32" s="109"/>
      <c r="RVC32" s="109"/>
      <c r="RVD32" s="109"/>
      <c r="RVE32" s="109"/>
      <c r="RVF32" s="109"/>
      <c r="RVG32" s="109"/>
      <c r="RVH32" s="109"/>
      <c r="RVI32" s="109"/>
      <c r="RVJ32" s="109"/>
      <c r="RVK32" s="109"/>
      <c r="RVL32" s="109"/>
      <c r="RVM32" s="109"/>
      <c r="RVN32" s="109"/>
      <c r="RVO32" s="109"/>
      <c r="RVP32" s="109"/>
      <c r="RVQ32" s="109"/>
      <c r="RVR32" s="109"/>
      <c r="RVS32" s="109"/>
      <c r="RVT32" s="109"/>
      <c r="RVU32" s="109"/>
      <c r="RVV32" s="109"/>
      <c r="RVW32" s="109"/>
      <c r="RVX32" s="109"/>
      <c r="RVY32" s="109"/>
      <c r="RVZ32" s="109"/>
      <c r="RWA32" s="109"/>
      <c r="RWB32" s="109"/>
      <c r="RWC32" s="109"/>
      <c r="RWD32" s="109"/>
      <c r="RWE32" s="109"/>
      <c r="RWF32" s="109"/>
      <c r="RWG32" s="109"/>
      <c r="RWH32" s="109"/>
      <c r="RWI32" s="109"/>
      <c r="RWJ32" s="109"/>
      <c r="RWK32" s="109"/>
      <c r="RWL32" s="109"/>
      <c r="RWM32" s="109"/>
      <c r="RWN32" s="109"/>
      <c r="RWO32" s="109"/>
      <c r="RWP32" s="109"/>
      <c r="RWQ32" s="109"/>
      <c r="RWR32" s="109"/>
      <c r="RWS32" s="109"/>
      <c r="RWT32" s="109"/>
      <c r="RWU32" s="109"/>
      <c r="RWV32" s="109"/>
      <c r="RWW32" s="109"/>
      <c r="RWX32" s="109"/>
      <c r="RWY32" s="109"/>
      <c r="RWZ32" s="109"/>
      <c r="RXA32" s="109"/>
      <c r="RXB32" s="109"/>
      <c r="RXC32" s="109"/>
      <c r="RXD32" s="109"/>
      <c r="RXE32" s="109"/>
      <c r="RXF32" s="109"/>
      <c r="RXG32" s="109"/>
      <c r="RXH32" s="109"/>
      <c r="RXI32" s="109"/>
      <c r="RXJ32" s="109"/>
      <c r="RXK32" s="109"/>
      <c r="RXL32" s="109"/>
      <c r="RXM32" s="109"/>
      <c r="RXN32" s="109"/>
      <c r="RXO32" s="109"/>
      <c r="RXP32" s="109"/>
      <c r="RXQ32" s="109"/>
      <c r="RXR32" s="109"/>
      <c r="RXS32" s="109"/>
      <c r="RXT32" s="109"/>
      <c r="RXU32" s="109"/>
      <c r="RXV32" s="109"/>
      <c r="RXW32" s="109"/>
      <c r="RXX32" s="109"/>
      <c r="RXY32" s="109"/>
      <c r="RXZ32" s="109"/>
      <c r="RYA32" s="109"/>
      <c r="RYB32" s="109"/>
      <c r="RYC32" s="109"/>
      <c r="RYD32" s="109"/>
      <c r="RYE32" s="109"/>
      <c r="RYF32" s="109"/>
      <c r="RYG32" s="109"/>
      <c r="RYH32" s="109"/>
      <c r="RYI32" s="109"/>
      <c r="RYJ32" s="109"/>
      <c r="RYK32" s="109"/>
      <c r="RYL32" s="109"/>
      <c r="RYM32" s="109"/>
      <c r="RYN32" s="109"/>
      <c r="RYO32" s="109"/>
      <c r="RYP32" s="109"/>
      <c r="RYQ32" s="109"/>
      <c r="RYR32" s="109"/>
      <c r="RYS32" s="109"/>
      <c r="RYT32" s="109"/>
      <c r="RYU32" s="109"/>
      <c r="RYV32" s="109"/>
      <c r="RYW32" s="109"/>
      <c r="RYX32" s="109"/>
      <c r="RYY32" s="109"/>
      <c r="RYZ32" s="109"/>
      <c r="RZA32" s="109"/>
      <c r="RZB32" s="109"/>
      <c r="RZC32" s="109"/>
      <c r="RZD32" s="109"/>
      <c r="RZE32" s="109"/>
      <c r="RZF32" s="109"/>
      <c r="RZG32" s="109"/>
      <c r="RZH32" s="109"/>
      <c r="RZI32" s="109"/>
      <c r="RZJ32" s="109"/>
      <c r="RZK32" s="109"/>
      <c r="RZL32" s="109"/>
      <c r="RZM32" s="109"/>
      <c r="RZN32" s="109"/>
      <c r="RZO32" s="109"/>
      <c r="RZP32" s="109"/>
      <c r="RZQ32" s="109"/>
      <c r="RZR32" s="109"/>
      <c r="RZS32" s="109"/>
      <c r="RZT32" s="109"/>
      <c r="RZU32" s="109"/>
      <c r="RZV32" s="109"/>
      <c r="RZW32" s="109"/>
      <c r="RZX32" s="109"/>
      <c r="RZY32" s="109"/>
      <c r="RZZ32" s="109"/>
      <c r="SAA32" s="109"/>
      <c r="SAB32" s="109"/>
      <c r="SAC32" s="109"/>
      <c r="SAD32" s="109"/>
      <c r="SAE32" s="109"/>
      <c r="SAF32" s="109"/>
      <c r="SAG32" s="109"/>
      <c r="SAH32" s="109"/>
      <c r="SAI32" s="109"/>
      <c r="SAJ32" s="109"/>
      <c r="SAK32" s="109"/>
      <c r="SAL32" s="109"/>
      <c r="SAM32" s="109"/>
      <c r="SAN32" s="109"/>
      <c r="SAO32" s="109"/>
      <c r="SAP32" s="109"/>
      <c r="SAQ32" s="109"/>
      <c r="SAR32" s="109"/>
      <c r="SAS32" s="109"/>
      <c r="SAT32" s="109"/>
      <c r="SAU32" s="109"/>
      <c r="SAV32" s="109"/>
      <c r="SAW32" s="109"/>
      <c r="SAX32" s="109"/>
      <c r="SAY32" s="109"/>
      <c r="SAZ32" s="109"/>
      <c r="SBA32" s="109"/>
      <c r="SBB32" s="109"/>
      <c r="SBC32" s="109"/>
      <c r="SBD32" s="109"/>
      <c r="SBE32" s="109"/>
      <c r="SBF32" s="109"/>
      <c r="SBG32" s="109"/>
      <c r="SBH32" s="109"/>
      <c r="SBI32" s="109"/>
      <c r="SBJ32" s="109"/>
      <c r="SBK32" s="109"/>
      <c r="SBL32" s="109"/>
      <c r="SBM32" s="109"/>
      <c r="SBN32" s="109"/>
      <c r="SBO32" s="109"/>
      <c r="SBP32" s="109"/>
      <c r="SBQ32" s="109"/>
      <c r="SBR32" s="109"/>
      <c r="SBS32" s="109"/>
      <c r="SBT32" s="109"/>
      <c r="SBU32" s="109"/>
      <c r="SBV32" s="109"/>
      <c r="SBW32" s="109"/>
      <c r="SBX32" s="109"/>
      <c r="SBY32" s="109"/>
      <c r="SBZ32" s="109"/>
      <c r="SCA32" s="109"/>
      <c r="SCB32" s="109"/>
      <c r="SCC32" s="109"/>
      <c r="SCD32" s="109"/>
      <c r="SCE32" s="109"/>
      <c r="SCF32" s="109"/>
      <c r="SCG32" s="109"/>
      <c r="SCH32" s="109"/>
      <c r="SCI32" s="109"/>
      <c r="SCJ32" s="109"/>
      <c r="SCK32" s="109"/>
      <c r="SCL32" s="109"/>
      <c r="SCM32" s="109"/>
      <c r="SCN32" s="109"/>
      <c r="SCO32" s="109"/>
      <c r="SCP32" s="109"/>
      <c r="SCQ32" s="109"/>
      <c r="SCR32" s="109"/>
      <c r="SCS32" s="109"/>
      <c r="SCT32" s="109"/>
      <c r="SCU32" s="109"/>
      <c r="SCV32" s="109"/>
      <c r="SCW32" s="109"/>
      <c r="SCX32" s="109"/>
      <c r="SCY32" s="109"/>
      <c r="SCZ32" s="109"/>
      <c r="SDA32" s="109"/>
      <c r="SDB32" s="109"/>
      <c r="SDC32" s="109"/>
      <c r="SDD32" s="109"/>
      <c r="SDE32" s="109"/>
      <c r="SDF32" s="109"/>
      <c r="SDG32" s="109"/>
      <c r="SDH32" s="109"/>
      <c r="SDI32" s="109"/>
      <c r="SDJ32" s="109"/>
      <c r="SDK32" s="109"/>
      <c r="SDL32" s="109"/>
      <c r="SDM32" s="109"/>
      <c r="SDN32" s="109"/>
      <c r="SDO32" s="109"/>
      <c r="SDP32" s="109"/>
      <c r="SDQ32" s="109"/>
      <c r="SDR32" s="109"/>
      <c r="SDS32" s="109"/>
      <c r="SDT32" s="109"/>
      <c r="SDU32" s="109"/>
      <c r="SDV32" s="109"/>
      <c r="SDW32" s="109"/>
      <c r="SDX32" s="109"/>
      <c r="SDY32" s="109"/>
      <c r="SDZ32" s="109"/>
      <c r="SEA32" s="109"/>
      <c r="SEB32" s="109"/>
      <c r="SEC32" s="109"/>
      <c r="SED32" s="109"/>
      <c r="SEE32" s="109"/>
      <c r="SEF32" s="109"/>
      <c r="SEG32" s="109"/>
      <c r="SEH32" s="109"/>
      <c r="SEI32" s="109"/>
      <c r="SEJ32" s="109"/>
      <c r="SEK32" s="109"/>
      <c r="SEL32" s="109"/>
      <c r="SEM32" s="109"/>
      <c r="SEN32" s="109"/>
      <c r="SEO32" s="109"/>
      <c r="SEP32" s="109"/>
      <c r="SEQ32" s="109"/>
      <c r="SER32" s="109"/>
      <c r="SES32" s="109"/>
      <c r="SET32" s="109"/>
      <c r="SEU32" s="109"/>
      <c r="SEV32" s="109"/>
      <c r="SEW32" s="109"/>
      <c r="SEX32" s="109"/>
      <c r="SEY32" s="109"/>
      <c r="SEZ32" s="109"/>
      <c r="SFA32" s="109"/>
      <c r="SFB32" s="109"/>
      <c r="SFC32" s="109"/>
      <c r="SFD32" s="109"/>
      <c r="SFE32" s="109"/>
      <c r="SFF32" s="109"/>
      <c r="SFG32" s="109"/>
      <c r="SFH32" s="109"/>
      <c r="SFI32" s="109"/>
      <c r="SFJ32" s="109"/>
      <c r="SFK32" s="109"/>
      <c r="SFL32" s="109"/>
      <c r="SFM32" s="109"/>
      <c r="SFN32" s="109"/>
      <c r="SFO32" s="109"/>
      <c r="SFP32" s="109"/>
      <c r="SFQ32" s="109"/>
      <c r="SFR32" s="109"/>
      <c r="SFS32" s="109"/>
      <c r="SFT32" s="109"/>
      <c r="SFU32" s="109"/>
      <c r="SFV32" s="109"/>
      <c r="SFW32" s="109"/>
      <c r="SFX32" s="109"/>
      <c r="SFY32" s="109"/>
      <c r="SFZ32" s="109"/>
      <c r="SGA32" s="109"/>
      <c r="SGB32" s="109"/>
      <c r="SGC32" s="109"/>
      <c r="SGD32" s="109"/>
      <c r="SGE32" s="109"/>
      <c r="SGF32" s="109"/>
      <c r="SGG32" s="109"/>
      <c r="SGH32" s="109"/>
      <c r="SGI32" s="109"/>
      <c r="SGJ32" s="109"/>
      <c r="SGK32" s="109"/>
      <c r="SGL32" s="109"/>
      <c r="SGM32" s="109"/>
      <c r="SGN32" s="109"/>
      <c r="SGO32" s="109"/>
      <c r="SGP32" s="109"/>
      <c r="SGQ32" s="109"/>
      <c r="SGR32" s="109"/>
      <c r="SGS32" s="109"/>
      <c r="SGT32" s="109"/>
      <c r="SGU32" s="109"/>
      <c r="SGV32" s="109"/>
      <c r="SGW32" s="109"/>
      <c r="SGX32" s="109"/>
      <c r="SGY32" s="109"/>
      <c r="SGZ32" s="109"/>
      <c r="SHA32" s="109"/>
      <c r="SHB32" s="109"/>
      <c r="SHC32" s="109"/>
      <c r="SHD32" s="109"/>
      <c r="SHE32" s="109"/>
      <c r="SHF32" s="109"/>
      <c r="SHG32" s="109"/>
      <c r="SHH32" s="109"/>
      <c r="SHI32" s="109"/>
      <c r="SHJ32" s="109"/>
      <c r="SHK32" s="109"/>
      <c r="SHL32" s="109"/>
      <c r="SHM32" s="109"/>
      <c r="SHN32" s="109"/>
      <c r="SHO32" s="109"/>
      <c r="SHP32" s="109"/>
      <c r="SHQ32" s="109"/>
      <c r="SHR32" s="109"/>
      <c r="SHS32" s="109"/>
      <c r="SHT32" s="109"/>
      <c r="SHU32" s="109"/>
      <c r="SHV32" s="109"/>
      <c r="SHW32" s="109"/>
      <c r="SHX32" s="109"/>
      <c r="SHY32" s="109"/>
      <c r="SHZ32" s="109"/>
      <c r="SIA32" s="109"/>
      <c r="SIB32" s="109"/>
      <c r="SIC32" s="109"/>
      <c r="SID32" s="109"/>
      <c r="SIE32" s="109"/>
      <c r="SIF32" s="109"/>
      <c r="SIG32" s="109"/>
      <c r="SIH32" s="109"/>
      <c r="SII32" s="109"/>
      <c r="SIJ32" s="109"/>
      <c r="SIK32" s="109"/>
      <c r="SIL32" s="109"/>
      <c r="SIM32" s="109"/>
      <c r="SIN32" s="109"/>
      <c r="SIO32" s="109"/>
      <c r="SIP32" s="109"/>
      <c r="SIQ32" s="109"/>
      <c r="SIR32" s="109"/>
      <c r="SIS32" s="109"/>
      <c r="SIT32" s="109"/>
      <c r="SIU32" s="109"/>
      <c r="SIV32" s="109"/>
      <c r="SIW32" s="109"/>
      <c r="SIX32" s="109"/>
      <c r="SIY32" s="109"/>
      <c r="SIZ32" s="109"/>
      <c r="SJA32" s="109"/>
      <c r="SJB32" s="109"/>
      <c r="SJC32" s="109"/>
      <c r="SJD32" s="109"/>
      <c r="SJE32" s="109"/>
      <c r="SJF32" s="109"/>
      <c r="SJG32" s="109"/>
      <c r="SJH32" s="109"/>
      <c r="SJI32" s="109"/>
      <c r="SJJ32" s="109"/>
      <c r="SJK32" s="109"/>
      <c r="SJL32" s="109"/>
      <c r="SJM32" s="109"/>
      <c r="SJN32" s="109"/>
      <c r="SJO32" s="109"/>
      <c r="SJP32" s="109"/>
      <c r="SJQ32" s="109"/>
      <c r="SJR32" s="109"/>
      <c r="SJS32" s="109"/>
      <c r="SJT32" s="109"/>
      <c r="SJU32" s="109"/>
      <c r="SJV32" s="109"/>
      <c r="SJW32" s="109"/>
      <c r="SJX32" s="109"/>
      <c r="SJY32" s="109"/>
      <c r="SJZ32" s="109"/>
      <c r="SKA32" s="109"/>
      <c r="SKB32" s="109"/>
      <c r="SKC32" s="109"/>
      <c r="SKD32" s="109"/>
      <c r="SKE32" s="109"/>
      <c r="SKF32" s="109"/>
      <c r="SKG32" s="109"/>
      <c r="SKH32" s="109"/>
      <c r="SKI32" s="109"/>
      <c r="SKJ32" s="109"/>
      <c r="SKK32" s="109"/>
      <c r="SKL32" s="109"/>
      <c r="SKM32" s="109"/>
      <c r="SKN32" s="109"/>
      <c r="SKO32" s="109"/>
      <c r="SKP32" s="109"/>
      <c r="SKQ32" s="109"/>
      <c r="SKR32" s="109"/>
      <c r="SKS32" s="109"/>
      <c r="SKT32" s="109"/>
      <c r="SKU32" s="109"/>
      <c r="SKV32" s="109"/>
      <c r="SKW32" s="109"/>
      <c r="SKX32" s="109"/>
      <c r="SKY32" s="109"/>
      <c r="SKZ32" s="109"/>
      <c r="SLA32" s="109"/>
      <c r="SLB32" s="109"/>
      <c r="SLC32" s="109"/>
      <c r="SLD32" s="109"/>
      <c r="SLE32" s="109"/>
      <c r="SLF32" s="109"/>
      <c r="SLG32" s="109"/>
      <c r="SLH32" s="109"/>
      <c r="SLI32" s="109"/>
      <c r="SLJ32" s="109"/>
      <c r="SLK32" s="109"/>
      <c r="SLL32" s="109"/>
      <c r="SLM32" s="109"/>
      <c r="SLN32" s="109"/>
      <c r="SLO32" s="109"/>
      <c r="SLP32" s="109"/>
      <c r="SLQ32" s="109"/>
      <c r="SLR32" s="109"/>
      <c r="SLS32" s="109"/>
      <c r="SLT32" s="109"/>
      <c r="SLU32" s="109"/>
      <c r="SLV32" s="109"/>
      <c r="SLW32" s="109"/>
      <c r="SLX32" s="109"/>
      <c r="SLY32" s="109"/>
      <c r="SLZ32" s="109"/>
      <c r="SMA32" s="109"/>
      <c r="SMB32" s="109"/>
      <c r="SMC32" s="109"/>
      <c r="SMD32" s="109"/>
      <c r="SME32" s="109"/>
      <c r="SMF32" s="109"/>
      <c r="SMG32" s="109"/>
      <c r="SMH32" s="109"/>
      <c r="SMI32" s="109"/>
      <c r="SMJ32" s="109"/>
      <c r="SMK32" s="109"/>
      <c r="SML32" s="109"/>
      <c r="SMM32" s="109"/>
      <c r="SMN32" s="109"/>
      <c r="SMO32" s="109"/>
      <c r="SMP32" s="109"/>
      <c r="SMQ32" s="109"/>
      <c r="SMR32" s="109"/>
      <c r="SMS32" s="109"/>
      <c r="SMT32" s="109"/>
      <c r="SMU32" s="109"/>
      <c r="SMV32" s="109"/>
      <c r="SMW32" s="109"/>
      <c r="SMX32" s="109"/>
      <c r="SMY32" s="109"/>
      <c r="SMZ32" s="109"/>
      <c r="SNA32" s="109"/>
      <c r="SNB32" s="109"/>
      <c r="SNC32" s="109"/>
      <c r="SND32" s="109"/>
      <c r="SNE32" s="109"/>
      <c r="SNF32" s="109"/>
      <c r="SNG32" s="109"/>
      <c r="SNH32" s="109"/>
      <c r="SNI32" s="109"/>
      <c r="SNJ32" s="109"/>
      <c r="SNK32" s="109"/>
      <c r="SNL32" s="109"/>
      <c r="SNM32" s="109"/>
      <c r="SNN32" s="109"/>
      <c r="SNO32" s="109"/>
      <c r="SNP32" s="109"/>
      <c r="SNQ32" s="109"/>
      <c r="SNR32" s="109"/>
      <c r="SNS32" s="109"/>
      <c r="SNT32" s="109"/>
      <c r="SNU32" s="109"/>
      <c r="SNV32" s="109"/>
      <c r="SNW32" s="109"/>
      <c r="SNX32" s="109"/>
      <c r="SNY32" s="109"/>
      <c r="SNZ32" s="109"/>
      <c r="SOA32" s="109"/>
      <c r="SOB32" s="109"/>
      <c r="SOC32" s="109"/>
      <c r="SOD32" s="109"/>
      <c r="SOE32" s="109"/>
      <c r="SOF32" s="109"/>
      <c r="SOG32" s="109"/>
      <c r="SOH32" s="109"/>
      <c r="SOI32" s="109"/>
      <c r="SOJ32" s="109"/>
      <c r="SOK32" s="109"/>
      <c r="SOL32" s="109"/>
      <c r="SOM32" s="109"/>
      <c r="SON32" s="109"/>
      <c r="SOO32" s="109"/>
      <c r="SOP32" s="109"/>
      <c r="SOQ32" s="109"/>
      <c r="SOR32" s="109"/>
      <c r="SOS32" s="109"/>
      <c r="SOT32" s="109"/>
      <c r="SOU32" s="109"/>
      <c r="SOV32" s="109"/>
      <c r="SOW32" s="109"/>
      <c r="SOX32" s="109"/>
      <c r="SOY32" s="109"/>
      <c r="SOZ32" s="109"/>
      <c r="SPA32" s="109"/>
      <c r="SPB32" s="109"/>
      <c r="SPC32" s="109"/>
      <c r="SPD32" s="109"/>
      <c r="SPE32" s="109"/>
      <c r="SPF32" s="109"/>
      <c r="SPG32" s="109"/>
      <c r="SPH32" s="109"/>
      <c r="SPI32" s="109"/>
      <c r="SPJ32" s="109"/>
      <c r="SPK32" s="109"/>
      <c r="SPL32" s="109"/>
      <c r="SPM32" s="109"/>
      <c r="SPN32" s="109"/>
      <c r="SPO32" s="109"/>
      <c r="SPP32" s="109"/>
      <c r="SPQ32" s="109"/>
      <c r="SPR32" s="109"/>
      <c r="SPS32" s="109"/>
      <c r="SPT32" s="109"/>
      <c r="SPU32" s="109"/>
      <c r="SPV32" s="109"/>
      <c r="SPW32" s="109"/>
      <c r="SPX32" s="109"/>
      <c r="SPY32" s="109"/>
      <c r="SPZ32" s="109"/>
      <c r="SQA32" s="109"/>
      <c r="SQB32" s="109"/>
      <c r="SQC32" s="109"/>
      <c r="SQD32" s="109"/>
      <c r="SQE32" s="109"/>
      <c r="SQF32" s="109"/>
      <c r="SQG32" s="109"/>
      <c r="SQH32" s="109"/>
      <c r="SQI32" s="109"/>
      <c r="SQJ32" s="109"/>
      <c r="SQK32" s="109"/>
      <c r="SQL32" s="109"/>
      <c r="SQM32" s="109"/>
      <c r="SQN32" s="109"/>
      <c r="SQO32" s="109"/>
      <c r="SQP32" s="109"/>
      <c r="SQQ32" s="109"/>
      <c r="SQR32" s="109"/>
      <c r="SQS32" s="109"/>
      <c r="SQT32" s="109"/>
      <c r="SQU32" s="109"/>
      <c r="SQV32" s="109"/>
      <c r="SQW32" s="109"/>
      <c r="SQX32" s="109"/>
      <c r="SQY32" s="109"/>
      <c r="SQZ32" s="109"/>
      <c r="SRA32" s="109"/>
      <c r="SRB32" s="109"/>
      <c r="SRC32" s="109"/>
      <c r="SRD32" s="109"/>
      <c r="SRE32" s="109"/>
      <c r="SRF32" s="109"/>
      <c r="SRG32" s="109"/>
      <c r="SRH32" s="109"/>
      <c r="SRI32" s="109"/>
      <c r="SRJ32" s="109"/>
      <c r="SRK32" s="109"/>
      <c r="SRL32" s="109"/>
      <c r="SRM32" s="109"/>
      <c r="SRN32" s="109"/>
      <c r="SRO32" s="109"/>
      <c r="SRP32" s="109"/>
      <c r="SRQ32" s="109"/>
      <c r="SRR32" s="109"/>
      <c r="SRS32" s="109"/>
      <c r="SRT32" s="109"/>
      <c r="SRU32" s="109"/>
      <c r="SRV32" s="109"/>
      <c r="SRW32" s="109"/>
      <c r="SRX32" s="109"/>
      <c r="SRY32" s="109"/>
      <c r="SRZ32" s="109"/>
      <c r="SSA32" s="109"/>
      <c r="SSB32" s="109"/>
      <c r="SSC32" s="109"/>
      <c r="SSD32" s="109"/>
      <c r="SSE32" s="109"/>
      <c r="SSF32" s="109"/>
      <c r="SSG32" s="109"/>
      <c r="SSH32" s="109"/>
      <c r="SSI32" s="109"/>
      <c r="SSJ32" s="109"/>
      <c r="SSK32" s="109"/>
      <c r="SSL32" s="109"/>
      <c r="SSM32" s="109"/>
      <c r="SSN32" s="109"/>
      <c r="SSO32" s="109"/>
      <c r="SSP32" s="109"/>
      <c r="SSQ32" s="109"/>
      <c r="SSR32" s="109"/>
      <c r="SSS32" s="109"/>
      <c r="SST32" s="109"/>
      <c r="SSU32" s="109"/>
      <c r="SSV32" s="109"/>
      <c r="SSW32" s="109"/>
      <c r="SSX32" s="109"/>
      <c r="SSY32" s="109"/>
      <c r="SSZ32" s="109"/>
      <c r="STA32" s="109"/>
      <c r="STB32" s="109"/>
      <c r="STC32" s="109"/>
      <c r="STD32" s="109"/>
      <c r="STE32" s="109"/>
      <c r="STF32" s="109"/>
      <c r="STG32" s="109"/>
      <c r="STH32" s="109"/>
      <c r="STI32" s="109"/>
      <c r="STJ32" s="109"/>
      <c r="STK32" s="109"/>
      <c r="STL32" s="109"/>
      <c r="STM32" s="109"/>
      <c r="STN32" s="109"/>
      <c r="STO32" s="109"/>
      <c r="STP32" s="109"/>
      <c r="STQ32" s="109"/>
      <c r="STR32" s="109"/>
      <c r="STS32" s="109"/>
      <c r="STT32" s="109"/>
      <c r="STU32" s="109"/>
      <c r="STV32" s="109"/>
      <c r="STW32" s="109"/>
      <c r="STX32" s="109"/>
      <c r="STY32" s="109"/>
      <c r="STZ32" s="109"/>
      <c r="SUA32" s="109"/>
      <c r="SUB32" s="109"/>
      <c r="SUC32" s="109"/>
      <c r="SUD32" s="109"/>
      <c r="SUE32" s="109"/>
      <c r="SUF32" s="109"/>
      <c r="SUG32" s="109"/>
      <c r="SUH32" s="109"/>
      <c r="SUI32" s="109"/>
      <c r="SUJ32" s="109"/>
      <c r="SUK32" s="109"/>
      <c r="SUL32" s="109"/>
      <c r="SUM32" s="109"/>
      <c r="SUN32" s="109"/>
      <c r="SUO32" s="109"/>
      <c r="SUP32" s="109"/>
      <c r="SUQ32" s="109"/>
      <c r="SUR32" s="109"/>
      <c r="SUS32" s="109"/>
      <c r="SUT32" s="109"/>
      <c r="SUU32" s="109"/>
      <c r="SUV32" s="109"/>
      <c r="SUW32" s="109"/>
      <c r="SUX32" s="109"/>
      <c r="SUY32" s="109"/>
      <c r="SUZ32" s="109"/>
      <c r="SVA32" s="109"/>
      <c r="SVB32" s="109"/>
      <c r="SVC32" s="109"/>
      <c r="SVD32" s="109"/>
      <c r="SVE32" s="109"/>
      <c r="SVF32" s="109"/>
      <c r="SVG32" s="109"/>
      <c r="SVH32" s="109"/>
      <c r="SVI32" s="109"/>
      <c r="SVJ32" s="109"/>
      <c r="SVK32" s="109"/>
      <c r="SVL32" s="109"/>
      <c r="SVM32" s="109"/>
      <c r="SVN32" s="109"/>
      <c r="SVO32" s="109"/>
      <c r="SVP32" s="109"/>
      <c r="SVQ32" s="109"/>
      <c r="SVR32" s="109"/>
      <c r="SVS32" s="109"/>
      <c r="SVT32" s="109"/>
      <c r="SVU32" s="109"/>
      <c r="SVV32" s="109"/>
      <c r="SVW32" s="109"/>
      <c r="SVX32" s="109"/>
      <c r="SVY32" s="109"/>
      <c r="SVZ32" s="109"/>
      <c r="SWA32" s="109"/>
      <c r="SWB32" s="109"/>
      <c r="SWC32" s="109"/>
      <c r="SWD32" s="109"/>
      <c r="SWE32" s="109"/>
      <c r="SWF32" s="109"/>
      <c r="SWG32" s="109"/>
      <c r="SWH32" s="109"/>
      <c r="SWI32" s="109"/>
      <c r="SWJ32" s="109"/>
      <c r="SWK32" s="109"/>
      <c r="SWL32" s="109"/>
      <c r="SWM32" s="109"/>
      <c r="SWN32" s="109"/>
      <c r="SWO32" s="109"/>
      <c r="SWP32" s="109"/>
      <c r="SWQ32" s="109"/>
      <c r="SWR32" s="109"/>
      <c r="SWS32" s="109"/>
      <c r="SWT32" s="109"/>
      <c r="SWU32" s="109"/>
      <c r="SWV32" s="109"/>
      <c r="SWW32" s="109"/>
      <c r="SWX32" s="109"/>
      <c r="SWY32" s="109"/>
      <c r="SWZ32" s="109"/>
      <c r="SXA32" s="109"/>
      <c r="SXB32" s="109"/>
      <c r="SXC32" s="109"/>
      <c r="SXD32" s="109"/>
      <c r="SXE32" s="109"/>
      <c r="SXF32" s="109"/>
      <c r="SXG32" s="109"/>
      <c r="SXH32" s="109"/>
      <c r="SXI32" s="109"/>
      <c r="SXJ32" s="109"/>
      <c r="SXK32" s="109"/>
      <c r="SXL32" s="109"/>
      <c r="SXM32" s="109"/>
      <c r="SXN32" s="109"/>
      <c r="SXO32" s="109"/>
      <c r="SXP32" s="109"/>
      <c r="SXQ32" s="109"/>
      <c r="SXR32" s="109"/>
      <c r="SXS32" s="109"/>
      <c r="SXT32" s="109"/>
      <c r="SXU32" s="109"/>
      <c r="SXV32" s="109"/>
      <c r="SXW32" s="109"/>
      <c r="SXX32" s="109"/>
      <c r="SXY32" s="109"/>
      <c r="SXZ32" s="109"/>
      <c r="SYA32" s="109"/>
      <c r="SYB32" s="109"/>
      <c r="SYC32" s="109"/>
      <c r="SYD32" s="109"/>
      <c r="SYE32" s="109"/>
      <c r="SYF32" s="109"/>
      <c r="SYG32" s="109"/>
      <c r="SYH32" s="109"/>
      <c r="SYI32" s="109"/>
      <c r="SYJ32" s="109"/>
      <c r="SYK32" s="109"/>
      <c r="SYL32" s="109"/>
      <c r="SYM32" s="109"/>
      <c r="SYN32" s="109"/>
      <c r="SYO32" s="109"/>
      <c r="SYP32" s="109"/>
      <c r="SYQ32" s="109"/>
      <c r="SYR32" s="109"/>
      <c r="SYS32" s="109"/>
      <c r="SYT32" s="109"/>
      <c r="SYU32" s="109"/>
      <c r="SYV32" s="109"/>
      <c r="SYW32" s="109"/>
      <c r="SYX32" s="109"/>
      <c r="SYY32" s="109"/>
      <c r="SYZ32" s="109"/>
      <c r="SZA32" s="109"/>
      <c r="SZB32" s="109"/>
      <c r="SZC32" s="109"/>
      <c r="SZD32" s="109"/>
      <c r="SZE32" s="109"/>
      <c r="SZF32" s="109"/>
      <c r="SZG32" s="109"/>
      <c r="SZH32" s="109"/>
      <c r="SZI32" s="109"/>
      <c r="SZJ32" s="109"/>
      <c r="SZK32" s="109"/>
      <c r="SZL32" s="109"/>
      <c r="SZM32" s="109"/>
      <c r="SZN32" s="109"/>
      <c r="SZO32" s="109"/>
      <c r="SZP32" s="109"/>
      <c r="SZQ32" s="109"/>
      <c r="SZR32" s="109"/>
      <c r="SZS32" s="109"/>
      <c r="SZT32" s="109"/>
      <c r="SZU32" s="109"/>
      <c r="SZV32" s="109"/>
      <c r="SZW32" s="109"/>
      <c r="SZX32" s="109"/>
      <c r="SZY32" s="109"/>
      <c r="SZZ32" s="109"/>
      <c r="TAA32" s="109"/>
      <c r="TAB32" s="109"/>
      <c r="TAC32" s="109"/>
      <c r="TAD32" s="109"/>
      <c r="TAE32" s="109"/>
      <c r="TAF32" s="109"/>
      <c r="TAG32" s="109"/>
      <c r="TAH32" s="109"/>
      <c r="TAI32" s="109"/>
      <c r="TAJ32" s="109"/>
      <c r="TAK32" s="109"/>
      <c r="TAL32" s="109"/>
      <c r="TAM32" s="109"/>
      <c r="TAN32" s="109"/>
      <c r="TAO32" s="109"/>
      <c r="TAP32" s="109"/>
      <c r="TAQ32" s="109"/>
      <c r="TAR32" s="109"/>
      <c r="TAS32" s="109"/>
      <c r="TAT32" s="109"/>
      <c r="TAU32" s="109"/>
      <c r="TAV32" s="109"/>
      <c r="TAW32" s="109"/>
      <c r="TAX32" s="109"/>
      <c r="TAY32" s="109"/>
      <c r="TAZ32" s="109"/>
      <c r="TBA32" s="109"/>
      <c r="TBB32" s="109"/>
      <c r="TBC32" s="109"/>
      <c r="TBD32" s="109"/>
      <c r="TBE32" s="109"/>
      <c r="TBF32" s="109"/>
      <c r="TBG32" s="109"/>
      <c r="TBH32" s="109"/>
      <c r="TBI32" s="109"/>
      <c r="TBJ32" s="109"/>
      <c r="TBK32" s="109"/>
      <c r="TBL32" s="109"/>
      <c r="TBM32" s="109"/>
      <c r="TBN32" s="109"/>
      <c r="TBO32" s="109"/>
      <c r="TBP32" s="109"/>
      <c r="TBQ32" s="109"/>
      <c r="TBR32" s="109"/>
      <c r="TBS32" s="109"/>
      <c r="TBT32" s="109"/>
      <c r="TBU32" s="109"/>
      <c r="TBV32" s="109"/>
      <c r="TBW32" s="109"/>
      <c r="TBX32" s="109"/>
      <c r="TBY32" s="109"/>
      <c r="TBZ32" s="109"/>
      <c r="TCA32" s="109"/>
      <c r="TCB32" s="109"/>
      <c r="TCC32" s="109"/>
      <c r="TCD32" s="109"/>
      <c r="TCE32" s="109"/>
      <c r="TCF32" s="109"/>
      <c r="TCG32" s="109"/>
      <c r="TCH32" s="109"/>
      <c r="TCI32" s="109"/>
      <c r="TCJ32" s="109"/>
      <c r="TCK32" s="109"/>
      <c r="TCL32" s="109"/>
      <c r="TCM32" s="109"/>
      <c r="TCN32" s="109"/>
      <c r="TCO32" s="109"/>
      <c r="TCP32" s="109"/>
      <c r="TCQ32" s="109"/>
      <c r="TCR32" s="109"/>
      <c r="TCS32" s="109"/>
      <c r="TCT32" s="109"/>
      <c r="TCU32" s="109"/>
      <c r="TCV32" s="109"/>
      <c r="TCW32" s="109"/>
      <c r="TCX32" s="109"/>
      <c r="TCY32" s="109"/>
      <c r="TCZ32" s="109"/>
      <c r="TDA32" s="109"/>
      <c r="TDB32" s="109"/>
      <c r="TDC32" s="109"/>
      <c r="TDD32" s="109"/>
      <c r="TDE32" s="109"/>
      <c r="TDF32" s="109"/>
      <c r="TDG32" s="109"/>
      <c r="TDH32" s="109"/>
      <c r="TDI32" s="109"/>
      <c r="TDJ32" s="109"/>
      <c r="TDK32" s="109"/>
      <c r="TDL32" s="109"/>
      <c r="TDM32" s="109"/>
      <c r="TDN32" s="109"/>
      <c r="TDO32" s="109"/>
      <c r="TDP32" s="109"/>
      <c r="TDQ32" s="109"/>
      <c r="TDR32" s="109"/>
      <c r="TDS32" s="109"/>
      <c r="TDT32" s="109"/>
      <c r="TDU32" s="109"/>
      <c r="TDV32" s="109"/>
      <c r="TDW32" s="109"/>
      <c r="TDX32" s="109"/>
      <c r="TDY32" s="109"/>
      <c r="TDZ32" s="109"/>
      <c r="TEA32" s="109"/>
      <c r="TEB32" s="109"/>
      <c r="TEC32" s="109"/>
      <c r="TED32" s="109"/>
      <c r="TEE32" s="109"/>
      <c r="TEF32" s="109"/>
      <c r="TEG32" s="109"/>
      <c r="TEH32" s="109"/>
      <c r="TEI32" s="109"/>
      <c r="TEJ32" s="109"/>
      <c r="TEK32" s="109"/>
      <c r="TEL32" s="109"/>
      <c r="TEM32" s="109"/>
      <c r="TEN32" s="109"/>
      <c r="TEO32" s="109"/>
      <c r="TEP32" s="109"/>
      <c r="TEQ32" s="109"/>
      <c r="TER32" s="109"/>
      <c r="TES32" s="109"/>
      <c r="TET32" s="109"/>
      <c r="TEU32" s="109"/>
      <c r="TEV32" s="109"/>
      <c r="TEW32" s="109"/>
      <c r="TEX32" s="109"/>
      <c r="TEY32" s="109"/>
      <c r="TEZ32" s="109"/>
      <c r="TFA32" s="109"/>
      <c r="TFB32" s="109"/>
      <c r="TFC32" s="109"/>
      <c r="TFD32" s="109"/>
      <c r="TFE32" s="109"/>
      <c r="TFF32" s="109"/>
      <c r="TFG32" s="109"/>
      <c r="TFH32" s="109"/>
      <c r="TFI32" s="109"/>
      <c r="TFJ32" s="109"/>
      <c r="TFK32" s="109"/>
      <c r="TFL32" s="109"/>
      <c r="TFM32" s="109"/>
      <c r="TFN32" s="109"/>
      <c r="TFO32" s="109"/>
      <c r="TFP32" s="109"/>
      <c r="TFQ32" s="109"/>
      <c r="TFR32" s="109"/>
      <c r="TFS32" s="109"/>
      <c r="TFT32" s="109"/>
      <c r="TFU32" s="109"/>
      <c r="TFV32" s="109"/>
      <c r="TFW32" s="109"/>
      <c r="TFX32" s="109"/>
      <c r="TFY32" s="109"/>
      <c r="TFZ32" s="109"/>
      <c r="TGA32" s="109"/>
      <c r="TGB32" s="109"/>
      <c r="TGC32" s="109"/>
      <c r="TGD32" s="109"/>
      <c r="TGE32" s="109"/>
      <c r="TGF32" s="109"/>
      <c r="TGG32" s="109"/>
      <c r="TGH32" s="109"/>
      <c r="TGI32" s="109"/>
      <c r="TGJ32" s="109"/>
      <c r="TGK32" s="109"/>
      <c r="TGL32" s="109"/>
      <c r="TGM32" s="109"/>
      <c r="TGN32" s="109"/>
      <c r="TGO32" s="109"/>
      <c r="TGP32" s="109"/>
      <c r="TGQ32" s="109"/>
      <c r="TGR32" s="109"/>
      <c r="TGS32" s="109"/>
      <c r="TGT32" s="109"/>
      <c r="TGU32" s="109"/>
      <c r="TGV32" s="109"/>
      <c r="TGW32" s="109"/>
      <c r="TGX32" s="109"/>
      <c r="TGY32" s="109"/>
      <c r="TGZ32" s="109"/>
      <c r="THA32" s="109"/>
      <c r="THB32" s="109"/>
      <c r="THC32" s="109"/>
      <c r="THD32" s="109"/>
      <c r="THE32" s="109"/>
      <c r="THF32" s="109"/>
      <c r="THG32" s="109"/>
      <c r="THH32" s="109"/>
      <c r="THI32" s="109"/>
      <c r="THJ32" s="109"/>
      <c r="THK32" s="109"/>
      <c r="THL32" s="109"/>
      <c r="THM32" s="109"/>
      <c r="THN32" s="109"/>
      <c r="THO32" s="109"/>
      <c r="THP32" s="109"/>
      <c r="THQ32" s="109"/>
      <c r="THR32" s="109"/>
      <c r="THS32" s="109"/>
      <c r="THT32" s="109"/>
      <c r="THU32" s="109"/>
      <c r="THV32" s="109"/>
      <c r="THW32" s="109"/>
      <c r="THX32" s="109"/>
      <c r="THY32" s="109"/>
      <c r="THZ32" s="109"/>
      <c r="TIA32" s="109"/>
      <c r="TIB32" s="109"/>
      <c r="TIC32" s="109"/>
      <c r="TID32" s="109"/>
      <c r="TIE32" s="109"/>
      <c r="TIF32" s="109"/>
      <c r="TIG32" s="109"/>
      <c r="TIH32" s="109"/>
      <c r="TII32" s="109"/>
      <c r="TIJ32" s="109"/>
      <c r="TIK32" s="109"/>
      <c r="TIL32" s="109"/>
      <c r="TIM32" s="109"/>
      <c r="TIN32" s="109"/>
      <c r="TIO32" s="109"/>
      <c r="TIP32" s="109"/>
      <c r="TIQ32" s="109"/>
      <c r="TIR32" s="109"/>
      <c r="TIS32" s="109"/>
      <c r="TIT32" s="109"/>
      <c r="TIU32" s="109"/>
      <c r="TIV32" s="109"/>
      <c r="TIW32" s="109"/>
      <c r="TIX32" s="109"/>
      <c r="TIY32" s="109"/>
      <c r="TIZ32" s="109"/>
      <c r="TJA32" s="109"/>
      <c r="TJB32" s="109"/>
      <c r="TJC32" s="109"/>
      <c r="TJD32" s="109"/>
      <c r="TJE32" s="109"/>
      <c r="TJF32" s="109"/>
      <c r="TJG32" s="109"/>
      <c r="TJH32" s="109"/>
      <c r="TJI32" s="109"/>
      <c r="TJJ32" s="109"/>
      <c r="TJK32" s="109"/>
      <c r="TJL32" s="109"/>
      <c r="TJM32" s="109"/>
      <c r="TJN32" s="109"/>
      <c r="TJO32" s="109"/>
      <c r="TJP32" s="109"/>
      <c r="TJQ32" s="109"/>
      <c r="TJR32" s="109"/>
      <c r="TJS32" s="109"/>
      <c r="TJT32" s="109"/>
      <c r="TJU32" s="109"/>
      <c r="TJV32" s="109"/>
      <c r="TJW32" s="109"/>
      <c r="TJX32" s="109"/>
      <c r="TJY32" s="109"/>
      <c r="TJZ32" s="109"/>
      <c r="TKA32" s="109"/>
      <c r="TKB32" s="109"/>
      <c r="TKC32" s="109"/>
      <c r="TKD32" s="109"/>
      <c r="TKE32" s="109"/>
      <c r="TKF32" s="109"/>
      <c r="TKG32" s="109"/>
      <c r="TKH32" s="109"/>
      <c r="TKI32" s="109"/>
      <c r="TKJ32" s="109"/>
      <c r="TKK32" s="109"/>
      <c r="TKL32" s="109"/>
      <c r="TKM32" s="109"/>
      <c r="TKN32" s="109"/>
      <c r="TKO32" s="109"/>
      <c r="TKP32" s="109"/>
      <c r="TKQ32" s="109"/>
      <c r="TKR32" s="109"/>
      <c r="TKS32" s="109"/>
      <c r="TKT32" s="109"/>
      <c r="TKU32" s="109"/>
      <c r="TKV32" s="109"/>
      <c r="TKW32" s="109"/>
      <c r="TKX32" s="109"/>
      <c r="TKY32" s="109"/>
      <c r="TKZ32" s="109"/>
      <c r="TLA32" s="109"/>
      <c r="TLB32" s="109"/>
      <c r="TLC32" s="109"/>
      <c r="TLD32" s="109"/>
      <c r="TLE32" s="109"/>
      <c r="TLF32" s="109"/>
      <c r="TLG32" s="109"/>
      <c r="TLH32" s="109"/>
      <c r="TLI32" s="109"/>
      <c r="TLJ32" s="109"/>
      <c r="TLK32" s="109"/>
      <c r="TLL32" s="109"/>
      <c r="TLM32" s="109"/>
      <c r="TLN32" s="109"/>
      <c r="TLO32" s="109"/>
      <c r="TLP32" s="109"/>
      <c r="TLQ32" s="109"/>
      <c r="TLR32" s="109"/>
      <c r="TLS32" s="109"/>
      <c r="TLT32" s="109"/>
      <c r="TLU32" s="109"/>
      <c r="TLV32" s="109"/>
      <c r="TLW32" s="109"/>
      <c r="TLX32" s="109"/>
      <c r="TLY32" s="109"/>
      <c r="TLZ32" s="109"/>
      <c r="TMA32" s="109"/>
      <c r="TMB32" s="109"/>
      <c r="TMC32" s="109"/>
      <c r="TMD32" s="109"/>
      <c r="TME32" s="109"/>
      <c r="TMF32" s="109"/>
      <c r="TMG32" s="109"/>
      <c r="TMH32" s="109"/>
      <c r="TMI32" s="109"/>
      <c r="TMJ32" s="109"/>
      <c r="TMK32" s="109"/>
      <c r="TML32" s="109"/>
      <c r="TMM32" s="109"/>
      <c r="TMN32" s="109"/>
      <c r="TMO32" s="109"/>
      <c r="TMP32" s="109"/>
      <c r="TMQ32" s="109"/>
      <c r="TMR32" s="109"/>
      <c r="TMS32" s="109"/>
      <c r="TMT32" s="109"/>
      <c r="TMU32" s="109"/>
      <c r="TMV32" s="109"/>
      <c r="TMW32" s="109"/>
      <c r="TMX32" s="109"/>
      <c r="TMY32" s="109"/>
      <c r="TMZ32" s="109"/>
      <c r="TNA32" s="109"/>
      <c r="TNB32" s="109"/>
      <c r="TNC32" s="109"/>
      <c r="TND32" s="109"/>
      <c r="TNE32" s="109"/>
      <c r="TNF32" s="109"/>
      <c r="TNG32" s="109"/>
      <c r="TNH32" s="109"/>
      <c r="TNI32" s="109"/>
      <c r="TNJ32" s="109"/>
      <c r="TNK32" s="109"/>
      <c r="TNL32" s="109"/>
      <c r="TNM32" s="109"/>
      <c r="TNN32" s="109"/>
      <c r="TNO32" s="109"/>
      <c r="TNP32" s="109"/>
      <c r="TNQ32" s="109"/>
      <c r="TNR32" s="109"/>
      <c r="TNS32" s="109"/>
      <c r="TNT32" s="109"/>
      <c r="TNU32" s="109"/>
      <c r="TNV32" s="109"/>
      <c r="TNW32" s="109"/>
      <c r="TNX32" s="109"/>
      <c r="TNY32" s="109"/>
      <c r="TNZ32" s="109"/>
      <c r="TOA32" s="109"/>
      <c r="TOB32" s="109"/>
      <c r="TOC32" s="109"/>
      <c r="TOD32" s="109"/>
      <c r="TOE32" s="109"/>
      <c r="TOF32" s="109"/>
      <c r="TOG32" s="109"/>
      <c r="TOH32" s="109"/>
      <c r="TOI32" s="109"/>
      <c r="TOJ32" s="109"/>
      <c r="TOK32" s="109"/>
      <c r="TOL32" s="109"/>
      <c r="TOM32" s="109"/>
      <c r="TON32" s="109"/>
      <c r="TOO32" s="109"/>
      <c r="TOP32" s="109"/>
      <c r="TOQ32" s="109"/>
      <c r="TOR32" s="109"/>
      <c r="TOS32" s="109"/>
      <c r="TOT32" s="109"/>
      <c r="TOU32" s="109"/>
      <c r="TOV32" s="109"/>
      <c r="TOW32" s="109"/>
      <c r="TOX32" s="109"/>
      <c r="TOY32" s="109"/>
      <c r="TOZ32" s="109"/>
      <c r="TPA32" s="109"/>
      <c r="TPB32" s="109"/>
      <c r="TPC32" s="109"/>
      <c r="TPD32" s="109"/>
      <c r="TPE32" s="109"/>
      <c r="TPF32" s="109"/>
      <c r="TPG32" s="109"/>
      <c r="TPH32" s="109"/>
      <c r="TPI32" s="109"/>
      <c r="TPJ32" s="109"/>
      <c r="TPK32" s="109"/>
      <c r="TPL32" s="109"/>
      <c r="TPM32" s="109"/>
      <c r="TPN32" s="109"/>
      <c r="TPO32" s="109"/>
      <c r="TPP32" s="109"/>
      <c r="TPQ32" s="109"/>
      <c r="TPR32" s="109"/>
      <c r="TPS32" s="109"/>
      <c r="TPT32" s="109"/>
      <c r="TPU32" s="109"/>
      <c r="TPV32" s="109"/>
      <c r="TPW32" s="109"/>
      <c r="TPX32" s="109"/>
      <c r="TPY32" s="109"/>
      <c r="TPZ32" s="109"/>
      <c r="TQA32" s="109"/>
      <c r="TQB32" s="109"/>
      <c r="TQC32" s="109"/>
      <c r="TQD32" s="109"/>
      <c r="TQE32" s="109"/>
      <c r="TQF32" s="109"/>
      <c r="TQG32" s="109"/>
      <c r="TQH32" s="109"/>
      <c r="TQI32" s="109"/>
      <c r="TQJ32" s="109"/>
      <c r="TQK32" s="109"/>
      <c r="TQL32" s="109"/>
      <c r="TQM32" s="109"/>
      <c r="TQN32" s="109"/>
      <c r="TQO32" s="109"/>
      <c r="TQP32" s="109"/>
      <c r="TQQ32" s="109"/>
      <c r="TQR32" s="109"/>
      <c r="TQS32" s="109"/>
      <c r="TQT32" s="109"/>
      <c r="TQU32" s="109"/>
      <c r="TQV32" s="109"/>
      <c r="TQW32" s="109"/>
      <c r="TQX32" s="109"/>
      <c r="TQY32" s="109"/>
      <c r="TQZ32" s="109"/>
      <c r="TRA32" s="109"/>
      <c r="TRB32" s="109"/>
      <c r="TRC32" s="109"/>
      <c r="TRD32" s="109"/>
      <c r="TRE32" s="109"/>
      <c r="TRF32" s="109"/>
      <c r="TRG32" s="109"/>
      <c r="TRH32" s="109"/>
      <c r="TRI32" s="109"/>
      <c r="TRJ32" s="109"/>
      <c r="TRK32" s="109"/>
      <c r="TRL32" s="109"/>
      <c r="TRM32" s="109"/>
      <c r="TRN32" s="109"/>
      <c r="TRO32" s="109"/>
      <c r="TRP32" s="109"/>
      <c r="TRQ32" s="109"/>
      <c r="TRR32" s="109"/>
      <c r="TRS32" s="109"/>
      <c r="TRT32" s="109"/>
      <c r="TRU32" s="109"/>
      <c r="TRV32" s="109"/>
      <c r="TRW32" s="109"/>
      <c r="TRX32" s="109"/>
      <c r="TRY32" s="109"/>
      <c r="TRZ32" s="109"/>
      <c r="TSA32" s="109"/>
      <c r="TSB32" s="109"/>
      <c r="TSC32" s="109"/>
      <c r="TSD32" s="109"/>
      <c r="TSE32" s="109"/>
      <c r="TSF32" s="109"/>
      <c r="TSG32" s="109"/>
      <c r="TSH32" s="109"/>
      <c r="TSI32" s="109"/>
      <c r="TSJ32" s="109"/>
      <c r="TSK32" s="109"/>
      <c r="TSL32" s="109"/>
      <c r="TSM32" s="109"/>
      <c r="TSN32" s="109"/>
      <c r="TSO32" s="109"/>
      <c r="TSP32" s="109"/>
      <c r="TSQ32" s="109"/>
      <c r="TSR32" s="109"/>
      <c r="TSS32" s="109"/>
      <c r="TST32" s="109"/>
      <c r="TSU32" s="109"/>
      <c r="TSV32" s="109"/>
      <c r="TSW32" s="109"/>
      <c r="TSX32" s="109"/>
      <c r="TSY32" s="109"/>
      <c r="TSZ32" s="109"/>
      <c r="TTA32" s="109"/>
      <c r="TTB32" s="109"/>
      <c r="TTC32" s="109"/>
      <c r="TTD32" s="109"/>
      <c r="TTE32" s="109"/>
      <c r="TTF32" s="109"/>
      <c r="TTG32" s="109"/>
      <c r="TTH32" s="109"/>
      <c r="TTI32" s="109"/>
      <c r="TTJ32" s="109"/>
      <c r="TTK32" s="109"/>
      <c r="TTL32" s="109"/>
      <c r="TTM32" s="109"/>
      <c r="TTN32" s="109"/>
      <c r="TTO32" s="109"/>
      <c r="TTP32" s="109"/>
      <c r="TTQ32" s="109"/>
      <c r="TTR32" s="109"/>
      <c r="TTS32" s="109"/>
      <c r="TTT32" s="109"/>
      <c r="TTU32" s="109"/>
      <c r="TTV32" s="109"/>
      <c r="TTW32" s="109"/>
      <c r="TTX32" s="109"/>
      <c r="TTY32" s="109"/>
      <c r="TTZ32" s="109"/>
      <c r="TUA32" s="109"/>
      <c r="TUB32" s="109"/>
      <c r="TUC32" s="109"/>
      <c r="TUD32" s="109"/>
      <c r="TUE32" s="109"/>
      <c r="TUF32" s="109"/>
      <c r="TUG32" s="109"/>
      <c r="TUH32" s="109"/>
      <c r="TUI32" s="109"/>
      <c r="TUJ32" s="109"/>
      <c r="TUK32" s="109"/>
      <c r="TUL32" s="109"/>
      <c r="TUM32" s="109"/>
      <c r="TUN32" s="109"/>
      <c r="TUO32" s="109"/>
      <c r="TUP32" s="109"/>
      <c r="TUQ32" s="109"/>
      <c r="TUR32" s="109"/>
      <c r="TUS32" s="109"/>
      <c r="TUT32" s="109"/>
      <c r="TUU32" s="109"/>
      <c r="TUV32" s="109"/>
      <c r="TUW32" s="109"/>
      <c r="TUX32" s="109"/>
      <c r="TUY32" s="109"/>
      <c r="TUZ32" s="109"/>
      <c r="TVA32" s="109"/>
      <c r="TVB32" s="109"/>
      <c r="TVC32" s="109"/>
      <c r="TVD32" s="109"/>
      <c r="TVE32" s="109"/>
      <c r="TVF32" s="109"/>
      <c r="TVG32" s="109"/>
      <c r="TVH32" s="109"/>
      <c r="TVI32" s="109"/>
      <c r="TVJ32" s="109"/>
      <c r="TVK32" s="109"/>
      <c r="TVL32" s="109"/>
      <c r="TVM32" s="109"/>
      <c r="TVN32" s="109"/>
      <c r="TVO32" s="109"/>
      <c r="TVP32" s="109"/>
      <c r="TVQ32" s="109"/>
      <c r="TVR32" s="109"/>
      <c r="TVS32" s="109"/>
      <c r="TVT32" s="109"/>
      <c r="TVU32" s="109"/>
      <c r="TVV32" s="109"/>
      <c r="TVW32" s="109"/>
      <c r="TVX32" s="109"/>
      <c r="TVY32" s="109"/>
      <c r="TVZ32" s="109"/>
      <c r="TWA32" s="109"/>
      <c r="TWB32" s="109"/>
      <c r="TWC32" s="109"/>
      <c r="TWD32" s="109"/>
      <c r="TWE32" s="109"/>
      <c r="TWF32" s="109"/>
      <c r="TWG32" s="109"/>
      <c r="TWH32" s="109"/>
      <c r="TWI32" s="109"/>
      <c r="TWJ32" s="109"/>
      <c r="TWK32" s="109"/>
      <c r="TWL32" s="109"/>
      <c r="TWM32" s="109"/>
      <c r="TWN32" s="109"/>
      <c r="TWO32" s="109"/>
      <c r="TWP32" s="109"/>
      <c r="TWQ32" s="109"/>
      <c r="TWR32" s="109"/>
      <c r="TWS32" s="109"/>
      <c r="TWT32" s="109"/>
      <c r="TWU32" s="109"/>
      <c r="TWV32" s="109"/>
      <c r="TWW32" s="109"/>
      <c r="TWX32" s="109"/>
      <c r="TWY32" s="109"/>
      <c r="TWZ32" s="109"/>
      <c r="TXA32" s="109"/>
      <c r="TXB32" s="109"/>
      <c r="TXC32" s="109"/>
      <c r="TXD32" s="109"/>
      <c r="TXE32" s="109"/>
      <c r="TXF32" s="109"/>
      <c r="TXG32" s="109"/>
      <c r="TXH32" s="109"/>
      <c r="TXI32" s="109"/>
      <c r="TXJ32" s="109"/>
      <c r="TXK32" s="109"/>
      <c r="TXL32" s="109"/>
      <c r="TXM32" s="109"/>
      <c r="TXN32" s="109"/>
      <c r="TXO32" s="109"/>
      <c r="TXP32" s="109"/>
      <c r="TXQ32" s="109"/>
      <c r="TXR32" s="109"/>
      <c r="TXS32" s="109"/>
      <c r="TXT32" s="109"/>
      <c r="TXU32" s="109"/>
      <c r="TXV32" s="109"/>
      <c r="TXW32" s="109"/>
      <c r="TXX32" s="109"/>
      <c r="TXY32" s="109"/>
      <c r="TXZ32" s="109"/>
      <c r="TYA32" s="109"/>
      <c r="TYB32" s="109"/>
      <c r="TYC32" s="109"/>
      <c r="TYD32" s="109"/>
      <c r="TYE32" s="109"/>
      <c r="TYF32" s="109"/>
      <c r="TYG32" s="109"/>
      <c r="TYH32" s="109"/>
      <c r="TYI32" s="109"/>
      <c r="TYJ32" s="109"/>
      <c r="TYK32" s="109"/>
      <c r="TYL32" s="109"/>
      <c r="TYM32" s="109"/>
      <c r="TYN32" s="109"/>
      <c r="TYO32" s="109"/>
      <c r="TYP32" s="109"/>
      <c r="TYQ32" s="109"/>
      <c r="TYR32" s="109"/>
      <c r="TYS32" s="109"/>
      <c r="TYT32" s="109"/>
      <c r="TYU32" s="109"/>
      <c r="TYV32" s="109"/>
      <c r="TYW32" s="109"/>
      <c r="TYX32" s="109"/>
      <c r="TYY32" s="109"/>
      <c r="TYZ32" s="109"/>
      <c r="TZA32" s="109"/>
      <c r="TZB32" s="109"/>
      <c r="TZC32" s="109"/>
      <c r="TZD32" s="109"/>
      <c r="TZE32" s="109"/>
      <c r="TZF32" s="109"/>
      <c r="TZG32" s="109"/>
      <c r="TZH32" s="109"/>
      <c r="TZI32" s="109"/>
      <c r="TZJ32" s="109"/>
      <c r="TZK32" s="109"/>
      <c r="TZL32" s="109"/>
      <c r="TZM32" s="109"/>
      <c r="TZN32" s="109"/>
      <c r="TZO32" s="109"/>
      <c r="TZP32" s="109"/>
      <c r="TZQ32" s="109"/>
      <c r="TZR32" s="109"/>
      <c r="TZS32" s="109"/>
      <c r="TZT32" s="109"/>
      <c r="TZU32" s="109"/>
      <c r="TZV32" s="109"/>
      <c r="TZW32" s="109"/>
      <c r="TZX32" s="109"/>
      <c r="TZY32" s="109"/>
      <c r="TZZ32" s="109"/>
      <c r="UAA32" s="109"/>
      <c r="UAB32" s="109"/>
      <c r="UAC32" s="109"/>
      <c r="UAD32" s="109"/>
      <c r="UAE32" s="109"/>
      <c r="UAF32" s="109"/>
      <c r="UAG32" s="109"/>
      <c r="UAH32" s="109"/>
      <c r="UAI32" s="109"/>
      <c r="UAJ32" s="109"/>
      <c r="UAK32" s="109"/>
      <c r="UAL32" s="109"/>
      <c r="UAM32" s="109"/>
      <c r="UAN32" s="109"/>
      <c r="UAO32" s="109"/>
      <c r="UAP32" s="109"/>
      <c r="UAQ32" s="109"/>
      <c r="UAR32" s="109"/>
      <c r="UAS32" s="109"/>
      <c r="UAT32" s="109"/>
      <c r="UAU32" s="109"/>
      <c r="UAV32" s="109"/>
      <c r="UAW32" s="109"/>
      <c r="UAX32" s="109"/>
      <c r="UAY32" s="109"/>
      <c r="UAZ32" s="109"/>
      <c r="UBA32" s="109"/>
      <c r="UBB32" s="109"/>
      <c r="UBC32" s="109"/>
      <c r="UBD32" s="109"/>
      <c r="UBE32" s="109"/>
      <c r="UBF32" s="109"/>
      <c r="UBG32" s="109"/>
      <c r="UBH32" s="109"/>
      <c r="UBI32" s="109"/>
      <c r="UBJ32" s="109"/>
      <c r="UBK32" s="109"/>
      <c r="UBL32" s="109"/>
      <c r="UBM32" s="109"/>
      <c r="UBN32" s="109"/>
      <c r="UBO32" s="109"/>
      <c r="UBP32" s="109"/>
      <c r="UBQ32" s="109"/>
      <c r="UBR32" s="109"/>
      <c r="UBS32" s="109"/>
      <c r="UBT32" s="109"/>
      <c r="UBU32" s="109"/>
      <c r="UBV32" s="109"/>
      <c r="UBW32" s="109"/>
      <c r="UBX32" s="109"/>
      <c r="UBY32" s="109"/>
      <c r="UBZ32" s="109"/>
      <c r="UCA32" s="109"/>
      <c r="UCB32" s="109"/>
      <c r="UCC32" s="109"/>
      <c r="UCD32" s="109"/>
      <c r="UCE32" s="109"/>
      <c r="UCF32" s="109"/>
      <c r="UCG32" s="109"/>
      <c r="UCH32" s="109"/>
      <c r="UCI32" s="109"/>
      <c r="UCJ32" s="109"/>
      <c r="UCK32" s="109"/>
      <c r="UCL32" s="109"/>
      <c r="UCM32" s="109"/>
      <c r="UCN32" s="109"/>
      <c r="UCO32" s="109"/>
      <c r="UCP32" s="109"/>
      <c r="UCQ32" s="109"/>
      <c r="UCR32" s="109"/>
      <c r="UCS32" s="109"/>
      <c r="UCT32" s="109"/>
      <c r="UCU32" s="109"/>
      <c r="UCV32" s="109"/>
      <c r="UCW32" s="109"/>
      <c r="UCX32" s="109"/>
      <c r="UCY32" s="109"/>
      <c r="UCZ32" s="109"/>
      <c r="UDA32" s="109"/>
      <c r="UDB32" s="109"/>
      <c r="UDC32" s="109"/>
      <c r="UDD32" s="109"/>
      <c r="UDE32" s="109"/>
      <c r="UDF32" s="109"/>
      <c r="UDG32" s="109"/>
      <c r="UDH32" s="109"/>
      <c r="UDI32" s="109"/>
      <c r="UDJ32" s="109"/>
      <c r="UDK32" s="109"/>
      <c r="UDL32" s="109"/>
      <c r="UDM32" s="109"/>
      <c r="UDN32" s="109"/>
      <c r="UDO32" s="109"/>
      <c r="UDP32" s="109"/>
      <c r="UDQ32" s="109"/>
      <c r="UDR32" s="109"/>
      <c r="UDS32" s="109"/>
      <c r="UDT32" s="109"/>
      <c r="UDU32" s="109"/>
      <c r="UDV32" s="109"/>
      <c r="UDW32" s="109"/>
      <c r="UDX32" s="109"/>
      <c r="UDY32" s="109"/>
      <c r="UDZ32" s="109"/>
      <c r="UEA32" s="109"/>
      <c r="UEB32" s="109"/>
      <c r="UEC32" s="109"/>
      <c r="UED32" s="109"/>
      <c r="UEE32" s="109"/>
      <c r="UEF32" s="109"/>
      <c r="UEG32" s="109"/>
      <c r="UEH32" s="109"/>
      <c r="UEI32" s="109"/>
      <c r="UEJ32" s="109"/>
      <c r="UEK32" s="109"/>
      <c r="UEL32" s="109"/>
      <c r="UEM32" s="109"/>
      <c r="UEN32" s="109"/>
      <c r="UEO32" s="109"/>
      <c r="UEP32" s="109"/>
      <c r="UEQ32" s="109"/>
      <c r="UER32" s="109"/>
      <c r="UES32" s="109"/>
      <c r="UET32" s="109"/>
      <c r="UEU32" s="109"/>
      <c r="UEV32" s="109"/>
      <c r="UEW32" s="109"/>
      <c r="UEX32" s="109"/>
      <c r="UEY32" s="109"/>
      <c r="UEZ32" s="109"/>
      <c r="UFA32" s="109"/>
      <c r="UFB32" s="109"/>
      <c r="UFC32" s="109"/>
      <c r="UFD32" s="109"/>
      <c r="UFE32" s="109"/>
      <c r="UFF32" s="109"/>
      <c r="UFG32" s="109"/>
      <c r="UFH32" s="109"/>
      <c r="UFI32" s="109"/>
      <c r="UFJ32" s="109"/>
      <c r="UFK32" s="109"/>
      <c r="UFL32" s="109"/>
      <c r="UFM32" s="109"/>
      <c r="UFN32" s="109"/>
      <c r="UFO32" s="109"/>
      <c r="UFP32" s="109"/>
      <c r="UFQ32" s="109"/>
      <c r="UFR32" s="109"/>
      <c r="UFS32" s="109"/>
      <c r="UFT32" s="109"/>
      <c r="UFU32" s="109"/>
      <c r="UFV32" s="109"/>
      <c r="UFW32" s="109"/>
      <c r="UFX32" s="109"/>
      <c r="UFY32" s="109"/>
      <c r="UFZ32" s="109"/>
      <c r="UGA32" s="109"/>
      <c r="UGB32" s="109"/>
      <c r="UGC32" s="109"/>
      <c r="UGD32" s="109"/>
      <c r="UGE32" s="109"/>
      <c r="UGF32" s="109"/>
      <c r="UGG32" s="109"/>
      <c r="UGH32" s="109"/>
      <c r="UGI32" s="109"/>
      <c r="UGJ32" s="109"/>
      <c r="UGK32" s="109"/>
      <c r="UGL32" s="109"/>
      <c r="UGM32" s="109"/>
      <c r="UGN32" s="109"/>
      <c r="UGO32" s="109"/>
      <c r="UGP32" s="109"/>
      <c r="UGQ32" s="109"/>
      <c r="UGR32" s="109"/>
      <c r="UGS32" s="109"/>
      <c r="UGT32" s="109"/>
      <c r="UGU32" s="109"/>
      <c r="UGV32" s="109"/>
      <c r="UGW32" s="109"/>
      <c r="UGX32" s="109"/>
      <c r="UGY32" s="109"/>
      <c r="UGZ32" s="109"/>
      <c r="UHA32" s="109"/>
      <c r="UHB32" s="109"/>
      <c r="UHC32" s="109"/>
      <c r="UHD32" s="109"/>
      <c r="UHE32" s="109"/>
      <c r="UHF32" s="109"/>
      <c r="UHG32" s="109"/>
      <c r="UHH32" s="109"/>
      <c r="UHI32" s="109"/>
      <c r="UHJ32" s="109"/>
      <c r="UHK32" s="109"/>
      <c r="UHL32" s="109"/>
      <c r="UHM32" s="109"/>
      <c r="UHN32" s="109"/>
      <c r="UHO32" s="109"/>
      <c r="UHP32" s="109"/>
      <c r="UHQ32" s="109"/>
      <c r="UHR32" s="109"/>
      <c r="UHS32" s="109"/>
      <c r="UHT32" s="109"/>
      <c r="UHU32" s="109"/>
      <c r="UHV32" s="109"/>
      <c r="UHW32" s="109"/>
      <c r="UHX32" s="109"/>
      <c r="UHY32" s="109"/>
      <c r="UHZ32" s="109"/>
      <c r="UIA32" s="109"/>
      <c r="UIB32" s="109"/>
      <c r="UIC32" s="109"/>
      <c r="UID32" s="109"/>
      <c r="UIE32" s="109"/>
      <c r="UIF32" s="109"/>
      <c r="UIG32" s="109"/>
      <c r="UIH32" s="109"/>
      <c r="UII32" s="109"/>
      <c r="UIJ32" s="109"/>
      <c r="UIK32" s="109"/>
      <c r="UIL32" s="109"/>
      <c r="UIM32" s="109"/>
      <c r="UIN32" s="109"/>
      <c r="UIO32" s="109"/>
      <c r="UIP32" s="109"/>
      <c r="UIQ32" s="109"/>
      <c r="UIR32" s="109"/>
      <c r="UIS32" s="109"/>
      <c r="UIT32" s="109"/>
      <c r="UIU32" s="109"/>
      <c r="UIV32" s="109"/>
      <c r="UIW32" s="109"/>
      <c r="UIX32" s="109"/>
      <c r="UIY32" s="109"/>
      <c r="UIZ32" s="109"/>
      <c r="UJA32" s="109"/>
      <c r="UJB32" s="109"/>
      <c r="UJC32" s="109"/>
      <c r="UJD32" s="109"/>
      <c r="UJE32" s="109"/>
      <c r="UJF32" s="109"/>
      <c r="UJG32" s="109"/>
      <c r="UJH32" s="109"/>
      <c r="UJI32" s="109"/>
      <c r="UJJ32" s="109"/>
      <c r="UJK32" s="109"/>
      <c r="UJL32" s="109"/>
      <c r="UJM32" s="109"/>
      <c r="UJN32" s="109"/>
      <c r="UJO32" s="109"/>
      <c r="UJP32" s="109"/>
      <c r="UJQ32" s="109"/>
      <c r="UJR32" s="109"/>
      <c r="UJS32" s="109"/>
      <c r="UJT32" s="109"/>
      <c r="UJU32" s="109"/>
      <c r="UJV32" s="109"/>
      <c r="UJW32" s="109"/>
      <c r="UJX32" s="109"/>
      <c r="UJY32" s="109"/>
      <c r="UJZ32" s="109"/>
      <c r="UKA32" s="109"/>
      <c r="UKB32" s="109"/>
      <c r="UKC32" s="109"/>
      <c r="UKD32" s="109"/>
      <c r="UKE32" s="109"/>
      <c r="UKF32" s="109"/>
      <c r="UKG32" s="109"/>
      <c r="UKH32" s="109"/>
      <c r="UKI32" s="109"/>
      <c r="UKJ32" s="109"/>
      <c r="UKK32" s="109"/>
      <c r="UKL32" s="109"/>
      <c r="UKM32" s="109"/>
      <c r="UKN32" s="109"/>
      <c r="UKO32" s="109"/>
      <c r="UKP32" s="109"/>
      <c r="UKQ32" s="109"/>
      <c r="UKR32" s="109"/>
      <c r="UKS32" s="109"/>
      <c r="UKT32" s="109"/>
      <c r="UKU32" s="109"/>
      <c r="UKV32" s="109"/>
      <c r="UKW32" s="109"/>
      <c r="UKX32" s="109"/>
      <c r="UKY32" s="109"/>
      <c r="UKZ32" s="109"/>
      <c r="ULA32" s="109"/>
      <c r="ULB32" s="109"/>
      <c r="ULC32" s="109"/>
      <c r="ULD32" s="109"/>
      <c r="ULE32" s="109"/>
      <c r="ULF32" s="109"/>
      <c r="ULG32" s="109"/>
      <c r="ULH32" s="109"/>
      <c r="ULI32" s="109"/>
      <c r="ULJ32" s="109"/>
      <c r="ULK32" s="109"/>
      <c r="ULL32" s="109"/>
      <c r="ULM32" s="109"/>
      <c r="ULN32" s="109"/>
      <c r="ULO32" s="109"/>
      <c r="ULP32" s="109"/>
      <c r="ULQ32" s="109"/>
      <c r="ULR32" s="109"/>
      <c r="ULS32" s="109"/>
      <c r="ULT32" s="109"/>
      <c r="ULU32" s="109"/>
      <c r="ULV32" s="109"/>
      <c r="ULW32" s="109"/>
      <c r="ULX32" s="109"/>
      <c r="ULY32" s="109"/>
      <c r="ULZ32" s="109"/>
      <c r="UMA32" s="109"/>
      <c r="UMB32" s="109"/>
      <c r="UMC32" s="109"/>
      <c r="UMD32" s="109"/>
      <c r="UME32" s="109"/>
      <c r="UMF32" s="109"/>
      <c r="UMG32" s="109"/>
      <c r="UMH32" s="109"/>
      <c r="UMI32" s="109"/>
      <c r="UMJ32" s="109"/>
      <c r="UMK32" s="109"/>
      <c r="UML32" s="109"/>
      <c r="UMM32" s="109"/>
      <c r="UMN32" s="109"/>
      <c r="UMO32" s="109"/>
      <c r="UMP32" s="109"/>
      <c r="UMQ32" s="109"/>
      <c r="UMR32" s="109"/>
      <c r="UMS32" s="109"/>
      <c r="UMT32" s="109"/>
      <c r="UMU32" s="109"/>
      <c r="UMV32" s="109"/>
      <c r="UMW32" s="109"/>
      <c r="UMX32" s="109"/>
      <c r="UMY32" s="109"/>
      <c r="UMZ32" s="109"/>
      <c r="UNA32" s="109"/>
      <c r="UNB32" s="109"/>
      <c r="UNC32" s="109"/>
      <c r="UND32" s="109"/>
      <c r="UNE32" s="109"/>
      <c r="UNF32" s="109"/>
      <c r="UNG32" s="109"/>
      <c r="UNH32" s="109"/>
      <c r="UNI32" s="109"/>
      <c r="UNJ32" s="109"/>
      <c r="UNK32" s="109"/>
      <c r="UNL32" s="109"/>
      <c r="UNM32" s="109"/>
      <c r="UNN32" s="109"/>
      <c r="UNO32" s="109"/>
      <c r="UNP32" s="109"/>
      <c r="UNQ32" s="109"/>
      <c r="UNR32" s="109"/>
      <c r="UNS32" s="109"/>
      <c r="UNT32" s="109"/>
      <c r="UNU32" s="109"/>
      <c r="UNV32" s="109"/>
      <c r="UNW32" s="109"/>
      <c r="UNX32" s="109"/>
      <c r="UNY32" s="109"/>
      <c r="UNZ32" s="109"/>
      <c r="UOA32" s="109"/>
      <c r="UOB32" s="109"/>
      <c r="UOC32" s="109"/>
      <c r="UOD32" s="109"/>
      <c r="UOE32" s="109"/>
      <c r="UOF32" s="109"/>
      <c r="UOG32" s="109"/>
      <c r="UOH32" s="109"/>
      <c r="UOI32" s="109"/>
      <c r="UOJ32" s="109"/>
      <c r="UOK32" s="109"/>
      <c r="UOL32" s="109"/>
      <c r="UOM32" s="109"/>
      <c r="UON32" s="109"/>
      <c r="UOO32" s="109"/>
      <c r="UOP32" s="109"/>
      <c r="UOQ32" s="109"/>
      <c r="UOR32" s="109"/>
      <c r="UOS32" s="109"/>
      <c r="UOT32" s="109"/>
      <c r="UOU32" s="109"/>
      <c r="UOV32" s="109"/>
      <c r="UOW32" s="109"/>
      <c r="UOX32" s="109"/>
      <c r="UOY32" s="109"/>
      <c r="UOZ32" s="109"/>
      <c r="UPA32" s="109"/>
      <c r="UPB32" s="109"/>
      <c r="UPC32" s="109"/>
      <c r="UPD32" s="109"/>
      <c r="UPE32" s="109"/>
      <c r="UPF32" s="109"/>
      <c r="UPG32" s="109"/>
      <c r="UPH32" s="109"/>
      <c r="UPI32" s="109"/>
      <c r="UPJ32" s="109"/>
      <c r="UPK32" s="109"/>
      <c r="UPL32" s="109"/>
      <c r="UPM32" s="109"/>
      <c r="UPN32" s="109"/>
      <c r="UPO32" s="109"/>
      <c r="UPP32" s="109"/>
      <c r="UPQ32" s="109"/>
      <c r="UPR32" s="109"/>
      <c r="UPS32" s="109"/>
      <c r="UPT32" s="109"/>
      <c r="UPU32" s="109"/>
      <c r="UPV32" s="109"/>
      <c r="UPW32" s="109"/>
      <c r="UPX32" s="109"/>
      <c r="UPY32" s="109"/>
      <c r="UPZ32" s="109"/>
      <c r="UQA32" s="109"/>
      <c r="UQB32" s="109"/>
      <c r="UQC32" s="109"/>
      <c r="UQD32" s="109"/>
      <c r="UQE32" s="109"/>
      <c r="UQF32" s="109"/>
      <c r="UQG32" s="109"/>
      <c r="UQH32" s="109"/>
      <c r="UQI32" s="109"/>
      <c r="UQJ32" s="109"/>
      <c r="UQK32" s="109"/>
      <c r="UQL32" s="109"/>
      <c r="UQM32" s="109"/>
      <c r="UQN32" s="109"/>
      <c r="UQO32" s="109"/>
      <c r="UQP32" s="109"/>
      <c r="UQQ32" s="109"/>
      <c r="UQR32" s="109"/>
      <c r="UQS32" s="109"/>
      <c r="UQT32" s="109"/>
      <c r="UQU32" s="109"/>
      <c r="UQV32" s="109"/>
      <c r="UQW32" s="109"/>
      <c r="UQX32" s="109"/>
      <c r="UQY32" s="109"/>
      <c r="UQZ32" s="109"/>
      <c r="URA32" s="109"/>
      <c r="URB32" s="109"/>
      <c r="URC32" s="109"/>
      <c r="URD32" s="109"/>
      <c r="URE32" s="109"/>
      <c r="URF32" s="109"/>
      <c r="URG32" s="109"/>
      <c r="URH32" s="109"/>
      <c r="URI32" s="109"/>
      <c r="URJ32" s="109"/>
      <c r="URK32" s="109"/>
      <c r="URL32" s="109"/>
      <c r="URM32" s="109"/>
      <c r="URN32" s="109"/>
      <c r="URO32" s="109"/>
      <c r="URP32" s="109"/>
      <c r="URQ32" s="109"/>
      <c r="URR32" s="109"/>
      <c r="URS32" s="109"/>
      <c r="URT32" s="109"/>
      <c r="URU32" s="109"/>
      <c r="URV32" s="109"/>
      <c r="URW32" s="109"/>
      <c r="URX32" s="109"/>
      <c r="URY32" s="109"/>
      <c r="URZ32" s="109"/>
      <c r="USA32" s="109"/>
      <c r="USB32" s="109"/>
      <c r="USC32" s="109"/>
      <c r="USD32" s="109"/>
      <c r="USE32" s="109"/>
      <c r="USF32" s="109"/>
      <c r="USG32" s="109"/>
      <c r="USH32" s="109"/>
      <c r="USI32" s="109"/>
      <c r="USJ32" s="109"/>
      <c r="USK32" s="109"/>
      <c r="USL32" s="109"/>
      <c r="USM32" s="109"/>
      <c r="USN32" s="109"/>
      <c r="USO32" s="109"/>
      <c r="USP32" s="109"/>
      <c r="USQ32" s="109"/>
      <c r="USR32" s="109"/>
      <c r="USS32" s="109"/>
      <c r="UST32" s="109"/>
      <c r="USU32" s="109"/>
      <c r="USV32" s="109"/>
      <c r="USW32" s="109"/>
      <c r="USX32" s="109"/>
      <c r="USY32" s="109"/>
      <c r="USZ32" s="109"/>
      <c r="UTA32" s="109"/>
      <c r="UTB32" s="109"/>
      <c r="UTC32" s="109"/>
      <c r="UTD32" s="109"/>
      <c r="UTE32" s="109"/>
      <c r="UTF32" s="109"/>
      <c r="UTG32" s="109"/>
      <c r="UTH32" s="109"/>
      <c r="UTI32" s="109"/>
      <c r="UTJ32" s="109"/>
      <c r="UTK32" s="109"/>
      <c r="UTL32" s="109"/>
      <c r="UTM32" s="109"/>
      <c r="UTN32" s="109"/>
      <c r="UTO32" s="109"/>
      <c r="UTP32" s="109"/>
      <c r="UTQ32" s="109"/>
      <c r="UTR32" s="109"/>
      <c r="UTS32" s="109"/>
      <c r="UTT32" s="109"/>
      <c r="UTU32" s="109"/>
      <c r="UTV32" s="109"/>
      <c r="UTW32" s="109"/>
      <c r="UTX32" s="109"/>
      <c r="UTY32" s="109"/>
      <c r="UTZ32" s="109"/>
      <c r="UUA32" s="109"/>
      <c r="UUB32" s="109"/>
      <c r="UUC32" s="109"/>
      <c r="UUD32" s="109"/>
      <c r="UUE32" s="109"/>
      <c r="UUF32" s="109"/>
      <c r="UUG32" s="109"/>
      <c r="UUH32" s="109"/>
      <c r="UUI32" s="109"/>
      <c r="UUJ32" s="109"/>
      <c r="UUK32" s="109"/>
      <c r="UUL32" s="109"/>
      <c r="UUM32" s="109"/>
      <c r="UUN32" s="109"/>
      <c r="UUO32" s="109"/>
      <c r="UUP32" s="109"/>
      <c r="UUQ32" s="109"/>
      <c r="UUR32" s="109"/>
      <c r="UUS32" s="109"/>
      <c r="UUT32" s="109"/>
      <c r="UUU32" s="109"/>
      <c r="UUV32" s="109"/>
      <c r="UUW32" s="109"/>
      <c r="UUX32" s="109"/>
      <c r="UUY32" s="109"/>
      <c r="UUZ32" s="109"/>
      <c r="UVA32" s="109"/>
      <c r="UVB32" s="109"/>
      <c r="UVC32" s="109"/>
      <c r="UVD32" s="109"/>
      <c r="UVE32" s="109"/>
      <c r="UVF32" s="109"/>
      <c r="UVG32" s="109"/>
      <c r="UVH32" s="109"/>
      <c r="UVI32" s="109"/>
      <c r="UVJ32" s="109"/>
      <c r="UVK32" s="109"/>
      <c r="UVL32" s="109"/>
      <c r="UVM32" s="109"/>
      <c r="UVN32" s="109"/>
      <c r="UVO32" s="109"/>
      <c r="UVP32" s="109"/>
      <c r="UVQ32" s="109"/>
      <c r="UVR32" s="109"/>
      <c r="UVS32" s="109"/>
      <c r="UVT32" s="109"/>
      <c r="UVU32" s="109"/>
      <c r="UVV32" s="109"/>
      <c r="UVW32" s="109"/>
      <c r="UVX32" s="109"/>
      <c r="UVY32" s="109"/>
      <c r="UVZ32" s="109"/>
      <c r="UWA32" s="109"/>
      <c r="UWB32" s="109"/>
      <c r="UWC32" s="109"/>
      <c r="UWD32" s="109"/>
      <c r="UWE32" s="109"/>
      <c r="UWF32" s="109"/>
      <c r="UWG32" s="109"/>
      <c r="UWH32" s="109"/>
      <c r="UWI32" s="109"/>
      <c r="UWJ32" s="109"/>
      <c r="UWK32" s="109"/>
      <c r="UWL32" s="109"/>
      <c r="UWM32" s="109"/>
      <c r="UWN32" s="109"/>
      <c r="UWO32" s="109"/>
      <c r="UWP32" s="109"/>
      <c r="UWQ32" s="109"/>
      <c r="UWR32" s="109"/>
      <c r="UWS32" s="109"/>
      <c r="UWT32" s="109"/>
      <c r="UWU32" s="109"/>
      <c r="UWV32" s="109"/>
      <c r="UWW32" s="109"/>
      <c r="UWX32" s="109"/>
      <c r="UWY32" s="109"/>
      <c r="UWZ32" s="109"/>
      <c r="UXA32" s="109"/>
      <c r="UXB32" s="109"/>
      <c r="UXC32" s="109"/>
      <c r="UXD32" s="109"/>
      <c r="UXE32" s="109"/>
      <c r="UXF32" s="109"/>
      <c r="UXG32" s="109"/>
      <c r="UXH32" s="109"/>
      <c r="UXI32" s="109"/>
      <c r="UXJ32" s="109"/>
      <c r="UXK32" s="109"/>
      <c r="UXL32" s="109"/>
      <c r="UXM32" s="109"/>
      <c r="UXN32" s="109"/>
      <c r="UXO32" s="109"/>
      <c r="UXP32" s="109"/>
      <c r="UXQ32" s="109"/>
      <c r="UXR32" s="109"/>
      <c r="UXS32" s="109"/>
      <c r="UXT32" s="109"/>
      <c r="UXU32" s="109"/>
      <c r="UXV32" s="109"/>
      <c r="UXW32" s="109"/>
      <c r="UXX32" s="109"/>
      <c r="UXY32" s="109"/>
      <c r="UXZ32" s="109"/>
      <c r="UYA32" s="109"/>
      <c r="UYB32" s="109"/>
      <c r="UYC32" s="109"/>
      <c r="UYD32" s="109"/>
      <c r="UYE32" s="109"/>
      <c r="UYF32" s="109"/>
      <c r="UYG32" s="109"/>
      <c r="UYH32" s="109"/>
      <c r="UYI32" s="109"/>
      <c r="UYJ32" s="109"/>
      <c r="UYK32" s="109"/>
      <c r="UYL32" s="109"/>
      <c r="UYM32" s="109"/>
      <c r="UYN32" s="109"/>
      <c r="UYO32" s="109"/>
      <c r="UYP32" s="109"/>
      <c r="UYQ32" s="109"/>
      <c r="UYR32" s="109"/>
      <c r="UYS32" s="109"/>
      <c r="UYT32" s="109"/>
      <c r="UYU32" s="109"/>
      <c r="UYV32" s="109"/>
      <c r="UYW32" s="109"/>
      <c r="UYX32" s="109"/>
      <c r="UYY32" s="109"/>
      <c r="UYZ32" s="109"/>
      <c r="UZA32" s="109"/>
      <c r="UZB32" s="109"/>
      <c r="UZC32" s="109"/>
      <c r="UZD32" s="109"/>
      <c r="UZE32" s="109"/>
      <c r="UZF32" s="109"/>
      <c r="UZG32" s="109"/>
      <c r="UZH32" s="109"/>
      <c r="UZI32" s="109"/>
      <c r="UZJ32" s="109"/>
      <c r="UZK32" s="109"/>
      <c r="UZL32" s="109"/>
      <c r="UZM32" s="109"/>
      <c r="UZN32" s="109"/>
      <c r="UZO32" s="109"/>
      <c r="UZP32" s="109"/>
      <c r="UZQ32" s="109"/>
      <c r="UZR32" s="109"/>
      <c r="UZS32" s="109"/>
      <c r="UZT32" s="109"/>
      <c r="UZU32" s="109"/>
      <c r="UZV32" s="109"/>
      <c r="UZW32" s="109"/>
      <c r="UZX32" s="109"/>
      <c r="UZY32" s="109"/>
      <c r="UZZ32" s="109"/>
      <c r="VAA32" s="109"/>
      <c r="VAB32" s="109"/>
      <c r="VAC32" s="109"/>
      <c r="VAD32" s="109"/>
      <c r="VAE32" s="109"/>
      <c r="VAF32" s="109"/>
      <c r="VAG32" s="109"/>
      <c r="VAH32" s="109"/>
      <c r="VAI32" s="109"/>
      <c r="VAJ32" s="109"/>
      <c r="VAK32" s="109"/>
      <c r="VAL32" s="109"/>
      <c r="VAM32" s="109"/>
      <c r="VAN32" s="109"/>
      <c r="VAO32" s="109"/>
      <c r="VAP32" s="109"/>
      <c r="VAQ32" s="109"/>
      <c r="VAR32" s="109"/>
      <c r="VAS32" s="109"/>
      <c r="VAT32" s="109"/>
      <c r="VAU32" s="109"/>
      <c r="VAV32" s="109"/>
      <c r="VAW32" s="109"/>
      <c r="VAX32" s="109"/>
      <c r="VAY32" s="109"/>
      <c r="VAZ32" s="109"/>
      <c r="VBA32" s="109"/>
      <c r="VBB32" s="109"/>
      <c r="VBC32" s="109"/>
      <c r="VBD32" s="109"/>
      <c r="VBE32" s="109"/>
      <c r="VBF32" s="109"/>
      <c r="VBG32" s="109"/>
      <c r="VBH32" s="109"/>
      <c r="VBI32" s="109"/>
      <c r="VBJ32" s="109"/>
      <c r="VBK32" s="109"/>
      <c r="VBL32" s="109"/>
      <c r="VBM32" s="109"/>
      <c r="VBN32" s="109"/>
      <c r="VBO32" s="109"/>
      <c r="VBP32" s="109"/>
      <c r="VBQ32" s="109"/>
      <c r="VBR32" s="109"/>
      <c r="VBS32" s="109"/>
      <c r="VBT32" s="109"/>
      <c r="VBU32" s="109"/>
      <c r="VBV32" s="109"/>
      <c r="VBW32" s="109"/>
      <c r="VBX32" s="109"/>
      <c r="VBY32" s="109"/>
      <c r="VBZ32" s="109"/>
      <c r="VCA32" s="109"/>
      <c r="VCB32" s="109"/>
      <c r="VCC32" s="109"/>
      <c r="VCD32" s="109"/>
      <c r="VCE32" s="109"/>
      <c r="VCF32" s="109"/>
      <c r="VCG32" s="109"/>
      <c r="VCH32" s="109"/>
      <c r="VCI32" s="109"/>
      <c r="VCJ32" s="109"/>
      <c r="VCK32" s="109"/>
      <c r="VCL32" s="109"/>
      <c r="VCM32" s="109"/>
      <c r="VCN32" s="109"/>
      <c r="VCO32" s="109"/>
      <c r="VCP32" s="109"/>
      <c r="VCQ32" s="109"/>
      <c r="VCR32" s="109"/>
      <c r="VCS32" s="109"/>
      <c r="VCT32" s="109"/>
      <c r="VCU32" s="109"/>
      <c r="VCV32" s="109"/>
      <c r="VCW32" s="109"/>
      <c r="VCX32" s="109"/>
      <c r="VCY32" s="109"/>
      <c r="VCZ32" s="109"/>
      <c r="VDA32" s="109"/>
      <c r="VDB32" s="109"/>
      <c r="VDC32" s="109"/>
      <c r="VDD32" s="109"/>
      <c r="VDE32" s="109"/>
      <c r="VDF32" s="109"/>
      <c r="VDG32" s="109"/>
      <c r="VDH32" s="109"/>
      <c r="VDI32" s="109"/>
      <c r="VDJ32" s="109"/>
      <c r="VDK32" s="109"/>
      <c r="VDL32" s="109"/>
      <c r="VDM32" s="109"/>
      <c r="VDN32" s="109"/>
      <c r="VDO32" s="109"/>
      <c r="VDP32" s="109"/>
      <c r="VDQ32" s="109"/>
      <c r="VDR32" s="109"/>
      <c r="VDS32" s="109"/>
      <c r="VDT32" s="109"/>
      <c r="VDU32" s="109"/>
      <c r="VDV32" s="109"/>
      <c r="VDW32" s="109"/>
      <c r="VDX32" s="109"/>
      <c r="VDY32" s="109"/>
      <c r="VDZ32" s="109"/>
      <c r="VEA32" s="109"/>
      <c r="VEB32" s="109"/>
      <c r="VEC32" s="109"/>
      <c r="VED32" s="109"/>
      <c r="VEE32" s="109"/>
      <c r="VEF32" s="109"/>
      <c r="VEG32" s="109"/>
      <c r="VEH32" s="109"/>
      <c r="VEI32" s="109"/>
      <c r="VEJ32" s="109"/>
      <c r="VEK32" s="109"/>
      <c r="VEL32" s="109"/>
      <c r="VEM32" s="109"/>
      <c r="VEN32" s="109"/>
      <c r="VEO32" s="109"/>
      <c r="VEP32" s="109"/>
      <c r="VEQ32" s="109"/>
      <c r="VER32" s="109"/>
      <c r="VES32" s="109"/>
      <c r="VET32" s="109"/>
      <c r="VEU32" s="109"/>
      <c r="VEV32" s="109"/>
      <c r="VEW32" s="109"/>
      <c r="VEX32" s="109"/>
      <c r="VEY32" s="109"/>
      <c r="VEZ32" s="109"/>
      <c r="VFA32" s="109"/>
      <c r="VFB32" s="109"/>
      <c r="VFC32" s="109"/>
      <c r="VFD32" s="109"/>
      <c r="VFE32" s="109"/>
      <c r="VFF32" s="109"/>
      <c r="VFG32" s="109"/>
      <c r="VFH32" s="109"/>
      <c r="VFI32" s="109"/>
      <c r="VFJ32" s="109"/>
      <c r="VFK32" s="109"/>
      <c r="VFL32" s="109"/>
      <c r="VFM32" s="109"/>
      <c r="VFN32" s="109"/>
      <c r="VFO32" s="109"/>
      <c r="VFP32" s="109"/>
      <c r="VFQ32" s="109"/>
      <c r="VFR32" s="109"/>
      <c r="VFS32" s="109"/>
      <c r="VFT32" s="109"/>
      <c r="VFU32" s="109"/>
      <c r="VFV32" s="109"/>
      <c r="VFW32" s="109"/>
      <c r="VFX32" s="109"/>
      <c r="VFY32" s="109"/>
      <c r="VFZ32" s="109"/>
      <c r="VGA32" s="109"/>
      <c r="VGB32" s="109"/>
      <c r="VGC32" s="109"/>
      <c r="VGD32" s="109"/>
      <c r="VGE32" s="109"/>
      <c r="VGF32" s="109"/>
      <c r="VGG32" s="109"/>
      <c r="VGH32" s="109"/>
      <c r="VGI32" s="109"/>
      <c r="VGJ32" s="109"/>
      <c r="VGK32" s="109"/>
      <c r="VGL32" s="109"/>
      <c r="VGM32" s="109"/>
      <c r="VGN32" s="109"/>
      <c r="VGO32" s="109"/>
      <c r="VGP32" s="109"/>
      <c r="VGQ32" s="109"/>
      <c r="VGR32" s="109"/>
      <c r="VGS32" s="109"/>
      <c r="VGT32" s="109"/>
      <c r="VGU32" s="109"/>
      <c r="VGV32" s="109"/>
      <c r="VGW32" s="109"/>
      <c r="VGX32" s="109"/>
      <c r="VGY32" s="109"/>
      <c r="VGZ32" s="109"/>
      <c r="VHA32" s="109"/>
      <c r="VHB32" s="109"/>
      <c r="VHC32" s="109"/>
      <c r="VHD32" s="109"/>
      <c r="VHE32" s="109"/>
      <c r="VHF32" s="109"/>
      <c r="VHG32" s="109"/>
      <c r="VHH32" s="109"/>
      <c r="VHI32" s="109"/>
      <c r="VHJ32" s="109"/>
      <c r="VHK32" s="109"/>
      <c r="VHL32" s="109"/>
      <c r="VHM32" s="109"/>
      <c r="VHN32" s="109"/>
      <c r="VHO32" s="109"/>
      <c r="VHP32" s="109"/>
      <c r="VHQ32" s="109"/>
      <c r="VHR32" s="109"/>
      <c r="VHS32" s="109"/>
      <c r="VHT32" s="109"/>
      <c r="VHU32" s="109"/>
      <c r="VHV32" s="109"/>
      <c r="VHW32" s="109"/>
      <c r="VHX32" s="109"/>
      <c r="VHY32" s="109"/>
      <c r="VHZ32" s="109"/>
      <c r="VIA32" s="109"/>
      <c r="VIB32" s="109"/>
      <c r="VIC32" s="109"/>
      <c r="VID32" s="109"/>
      <c r="VIE32" s="109"/>
      <c r="VIF32" s="109"/>
      <c r="VIG32" s="109"/>
      <c r="VIH32" s="109"/>
      <c r="VII32" s="109"/>
      <c r="VIJ32" s="109"/>
      <c r="VIK32" s="109"/>
      <c r="VIL32" s="109"/>
      <c r="VIM32" s="109"/>
      <c r="VIN32" s="109"/>
      <c r="VIO32" s="109"/>
      <c r="VIP32" s="109"/>
      <c r="VIQ32" s="109"/>
      <c r="VIR32" s="109"/>
      <c r="VIS32" s="109"/>
      <c r="VIT32" s="109"/>
      <c r="VIU32" s="109"/>
      <c r="VIV32" s="109"/>
      <c r="VIW32" s="109"/>
      <c r="VIX32" s="109"/>
      <c r="VIY32" s="109"/>
      <c r="VIZ32" s="109"/>
      <c r="VJA32" s="109"/>
      <c r="VJB32" s="109"/>
      <c r="VJC32" s="109"/>
      <c r="VJD32" s="109"/>
      <c r="VJE32" s="109"/>
      <c r="VJF32" s="109"/>
      <c r="VJG32" s="109"/>
      <c r="VJH32" s="109"/>
      <c r="VJI32" s="109"/>
      <c r="VJJ32" s="109"/>
      <c r="VJK32" s="109"/>
      <c r="VJL32" s="109"/>
      <c r="VJM32" s="109"/>
      <c r="VJN32" s="109"/>
      <c r="VJO32" s="109"/>
      <c r="VJP32" s="109"/>
      <c r="VJQ32" s="109"/>
      <c r="VJR32" s="109"/>
      <c r="VJS32" s="109"/>
      <c r="VJT32" s="109"/>
      <c r="VJU32" s="109"/>
      <c r="VJV32" s="109"/>
      <c r="VJW32" s="109"/>
      <c r="VJX32" s="109"/>
      <c r="VJY32" s="109"/>
      <c r="VJZ32" s="109"/>
      <c r="VKA32" s="109"/>
      <c r="VKB32" s="109"/>
      <c r="VKC32" s="109"/>
      <c r="VKD32" s="109"/>
      <c r="VKE32" s="109"/>
      <c r="VKF32" s="109"/>
      <c r="VKG32" s="109"/>
      <c r="VKH32" s="109"/>
      <c r="VKI32" s="109"/>
      <c r="VKJ32" s="109"/>
      <c r="VKK32" s="109"/>
      <c r="VKL32" s="109"/>
      <c r="VKM32" s="109"/>
      <c r="VKN32" s="109"/>
      <c r="VKO32" s="109"/>
      <c r="VKP32" s="109"/>
      <c r="VKQ32" s="109"/>
      <c r="VKR32" s="109"/>
      <c r="VKS32" s="109"/>
      <c r="VKT32" s="109"/>
      <c r="VKU32" s="109"/>
      <c r="VKV32" s="109"/>
      <c r="VKW32" s="109"/>
      <c r="VKX32" s="109"/>
      <c r="VKY32" s="109"/>
      <c r="VKZ32" s="109"/>
      <c r="VLA32" s="109"/>
      <c r="VLB32" s="109"/>
      <c r="VLC32" s="109"/>
      <c r="VLD32" s="109"/>
      <c r="VLE32" s="109"/>
      <c r="VLF32" s="109"/>
      <c r="VLG32" s="109"/>
      <c r="VLH32" s="109"/>
      <c r="VLI32" s="109"/>
      <c r="VLJ32" s="109"/>
      <c r="VLK32" s="109"/>
      <c r="VLL32" s="109"/>
      <c r="VLM32" s="109"/>
      <c r="VLN32" s="109"/>
      <c r="VLO32" s="109"/>
      <c r="VLP32" s="109"/>
      <c r="VLQ32" s="109"/>
      <c r="VLR32" s="109"/>
      <c r="VLS32" s="109"/>
      <c r="VLT32" s="109"/>
      <c r="VLU32" s="109"/>
      <c r="VLV32" s="109"/>
      <c r="VLW32" s="109"/>
      <c r="VLX32" s="109"/>
      <c r="VLY32" s="109"/>
      <c r="VLZ32" s="109"/>
      <c r="VMA32" s="109"/>
      <c r="VMB32" s="109"/>
      <c r="VMC32" s="109"/>
      <c r="VMD32" s="109"/>
      <c r="VME32" s="109"/>
      <c r="VMF32" s="109"/>
      <c r="VMG32" s="109"/>
      <c r="VMH32" s="109"/>
      <c r="VMI32" s="109"/>
      <c r="VMJ32" s="109"/>
      <c r="VMK32" s="109"/>
      <c r="VML32" s="109"/>
      <c r="VMM32" s="109"/>
      <c r="VMN32" s="109"/>
      <c r="VMO32" s="109"/>
      <c r="VMP32" s="109"/>
      <c r="VMQ32" s="109"/>
      <c r="VMR32" s="109"/>
      <c r="VMS32" s="109"/>
      <c r="VMT32" s="109"/>
      <c r="VMU32" s="109"/>
      <c r="VMV32" s="109"/>
      <c r="VMW32" s="109"/>
      <c r="VMX32" s="109"/>
      <c r="VMY32" s="109"/>
      <c r="VMZ32" s="109"/>
      <c r="VNA32" s="109"/>
      <c r="VNB32" s="109"/>
      <c r="VNC32" s="109"/>
      <c r="VND32" s="109"/>
      <c r="VNE32" s="109"/>
      <c r="VNF32" s="109"/>
      <c r="VNG32" s="109"/>
      <c r="VNH32" s="109"/>
      <c r="VNI32" s="109"/>
      <c r="VNJ32" s="109"/>
      <c r="VNK32" s="109"/>
      <c r="VNL32" s="109"/>
      <c r="VNM32" s="109"/>
      <c r="VNN32" s="109"/>
      <c r="VNO32" s="109"/>
      <c r="VNP32" s="109"/>
      <c r="VNQ32" s="109"/>
      <c r="VNR32" s="109"/>
      <c r="VNS32" s="109"/>
      <c r="VNT32" s="109"/>
      <c r="VNU32" s="109"/>
      <c r="VNV32" s="109"/>
      <c r="VNW32" s="109"/>
      <c r="VNX32" s="109"/>
      <c r="VNY32" s="109"/>
      <c r="VNZ32" s="109"/>
      <c r="VOA32" s="109"/>
      <c r="VOB32" s="109"/>
      <c r="VOC32" s="109"/>
      <c r="VOD32" s="109"/>
      <c r="VOE32" s="109"/>
      <c r="VOF32" s="109"/>
      <c r="VOG32" s="109"/>
      <c r="VOH32" s="109"/>
      <c r="VOI32" s="109"/>
      <c r="VOJ32" s="109"/>
      <c r="VOK32" s="109"/>
      <c r="VOL32" s="109"/>
      <c r="VOM32" s="109"/>
      <c r="VON32" s="109"/>
      <c r="VOO32" s="109"/>
      <c r="VOP32" s="109"/>
      <c r="VOQ32" s="109"/>
      <c r="VOR32" s="109"/>
      <c r="VOS32" s="109"/>
      <c r="VOT32" s="109"/>
      <c r="VOU32" s="109"/>
      <c r="VOV32" s="109"/>
      <c r="VOW32" s="109"/>
      <c r="VOX32" s="109"/>
      <c r="VOY32" s="109"/>
      <c r="VOZ32" s="109"/>
      <c r="VPA32" s="109"/>
      <c r="VPB32" s="109"/>
      <c r="VPC32" s="109"/>
      <c r="VPD32" s="109"/>
      <c r="VPE32" s="109"/>
      <c r="VPF32" s="109"/>
      <c r="VPG32" s="109"/>
      <c r="VPH32" s="109"/>
      <c r="VPI32" s="109"/>
      <c r="VPJ32" s="109"/>
      <c r="VPK32" s="109"/>
      <c r="VPL32" s="109"/>
      <c r="VPM32" s="109"/>
      <c r="VPN32" s="109"/>
      <c r="VPO32" s="109"/>
      <c r="VPP32" s="109"/>
      <c r="VPQ32" s="109"/>
      <c r="VPR32" s="109"/>
      <c r="VPS32" s="109"/>
      <c r="VPT32" s="109"/>
      <c r="VPU32" s="109"/>
      <c r="VPV32" s="109"/>
      <c r="VPW32" s="109"/>
      <c r="VPX32" s="109"/>
      <c r="VPY32" s="109"/>
      <c r="VPZ32" s="109"/>
      <c r="VQA32" s="109"/>
      <c r="VQB32" s="109"/>
      <c r="VQC32" s="109"/>
      <c r="VQD32" s="109"/>
      <c r="VQE32" s="109"/>
      <c r="VQF32" s="109"/>
      <c r="VQG32" s="109"/>
      <c r="VQH32" s="109"/>
      <c r="VQI32" s="109"/>
      <c r="VQJ32" s="109"/>
      <c r="VQK32" s="109"/>
      <c r="VQL32" s="109"/>
      <c r="VQM32" s="109"/>
      <c r="VQN32" s="109"/>
      <c r="VQO32" s="109"/>
      <c r="VQP32" s="109"/>
      <c r="VQQ32" s="109"/>
      <c r="VQR32" s="109"/>
      <c r="VQS32" s="109"/>
      <c r="VQT32" s="109"/>
      <c r="VQU32" s="109"/>
      <c r="VQV32" s="109"/>
      <c r="VQW32" s="109"/>
      <c r="VQX32" s="109"/>
      <c r="VQY32" s="109"/>
      <c r="VQZ32" s="109"/>
      <c r="VRA32" s="109"/>
      <c r="VRB32" s="109"/>
      <c r="VRC32" s="109"/>
      <c r="VRD32" s="109"/>
      <c r="VRE32" s="109"/>
      <c r="VRF32" s="109"/>
      <c r="VRG32" s="109"/>
      <c r="VRH32" s="109"/>
      <c r="VRI32" s="109"/>
      <c r="VRJ32" s="109"/>
      <c r="VRK32" s="109"/>
      <c r="VRL32" s="109"/>
      <c r="VRM32" s="109"/>
      <c r="VRN32" s="109"/>
      <c r="VRO32" s="109"/>
      <c r="VRP32" s="109"/>
      <c r="VRQ32" s="109"/>
      <c r="VRR32" s="109"/>
      <c r="VRS32" s="109"/>
      <c r="VRT32" s="109"/>
      <c r="VRU32" s="109"/>
      <c r="VRV32" s="109"/>
      <c r="VRW32" s="109"/>
      <c r="VRX32" s="109"/>
      <c r="VRY32" s="109"/>
      <c r="VRZ32" s="109"/>
      <c r="VSA32" s="109"/>
      <c r="VSB32" s="109"/>
      <c r="VSC32" s="109"/>
      <c r="VSD32" s="109"/>
      <c r="VSE32" s="109"/>
      <c r="VSF32" s="109"/>
      <c r="VSG32" s="109"/>
      <c r="VSH32" s="109"/>
      <c r="VSI32" s="109"/>
      <c r="VSJ32" s="109"/>
      <c r="VSK32" s="109"/>
      <c r="VSL32" s="109"/>
      <c r="VSM32" s="109"/>
      <c r="VSN32" s="109"/>
      <c r="VSO32" s="109"/>
      <c r="VSP32" s="109"/>
      <c r="VSQ32" s="109"/>
      <c r="VSR32" s="109"/>
      <c r="VSS32" s="109"/>
      <c r="VST32" s="109"/>
      <c r="VSU32" s="109"/>
      <c r="VSV32" s="109"/>
      <c r="VSW32" s="109"/>
      <c r="VSX32" s="109"/>
      <c r="VSY32" s="109"/>
      <c r="VSZ32" s="109"/>
      <c r="VTA32" s="109"/>
      <c r="VTB32" s="109"/>
      <c r="VTC32" s="109"/>
      <c r="VTD32" s="109"/>
      <c r="VTE32" s="109"/>
      <c r="VTF32" s="109"/>
      <c r="VTG32" s="109"/>
      <c r="VTH32" s="109"/>
      <c r="VTI32" s="109"/>
      <c r="VTJ32" s="109"/>
      <c r="VTK32" s="109"/>
      <c r="VTL32" s="109"/>
      <c r="VTM32" s="109"/>
      <c r="VTN32" s="109"/>
      <c r="VTO32" s="109"/>
      <c r="VTP32" s="109"/>
      <c r="VTQ32" s="109"/>
      <c r="VTR32" s="109"/>
      <c r="VTS32" s="109"/>
      <c r="VTT32" s="109"/>
      <c r="VTU32" s="109"/>
      <c r="VTV32" s="109"/>
      <c r="VTW32" s="109"/>
      <c r="VTX32" s="109"/>
      <c r="VTY32" s="109"/>
      <c r="VTZ32" s="109"/>
      <c r="VUA32" s="109"/>
      <c r="VUB32" s="109"/>
      <c r="VUC32" s="109"/>
      <c r="VUD32" s="109"/>
      <c r="VUE32" s="109"/>
      <c r="VUF32" s="109"/>
      <c r="VUG32" s="109"/>
      <c r="VUH32" s="109"/>
      <c r="VUI32" s="109"/>
      <c r="VUJ32" s="109"/>
      <c r="VUK32" s="109"/>
      <c r="VUL32" s="109"/>
      <c r="VUM32" s="109"/>
      <c r="VUN32" s="109"/>
      <c r="VUO32" s="109"/>
      <c r="VUP32" s="109"/>
      <c r="VUQ32" s="109"/>
      <c r="VUR32" s="109"/>
      <c r="VUS32" s="109"/>
      <c r="VUT32" s="109"/>
      <c r="VUU32" s="109"/>
      <c r="VUV32" s="109"/>
      <c r="VUW32" s="109"/>
      <c r="VUX32" s="109"/>
      <c r="VUY32" s="109"/>
      <c r="VUZ32" s="109"/>
      <c r="VVA32" s="109"/>
      <c r="VVB32" s="109"/>
      <c r="VVC32" s="109"/>
      <c r="VVD32" s="109"/>
      <c r="VVE32" s="109"/>
      <c r="VVF32" s="109"/>
      <c r="VVG32" s="109"/>
      <c r="VVH32" s="109"/>
      <c r="VVI32" s="109"/>
      <c r="VVJ32" s="109"/>
      <c r="VVK32" s="109"/>
      <c r="VVL32" s="109"/>
      <c r="VVM32" s="109"/>
      <c r="VVN32" s="109"/>
      <c r="VVO32" s="109"/>
      <c r="VVP32" s="109"/>
      <c r="VVQ32" s="109"/>
      <c r="VVR32" s="109"/>
      <c r="VVS32" s="109"/>
      <c r="VVT32" s="109"/>
      <c r="VVU32" s="109"/>
      <c r="VVV32" s="109"/>
      <c r="VVW32" s="109"/>
      <c r="VVX32" s="109"/>
      <c r="VVY32" s="109"/>
      <c r="VVZ32" s="109"/>
      <c r="VWA32" s="109"/>
      <c r="VWB32" s="109"/>
      <c r="VWC32" s="109"/>
      <c r="VWD32" s="109"/>
      <c r="VWE32" s="109"/>
      <c r="VWF32" s="109"/>
      <c r="VWG32" s="109"/>
      <c r="VWH32" s="109"/>
      <c r="VWI32" s="109"/>
      <c r="VWJ32" s="109"/>
      <c r="VWK32" s="109"/>
      <c r="VWL32" s="109"/>
      <c r="VWM32" s="109"/>
      <c r="VWN32" s="109"/>
      <c r="VWO32" s="109"/>
      <c r="VWP32" s="109"/>
      <c r="VWQ32" s="109"/>
      <c r="VWR32" s="109"/>
      <c r="VWS32" s="109"/>
      <c r="VWT32" s="109"/>
      <c r="VWU32" s="109"/>
      <c r="VWV32" s="109"/>
      <c r="VWW32" s="109"/>
      <c r="VWX32" s="109"/>
      <c r="VWY32" s="109"/>
      <c r="VWZ32" s="109"/>
      <c r="VXA32" s="109"/>
      <c r="VXB32" s="109"/>
      <c r="VXC32" s="109"/>
      <c r="VXD32" s="109"/>
      <c r="VXE32" s="109"/>
      <c r="VXF32" s="109"/>
      <c r="VXG32" s="109"/>
      <c r="VXH32" s="109"/>
      <c r="VXI32" s="109"/>
      <c r="VXJ32" s="109"/>
      <c r="VXK32" s="109"/>
      <c r="VXL32" s="109"/>
      <c r="VXM32" s="109"/>
      <c r="VXN32" s="109"/>
      <c r="VXO32" s="109"/>
      <c r="VXP32" s="109"/>
      <c r="VXQ32" s="109"/>
      <c r="VXR32" s="109"/>
      <c r="VXS32" s="109"/>
      <c r="VXT32" s="109"/>
      <c r="VXU32" s="109"/>
      <c r="VXV32" s="109"/>
      <c r="VXW32" s="109"/>
      <c r="VXX32" s="109"/>
      <c r="VXY32" s="109"/>
      <c r="VXZ32" s="109"/>
      <c r="VYA32" s="109"/>
      <c r="VYB32" s="109"/>
      <c r="VYC32" s="109"/>
      <c r="VYD32" s="109"/>
      <c r="VYE32" s="109"/>
      <c r="VYF32" s="109"/>
      <c r="VYG32" s="109"/>
      <c r="VYH32" s="109"/>
      <c r="VYI32" s="109"/>
      <c r="VYJ32" s="109"/>
      <c r="VYK32" s="109"/>
      <c r="VYL32" s="109"/>
      <c r="VYM32" s="109"/>
      <c r="VYN32" s="109"/>
      <c r="VYO32" s="109"/>
      <c r="VYP32" s="109"/>
      <c r="VYQ32" s="109"/>
      <c r="VYR32" s="109"/>
      <c r="VYS32" s="109"/>
      <c r="VYT32" s="109"/>
      <c r="VYU32" s="109"/>
      <c r="VYV32" s="109"/>
      <c r="VYW32" s="109"/>
      <c r="VYX32" s="109"/>
      <c r="VYY32" s="109"/>
      <c r="VYZ32" s="109"/>
      <c r="VZA32" s="109"/>
      <c r="VZB32" s="109"/>
      <c r="VZC32" s="109"/>
      <c r="VZD32" s="109"/>
      <c r="VZE32" s="109"/>
      <c r="VZF32" s="109"/>
      <c r="VZG32" s="109"/>
      <c r="VZH32" s="109"/>
      <c r="VZI32" s="109"/>
      <c r="VZJ32" s="109"/>
      <c r="VZK32" s="109"/>
      <c r="VZL32" s="109"/>
      <c r="VZM32" s="109"/>
      <c r="VZN32" s="109"/>
      <c r="VZO32" s="109"/>
      <c r="VZP32" s="109"/>
      <c r="VZQ32" s="109"/>
      <c r="VZR32" s="109"/>
      <c r="VZS32" s="109"/>
      <c r="VZT32" s="109"/>
      <c r="VZU32" s="109"/>
      <c r="VZV32" s="109"/>
      <c r="VZW32" s="109"/>
      <c r="VZX32" s="109"/>
      <c r="VZY32" s="109"/>
      <c r="VZZ32" s="109"/>
      <c r="WAA32" s="109"/>
      <c r="WAB32" s="109"/>
      <c r="WAC32" s="109"/>
      <c r="WAD32" s="109"/>
      <c r="WAE32" s="109"/>
      <c r="WAF32" s="109"/>
      <c r="WAG32" s="109"/>
      <c r="WAH32" s="109"/>
      <c r="WAI32" s="109"/>
      <c r="WAJ32" s="109"/>
      <c r="WAK32" s="109"/>
      <c r="WAL32" s="109"/>
      <c r="WAM32" s="109"/>
      <c r="WAN32" s="109"/>
      <c r="WAO32" s="109"/>
      <c r="WAP32" s="109"/>
      <c r="WAQ32" s="109"/>
      <c r="WAR32" s="109"/>
      <c r="WAS32" s="109"/>
      <c r="WAT32" s="109"/>
      <c r="WAU32" s="109"/>
      <c r="WAV32" s="109"/>
      <c r="WAW32" s="109"/>
      <c r="WAX32" s="109"/>
      <c r="WAY32" s="109"/>
      <c r="WAZ32" s="109"/>
      <c r="WBA32" s="109"/>
      <c r="WBB32" s="109"/>
      <c r="WBC32" s="109"/>
      <c r="WBD32" s="109"/>
      <c r="WBE32" s="109"/>
      <c r="WBF32" s="109"/>
      <c r="WBG32" s="109"/>
      <c r="WBH32" s="109"/>
      <c r="WBI32" s="109"/>
      <c r="WBJ32" s="109"/>
      <c r="WBK32" s="109"/>
      <c r="WBL32" s="109"/>
      <c r="WBM32" s="109"/>
      <c r="WBN32" s="109"/>
      <c r="WBO32" s="109"/>
      <c r="WBP32" s="109"/>
      <c r="WBQ32" s="109"/>
      <c r="WBR32" s="109"/>
      <c r="WBS32" s="109"/>
      <c r="WBT32" s="109"/>
      <c r="WBU32" s="109"/>
      <c r="WBV32" s="109"/>
      <c r="WBW32" s="109"/>
      <c r="WBX32" s="109"/>
      <c r="WBY32" s="109"/>
      <c r="WBZ32" s="109"/>
      <c r="WCA32" s="109"/>
      <c r="WCB32" s="109"/>
      <c r="WCC32" s="109"/>
      <c r="WCD32" s="109"/>
      <c r="WCE32" s="109"/>
      <c r="WCF32" s="109"/>
      <c r="WCG32" s="109"/>
      <c r="WCH32" s="109"/>
      <c r="WCI32" s="109"/>
      <c r="WCJ32" s="109"/>
      <c r="WCK32" s="109"/>
      <c r="WCL32" s="109"/>
      <c r="WCM32" s="109"/>
      <c r="WCN32" s="109"/>
      <c r="WCO32" s="109"/>
      <c r="WCP32" s="109"/>
      <c r="WCQ32" s="109"/>
      <c r="WCR32" s="109"/>
      <c r="WCS32" s="109"/>
      <c r="WCT32" s="109"/>
      <c r="WCU32" s="109"/>
      <c r="WCV32" s="109"/>
      <c r="WCW32" s="109"/>
      <c r="WCX32" s="109"/>
      <c r="WCY32" s="109"/>
      <c r="WCZ32" s="109"/>
      <c r="WDA32" s="109"/>
      <c r="WDB32" s="109"/>
      <c r="WDC32" s="109"/>
      <c r="WDD32" s="109"/>
      <c r="WDE32" s="109"/>
      <c r="WDF32" s="109"/>
      <c r="WDG32" s="109"/>
      <c r="WDH32" s="109"/>
      <c r="WDI32" s="109"/>
      <c r="WDJ32" s="109"/>
      <c r="WDK32" s="109"/>
      <c r="WDL32" s="109"/>
      <c r="WDM32" s="109"/>
      <c r="WDN32" s="109"/>
      <c r="WDO32" s="109"/>
      <c r="WDP32" s="109"/>
      <c r="WDQ32" s="109"/>
      <c r="WDR32" s="109"/>
      <c r="WDS32" s="109"/>
      <c r="WDT32" s="109"/>
      <c r="WDU32" s="109"/>
      <c r="WDV32" s="109"/>
      <c r="WDW32" s="109"/>
      <c r="WDX32" s="109"/>
      <c r="WDY32" s="109"/>
      <c r="WDZ32" s="109"/>
      <c r="WEA32" s="109"/>
      <c r="WEB32" s="109"/>
      <c r="WEC32" s="109"/>
      <c r="WED32" s="109"/>
      <c r="WEE32" s="109"/>
      <c r="WEF32" s="109"/>
      <c r="WEG32" s="109"/>
      <c r="WEH32" s="109"/>
      <c r="WEI32" s="109"/>
      <c r="WEJ32" s="109"/>
      <c r="WEK32" s="109"/>
      <c r="WEL32" s="109"/>
      <c r="WEM32" s="109"/>
      <c r="WEN32" s="109"/>
      <c r="WEO32" s="109"/>
      <c r="WEP32" s="109"/>
      <c r="WEQ32" s="109"/>
      <c r="WER32" s="109"/>
      <c r="WES32" s="109"/>
      <c r="WET32" s="109"/>
      <c r="WEU32" s="109"/>
      <c r="WEV32" s="109"/>
      <c r="WEW32" s="109"/>
      <c r="WEX32" s="109"/>
      <c r="WEY32" s="109"/>
      <c r="WEZ32" s="109"/>
      <c r="WFA32" s="109"/>
      <c r="WFB32" s="109"/>
      <c r="WFC32" s="109"/>
      <c r="WFD32" s="109"/>
      <c r="WFE32" s="109"/>
      <c r="WFF32" s="109"/>
      <c r="WFG32" s="109"/>
      <c r="WFH32" s="109"/>
      <c r="WFI32" s="109"/>
      <c r="WFJ32" s="109"/>
      <c r="WFK32" s="109"/>
      <c r="WFL32" s="109"/>
      <c r="WFM32" s="109"/>
      <c r="WFN32" s="109"/>
      <c r="WFO32" s="109"/>
      <c r="WFP32" s="109"/>
      <c r="WFQ32" s="109"/>
      <c r="WFR32" s="109"/>
      <c r="WFS32" s="109"/>
      <c r="WFT32" s="109"/>
      <c r="WFU32" s="109"/>
      <c r="WFV32" s="109"/>
      <c r="WFW32" s="109"/>
      <c r="WFX32" s="109"/>
      <c r="WFY32" s="109"/>
      <c r="WFZ32" s="109"/>
      <c r="WGA32" s="109"/>
      <c r="WGB32" s="109"/>
      <c r="WGC32" s="109"/>
      <c r="WGD32" s="109"/>
      <c r="WGE32" s="109"/>
      <c r="WGF32" s="109"/>
      <c r="WGG32" s="109"/>
      <c r="WGH32" s="109"/>
      <c r="WGI32" s="109"/>
      <c r="WGJ32" s="109"/>
      <c r="WGK32" s="109"/>
      <c r="WGL32" s="109"/>
      <c r="WGM32" s="109"/>
      <c r="WGN32" s="109"/>
      <c r="WGO32" s="109"/>
      <c r="WGP32" s="109"/>
      <c r="WGQ32" s="109"/>
      <c r="WGR32" s="109"/>
      <c r="WGS32" s="109"/>
      <c r="WGT32" s="109"/>
      <c r="WGU32" s="109"/>
      <c r="WGV32" s="109"/>
      <c r="WGW32" s="109"/>
      <c r="WGX32" s="109"/>
      <c r="WGY32" s="109"/>
      <c r="WGZ32" s="109"/>
      <c r="WHA32" s="109"/>
      <c r="WHB32" s="109"/>
      <c r="WHC32" s="109"/>
      <c r="WHD32" s="109"/>
      <c r="WHE32" s="109"/>
      <c r="WHF32" s="109"/>
      <c r="WHG32" s="109"/>
      <c r="WHH32" s="109"/>
      <c r="WHI32" s="109"/>
      <c r="WHJ32" s="109"/>
      <c r="WHK32" s="109"/>
      <c r="WHL32" s="109"/>
      <c r="WHM32" s="109"/>
      <c r="WHN32" s="109"/>
      <c r="WHO32" s="109"/>
      <c r="WHP32" s="109"/>
      <c r="WHQ32" s="109"/>
      <c r="WHR32" s="109"/>
      <c r="WHS32" s="109"/>
      <c r="WHT32" s="109"/>
      <c r="WHU32" s="109"/>
      <c r="WHV32" s="109"/>
      <c r="WHW32" s="109"/>
      <c r="WHX32" s="109"/>
      <c r="WHY32" s="109"/>
      <c r="WHZ32" s="109"/>
      <c r="WIA32" s="109"/>
      <c r="WIB32" s="109"/>
      <c r="WIC32" s="109"/>
      <c r="WID32" s="109"/>
      <c r="WIE32" s="109"/>
      <c r="WIF32" s="109"/>
      <c r="WIG32" s="109"/>
      <c r="WIH32" s="109"/>
      <c r="WII32" s="109"/>
      <c r="WIJ32" s="109"/>
      <c r="WIK32" s="109"/>
      <c r="WIL32" s="109"/>
      <c r="WIM32" s="109"/>
      <c r="WIN32" s="109"/>
      <c r="WIO32" s="109"/>
      <c r="WIP32" s="109"/>
      <c r="WIQ32" s="109"/>
      <c r="WIR32" s="109"/>
      <c r="WIS32" s="109"/>
      <c r="WIT32" s="109"/>
      <c r="WIU32" s="109"/>
      <c r="WIV32" s="109"/>
      <c r="WIW32" s="109"/>
      <c r="WIX32" s="109"/>
      <c r="WIY32" s="109"/>
      <c r="WIZ32" s="109"/>
      <c r="WJA32" s="109"/>
      <c r="WJB32" s="109"/>
      <c r="WJC32" s="109"/>
      <c r="WJD32" s="109"/>
      <c r="WJE32" s="109"/>
      <c r="WJF32" s="109"/>
      <c r="WJG32" s="109"/>
      <c r="WJH32" s="109"/>
      <c r="WJI32" s="109"/>
      <c r="WJJ32" s="109"/>
      <c r="WJK32" s="109"/>
      <c r="WJL32" s="109"/>
      <c r="WJM32" s="109"/>
      <c r="WJN32" s="109"/>
      <c r="WJO32" s="109"/>
      <c r="WJP32" s="109"/>
      <c r="WJQ32" s="109"/>
      <c r="WJR32" s="109"/>
      <c r="WJS32" s="109"/>
      <c r="WJT32" s="109"/>
      <c r="WJU32" s="109"/>
      <c r="WJV32" s="109"/>
      <c r="WJW32" s="109"/>
      <c r="WJX32" s="109"/>
      <c r="WJY32" s="109"/>
      <c r="WJZ32" s="109"/>
      <c r="WKA32" s="109"/>
      <c r="WKB32" s="109"/>
      <c r="WKC32" s="109"/>
      <c r="WKD32" s="109"/>
      <c r="WKE32" s="109"/>
      <c r="WKF32" s="109"/>
      <c r="WKG32" s="109"/>
      <c r="WKH32" s="109"/>
      <c r="WKI32" s="109"/>
      <c r="WKJ32" s="109"/>
      <c r="WKK32" s="109"/>
      <c r="WKL32" s="109"/>
      <c r="WKM32" s="109"/>
      <c r="WKN32" s="109"/>
      <c r="WKO32" s="109"/>
      <c r="WKP32" s="109"/>
      <c r="WKQ32" s="109"/>
      <c r="WKR32" s="109"/>
      <c r="WKS32" s="109"/>
      <c r="WKT32" s="109"/>
      <c r="WKU32" s="109"/>
      <c r="WKV32" s="109"/>
      <c r="WKW32" s="109"/>
      <c r="WKX32" s="109"/>
      <c r="WKY32" s="109"/>
      <c r="WKZ32" s="109"/>
      <c r="WLA32" s="109"/>
      <c r="WLB32" s="109"/>
      <c r="WLC32" s="109"/>
      <c r="WLD32" s="109"/>
      <c r="WLE32" s="109"/>
      <c r="WLF32" s="109"/>
      <c r="WLG32" s="109"/>
      <c r="WLH32" s="109"/>
      <c r="WLI32" s="109"/>
      <c r="WLJ32" s="109"/>
      <c r="WLK32" s="109"/>
      <c r="WLL32" s="109"/>
      <c r="WLM32" s="109"/>
      <c r="WLN32" s="109"/>
      <c r="WLO32" s="109"/>
      <c r="WLP32" s="109"/>
      <c r="WLQ32" s="109"/>
      <c r="WLR32" s="109"/>
      <c r="WLS32" s="109"/>
      <c r="WLT32" s="109"/>
      <c r="WLU32" s="109"/>
      <c r="WLV32" s="109"/>
      <c r="WLW32" s="109"/>
      <c r="WLX32" s="109"/>
      <c r="WLY32" s="109"/>
      <c r="WLZ32" s="109"/>
      <c r="WMA32" s="109"/>
      <c r="WMB32" s="109"/>
      <c r="WMC32" s="109"/>
      <c r="WMD32" s="109"/>
      <c r="WME32" s="109"/>
      <c r="WMF32" s="109"/>
      <c r="WMG32" s="109"/>
      <c r="WMH32" s="109"/>
      <c r="WMI32" s="109"/>
      <c r="WMJ32" s="109"/>
      <c r="WMK32" s="109"/>
      <c r="WML32" s="109"/>
      <c r="WMM32" s="109"/>
      <c r="WMN32" s="109"/>
      <c r="WMO32" s="109"/>
      <c r="WMP32" s="109"/>
      <c r="WMQ32" s="109"/>
      <c r="WMR32" s="109"/>
      <c r="WMS32" s="109"/>
      <c r="WMT32" s="109"/>
      <c r="WMU32" s="109"/>
      <c r="WMV32" s="109"/>
      <c r="WMW32" s="109"/>
      <c r="WMX32" s="109"/>
      <c r="WMY32" s="109"/>
      <c r="WMZ32" s="109"/>
      <c r="WNA32" s="109"/>
      <c r="WNB32" s="109"/>
      <c r="WNC32" s="109"/>
      <c r="WND32" s="109"/>
      <c r="WNE32" s="109"/>
      <c r="WNF32" s="109"/>
      <c r="WNG32" s="109"/>
      <c r="WNH32" s="109"/>
      <c r="WNI32" s="109"/>
      <c r="WNJ32" s="109"/>
      <c r="WNK32" s="109"/>
      <c r="WNL32" s="109"/>
      <c r="WNM32" s="109"/>
      <c r="WNN32" s="109"/>
      <c r="WNO32" s="109"/>
      <c r="WNP32" s="109"/>
      <c r="WNQ32" s="109"/>
      <c r="WNR32" s="109"/>
      <c r="WNS32" s="109"/>
      <c r="WNT32" s="109"/>
      <c r="WNU32" s="109"/>
      <c r="WNV32" s="109"/>
      <c r="WNW32" s="109"/>
      <c r="WNX32" s="109"/>
      <c r="WNY32" s="109"/>
      <c r="WNZ32" s="109"/>
      <c r="WOA32" s="109"/>
      <c r="WOB32" s="109"/>
      <c r="WOC32" s="109"/>
      <c r="WOD32" s="109"/>
      <c r="WOE32" s="109"/>
      <c r="WOF32" s="109"/>
      <c r="WOG32" s="109"/>
      <c r="WOH32" s="109"/>
      <c r="WOI32" s="109"/>
      <c r="WOJ32" s="109"/>
      <c r="WOK32" s="109"/>
      <c r="WOL32" s="109"/>
      <c r="WOM32" s="109"/>
      <c r="WON32" s="109"/>
      <c r="WOO32" s="109"/>
      <c r="WOP32" s="109"/>
      <c r="WOQ32" s="109"/>
      <c r="WOR32" s="109"/>
      <c r="WOS32" s="109"/>
      <c r="WOT32" s="109"/>
      <c r="WOU32" s="109"/>
      <c r="WOV32" s="109"/>
      <c r="WOW32" s="109"/>
      <c r="WOX32" s="109"/>
      <c r="WOY32" s="109"/>
      <c r="WOZ32" s="109"/>
      <c r="WPA32" s="109"/>
      <c r="WPB32" s="109"/>
      <c r="WPC32" s="109"/>
      <c r="WPD32" s="109"/>
      <c r="WPE32" s="109"/>
      <c r="WPF32" s="109"/>
      <c r="WPG32" s="109"/>
      <c r="WPH32" s="109"/>
      <c r="WPI32" s="109"/>
      <c r="WPJ32" s="109"/>
      <c r="WPK32" s="109"/>
      <c r="WPL32" s="109"/>
      <c r="WPM32" s="109"/>
      <c r="WPN32" s="109"/>
      <c r="WPO32" s="109"/>
      <c r="WPP32" s="109"/>
      <c r="WPQ32" s="109"/>
      <c r="WPR32" s="109"/>
      <c r="WPS32" s="109"/>
      <c r="WPT32" s="109"/>
      <c r="WPU32" s="109"/>
      <c r="WPV32" s="109"/>
      <c r="WPW32" s="109"/>
      <c r="WPX32" s="109"/>
      <c r="WPY32" s="109"/>
      <c r="WPZ32" s="109"/>
      <c r="WQA32" s="109"/>
      <c r="WQB32" s="109"/>
      <c r="WQC32" s="109"/>
      <c r="WQD32" s="109"/>
      <c r="WQE32" s="109"/>
      <c r="WQF32" s="109"/>
      <c r="WQG32" s="109"/>
      <c r="WQH32" s="109"/>
      <c r="WQI32" s="109"/>
      <c r="WQJ32" s="109"/>
      <c r="WQK32" s="109"/>
      <c r="WQL32" s="109"/>
      <c r="WQM32" s="109"/>
      <c r="WQN32" s="109"/>
      <c r="WQO32" s="109"/>
      <c r="WQP32" s="109"/>
      <c r="WQQ32" s="109"/>
      <c r="WQR32" s="109"/>
      <c r="WQS32" s="109"/>
      <c r="WQT32" s="109"/>
      <c r="WQU32" s="109"/>
      <c r="WQV32" s="109"/>
      <c r="WQW32" s="109"/>
      <c r="WQX32" s="109"/>
      <c r="WQY32" s="109"/>
      <c r="WQZ32" s="109"/>
      <c r="WRA32" s="109"/>
      <c r="WRB32" s="109"/>
      <c r="WRC32" s="109"/>
      <c r="WRD32" s="109"/>
      <c r="WRE32" s="109"/>
      <c r="WRF32" s="109"/>
      <c r="WRG32" s="109"/>
      <c r="WRH32" s="109"/>
      <c r="WRI32" s="109"/>
      <c r="WRJ32" s="109"/>
      <c r="WRK32" s="109"/>
      <c r="WRL32" s="109"/>
      <c r="WRM32" s="109"/>
      <c r="WRN32" s="109"/>
      <c r="WRO32" s="109"/>
      <c r="WRP32" s="109"/>
      <c r="WRQ32" s="109"/>
      <c r="WRR32" s="109"/>
      <c r="WRS32" s="109"/>
      <c r="WRT32" s="109"/>
      <c r="WRU32" s="109"/>
      <c r="WRV32" s="109"/>
      <c r="WRW32" s="109"/>
      <c r="WRX32" s="109"/>
      <c r="WRY32" s="109"/>
      <c r="WRZ32" s="109"/>
      <c r="WSA32" s="109"/>
      <c r="WSB32" s="109"/>
      <c r="WSC32" s="109"/>
      <c r="WSD32" s="109"/>
      <c r="WSE32" s="109"/>
      <c r="WSF32" s="109"/>
      <c r="WSG32" s="109"/>
      <c r="WSH32" s="109"/>
      <c r="WSI32" s="109"/>
      <c r="WSJ32" s="109"/>
      <c r="WSK32" s="109"/>
      <c r="WSL32" s="109"/>
      <c r="WSM32" s="109"/>
      <c r="WSN32" s="109"/>
      <c r="WSO32" s="109"/>
      <c r="WSP32" s="109"/>
      <c r="WSQ32" s="109"/>
      <c r="WSR32" s="109"/>
      <c r="WSS32" s="109"/>
      <c r="WST32" s="109"/>
      <c r="WSU32" s="109"/>
      <c r="WSV32" s="109"/>
      <c r="WSW32" s="109"/>
      <c r="WSX32" s="109"/>
      <c r="WSY32" s="109"/>
      <c r="WSZ32" s="109"/>
      <c r="WTA32" s="109"/>
      <c r="WTB32" s="109"/>
      <c r="WTC32" s="109"/>
      <c r="WTD32" s="109"/>
      <c r="WTE32" s="109"/>
      <c r="WTF32" s="109"/>
      <c r="WTG32" s="109"/>
      <c r="WTH32" s="109"/>
      <c r="WTI32" s="109"/>
      <c r="WTJ32" s="109"/>
      <c r="WTK32" s="109"/>
      <c r="WTL32" s="109"/>
      <c r="WTM32" s="109"/>
      <c r="WTN32" s="109"/>
      <c r="WTO32" s="109"/>
      <c r="WTP32" s="109"/>
      <c r="WTQ32" s="109"/>
      <c r="WTR32" s="109"/>
      <c r="WTS32" s="109"/>
      <c r="WTT32" s="109"/>
      <c r="WTU32" s="109"/>
      <c r="WTV32" s="109"/>
      <c r="WTW32" s="109"/>
      <c r="WTX32" s="109"/>
      <c r="WTY32" s="109"/>
      <c r="WTZ32" s="109"/>
      <c r="WUA32" s="109"/>
      <c r="WUB32" s="109"/>
      <c r="WUC32" s="109"/>
      <c r="WUD32" s="109"/>
      <c r="WUE32" s="109"/>
      <c r="WUF32" s="109"/>
      <c r="WUG32" s="109"/>
      <c r="WUH32" s="109"/>
      <c r="WUI32" s="109"/>
      <c r="WUJ32" s="109"/>
      <c r="WUK32" s="109"/>
      <c r="WUL32" s="109"/>
      <c r="WUM32" s="109"/>
      <c r="WUN32" s="109"/>
      <c r="WUO32" s="109"/>
      <c r="WUP32" s="109"/>
      <c r="WUQ32" s="109"/>
      <c r="WUR32" s="109"/>
      <c r="WUS32" s="109"/>
      <c r="WUT32" s="109"/>
      <c r="WUU32" s="109"/>
      <c r="WUV32" s="109"/>
      <c r="WUW32" s="109"/>
      <c r="WUX32" s="109"/>
      <c r="WUY32" s="109"/>
      <c r="WUZ32" s="109"/>
      <c r="WVA32" s="109"/>
      <c r="WVB32" s="109"/>
      <c r="WVC32" s="109"/>
      <c r="WVD32" s="109"/>
      <c r="WVE32" s="109"/>
      <c r="WVF32" s="109"/>
      <c r="WVG32" s="109"/>
      <c r="WVH32" s="109"/>
      <c r="WVI32" s="109"/>
      <c r="WVJ32" s="109"/>
      <c r="WVK32" s="109"/>
      <c r="WVL32" s="109"/>
      <c r="WVM32" s="109"/>
      <c r="WVN32" s="109"/>
      <c r="WVO32" s="109"/>
      <c r="WVP32" s="109"/>
      <c r="WVQ32" s="109"/>
      <c r="WVR32" s="109"/>
      <c r="WVS32" s="109"/>
      <c r="WVT32" s="109"/>
      <c r="WVU32" s="109"/>
      <c r="WVV32" s="109"/>
      <c r="WVW32" s="109"/>
      <c r="WVX32" s="109"/>
      <c r="WVY32" s="109"/>
      <c r="WVZ32" s="109"/>
      <c r="WWA32" s="109"/>
      <c r="WWB32" s="109"/>
      <c r="WWC32" s="109"/>
      <c r="WWD32" s="109"/>
      <c r="WWE32" s="109"/>
      <c r="WWF32" s="109"/>
      <c r="WWG32" s="109"/>
      <c r="WWH32" s="109"/>
      <c r="WWI32" s="109"/>
      <c r="WWJ32" s="109"/>
      <c r="WWK32" s="109"/>
      <c r="WWL32" s="109"/>
      <c r="WWM32" s="109"/>
      <c r="WWN32" s="109"/>
      <c r="WWO32" s="109"/>
      <c r="WWP32" s="109"/>
      <c r="WWQ32" s="109"/>
      <c r="WWR32" s="109"/>
      <c r="WWS32" s="109"/>
      <c r="WWT32" s="109"/>
      <c r="WWU32" s="109"/>
      <c r="WWV32" s="109"/>
      <c r="WWW32" s="109"/>
      <c r="WWX32" s="109"/>
      <c r="WWY32" s="109"/>
      <c r="WWZ32" s="109"/>
      <c r="WXA32" s="109"/>
      <c r="WXB32" s="109"/>
      <c r="WXC32" s="109"/>
      <c r="WXD32" s="109"/>
      <c r="WXE32" s="109"/>
      <c r="WXF32" s="109"/>
      <c r="WXG32" s="109"/>
      <c r="WXH32" s="109"/>
      <c r="WXI32" s="109"/>
      <c r="WXJ32" s="109"/>
      <c r="WXK32" s="109"/>
      <c r="WXL32" s="109"/>
      <c r="WXM32" s="109"/>
      <c r="WXN32" s="109"/>
      <c r="WXO32" s="109"/>
      <c r="WXP32" s="109"/>
      <c r="WXQ32" s="109"/>
      <c r="WXR32" s="109"/>
      <c r="WXS32" s="109"/>
      <c r="WXT32" s="109"/>
      <c r="WXU32" s="109"/>
      <c r="WXV32" s="109"/>
      <c r="WXW32" s="109"/>
      <c r="WXX32" s="109"/>
      <c r="WXY32" s="109"/>
      <c r="WXZ32" s="109"/>
      <c r="WYA32" s="109"/>
      <c r="WYB32" s="109"/>
      <c r="WYC32" s="109"/>
      <c r="WYD32" s="109"/>
      <c r="WYE32" s="109"/>
      <c r="WYF32" s="109"/>
      <c r="WYG32" s="109"/>
      <c r="WYH32" s="109"/>
      <c r="WYI32" s="109"/>
      <c r="WYJ32" s="109"/>
      <c r="WYK32" s="109"/>
      <c r="WYL32" s="109"/>
      <c r="WYM32" s="109"/>
      <c r="WYN32" s="109"/>
      <c r="WYO32" s="109"/>
      <c r="WYP32" s="109"/>
      <c r="WYQ32" s="109"/>
      <c r="WYR32" s="109"/>
      <c r="WYS32" s="109"/>
      <c r="WYT32" s="109"/>
      <c r="WYU32" s="109"/>
      <c r="WYV32" s="109"/>
      <c r="WYW32" s="109"/>
      <c r="WYX32" s="109"/>
      <c r="WYY32" s="109"/>
      <c r="WYZ32" s="109"/>
      <c r="WZA32" s="109"/>
      <c r="WZB32" s="109"/>
      <c r="WZC32" s="109"/>
      <c r="WZD32" s="109"/>
      <c r="WZE32" s="109"/>
      <c r="WZF32" s="109"/>
      <c r="WZG32" s="109"/>
      <c r="WZH32" s="109"/>
      <c r="WZI32" s="109"/>
      <c r="WZJ32" s="109"/>
      <c r="WZK32" s="109"/>
      <c r="WZL32" s="109"/>
      <c r="WZM32" s="109"/>
      <c r="WZN32" s="109"/>
      <c r="WZO32" s="109"/>
      <c r="WZP32" s="109"/>
      <c r="WZQ32" s="109"/>
      <c r="WZR32" s="109"/>
      <c r="WZS32" s="109"/>
      <c r="WZT32" s="109"/>
      <c r="WZU32" s="109"/>
      <c r="WZV32" s="109"/>
      <c r="WZW32" s="109"/>
      <c r="WZX32" s="109"/>
      <c r="WZY32" s="109"/>
      <c r="WZZ32" s="109"/>
      <c r="XAA32" s="109"/>
      <c r="XAB32" s="109"/>
      <c r="XAC32" s="109"/>
      <c r="XAD32" s="109"/>
      <c r="XAE32" s="109"/>
      <c r="XAF32" s="109"/>
      <c r="XAG32" s="109"/>
      <c r="XAH32" s="109"/>
      <c r="XAI32" s="109"/>
      <c r="XAJ32" s="109"/>
      <c r="XAK32" s="109"/>
      <c r="XAL32" s="109"/>
      <c r="XAM32" s="109"/>
      <c r="XAN32" s="109"/>
      <c r="XAO32" s="109"/>
      <c r="XAP32" s="109"/>
      <c r="XAQ32" s="109"/>
      <c r="XAR32" s="109"/>
      <c r="XAS32" s="109"/>
      <c r="XAT32" s="109"/>
      <c r="XAU32" s="109"/>
      <c r="XAV32" s="109"/>
      <c r="XAW32" s="109"/>
      <c r="XAX32" s="109"/>
      <c r="XAY32" s="109"/>
      <c r="XAZ32" s="109"/>
      <c r="XBA32" s="109"/>
      <c r="XBB32" s="109"/>
      <c r="XBC32" s="109"/>
      <c r="XBD32" s="109"/>
      <c r="XBE32" s="109"/>
      <c r="XBF32" s="109"/>
      <c r="XBG32" s="109"/>
      <c r="XBH32" s="109"/>
      <c r="XBI32" s="109"/>
      <c r="XBJ32" s="109"/>
      <c r="XBK32" s="109"/>
      <c r="XBL32" s="109"/>
      <c r="XBM32" s="109"/>
      <c r="XBN32" s="109"/>
      <c r="XBO32" s="109"/>
      <c r="XBP32" s="109"/>
      <c r="XBQ32" s="109"/>
      <c r="XBR32" s="109"/>
      <c r="XBS32" s="109"/>
      <c r="XBT32" s="109"/>
      <c r="XBU32" s="109"/>
      <c r="XBV32" s="109"/>
      <c r="XBW32" s="109"/>
      <c r="XBX32" s="109"/>
      <c r="XBY32" s="109"/>
      <c r="XBZ32" s="109"/>
      <c r="XCA32" s="109"/>
      <c r="XCB32" s="109"/>
      <c r="XCC32" s="109"/>
      <c r="XCD32" s="109"/>
      <c r="XCE32" s="109"/>
      <c r="XCF32" s="109"/>
      <c r="XCG32" s="109"/>
      <c r="XCH32" s="109"/>
      <c r="XCI32" s="109"/>
      <c r="XCJ32" s="109"/>
      <c r="XCK32" s="109"/>
      <c r="XCL32" s="109"/>
      <c r="XCM32" s="109"/>
      <c r="XCN32" s="109"/>
      <c r="XCO32" s="109"/>
      <c r="XCP32" s="109"/>
      <c r="XCQ32" s="109"/>
      <c r="XCR32" s="109"/>
      <c r="XCS32" s="109"/>
      <c r="XCT32" s="109"/>
      <c r="XCU32" s="109"/>
      <c r="XCV32" s="109"/>
      <c r="XCW32" s="109"/>
      <c r="XCX32" s="109"/>
      <c r="XCY32" s="109"/>
      <c r="XCZ32" s="109"/>
      <c r="XDA32" s="109"/>
      <c r="XDB32" s="109"/>
      <c r="XDC32" s="109"/>
      <c r="XDD32" s="109"/>
      <c r="XDE32" s="109"/>
      <c r="XDF32" s="109"/>
      <c r="XDG32" s="109"/>
      <c r="XDH32" s="109"/>
      <c r="XDI32" s="109"/>
      <c r="XDJ32" s="109"/>
      <c r="XDK32" s="109"/>
      <c r="XDL32" s="109"/>
      <c r="XDM32" s="109"/>
      <c r="XDN32" s="109"/>
      <c r="XDO32" s="109"/>
      <c r="XDP32" s="109"/>
      <c r="XDQ32" s="109"/>
      <c r="XDR32" s="109"/>
      <c r="XDS32" s="109"/>
      <c r="XDT32" s="109"/>
      <c r="XDU32" s="109"/>
      <c r="XDV32" s="109"/>
      <c r="XDW32" s="109"/>
      <c r="XDX32" s="109"/>
      <c r="XDY32" s="109"/>
      <c r="XDZ32" s="109"/>
      <c r="XEA32" s="109"/>
      <c r="XEB32" s="109"/>
      <c r="XEC32" s="109"/>
      <c r="XED32" s="109"/>
      <c r="XEE32" s="109"/>
      <c r="XEF32" s="109"/>
      <c r="XEG32" s="109"/>
      <c r="XEH32" s="109"/>
      <c r="XEI32" s="109"/>
      <c r="XEJ32" s="109"/>
      <c r="XEK32" s="109"/>
      <c r="XEL32" s="109"/>
      <c r="XEM32" s="109"/>
      <c r="XEN32" s="109"/>
      <c r="XEO32" s="109"/>
      <c r="XEP32" s="109"/>
      <c r="XEQ32" s="109"/>
      <c r="XER32" s="109"/>
      <c r="XES32" s="109"/>
      <c r="XET32" s="109"/>
      <c r="XEU32" s="109"/>
      <c r="XEV32" s="109"/>
      <c r="XEW32" s="109"/>
      <c r="XEX32" s="109"/>
      <c r="XEY32" s="109"/>
      <c r="XEZ32" s="109"/>
      <c r="XFA32" s="109"/>
      <c r="XFB32" s="109"/>
      <c r="XFC32" s="109"/>
      <c r="XFD32" s="109"/>
    </row>
  </sheetData>
  <sheetProtection insertRows="0" selectLockedCells="1"/>
  <autoFilter ref="A6:N32"/>
  <sortState ref="A8:N35">
    <sortCondition ref="I8:I35"/>
  </sortState>
  <customSheetViews>
    <customSheetView guid="{A0D0EC56-6E96-4433-90B6-A9BC5A7E3615}" fitToPage="1" showAutoFilter="1">
      <pane xSplit="17" ySplit="6" topLeftCell="R28" activePane="bottomRight" state="frozen"/>
      <selection pane="bottomRight" activeCell="D57" sqref="D57"/>
      <pageMargins left="0.70866141732283472" right="0.70866141732283472" top="0.74803149606299213" bottom="0.74803149606299213" header="0.31496062992125984" footer="0.31496062992125984"/>
      <pageSetup paperSize="8" scale="62" fitToHeight="13" orientation="landscape" r:id="rId1"/>
      <headerFooter>
        <oddHeader>Prepared by Björn Johansson &amp;D&amp;RPage &amp;P</oddHeader>
        <oddFooter>&amp;Z&amp;F</oddFooter>
      </headerFooter>
      <autoFilter ref="A6:M189"/>
    </customSheetView>
  </customSheetViews>
  <mergeCells count="336">
    <mergeCell ref="AU4:BA4"/>
    <mergeCell ref="BB4:BH4"/>
    <mergeCell ref="BI4:BO4"/>
    <mergeCell ref="AN5:AT5"/>
    <mergeCell ref="AU5:BA5"/>
    <mergeCell ref="BB5:BH5"/>
    <mergeCell ref="BI5:BO5"/>
    <mergeCell ref="O5:O6"/>
    <mergeCell ref="S5:Y5"/>
    <mergeCell ref="S6:Y6"/>
    <mergeCell ref="S4:Y4"/>
    <mergeCell ref="Q4:Q6"/>
    <mergeCell ref="P4:P6"/>
    <mergeCell ref="BI6:BO6"/>
    <mergeCell ref="Z4:AF4"/>
    <mergeCell ref="Z5:AF5"/>
    <mergeCell ref="Z6:AF6"/>
    <mergeCell ref="AG5:AM5"/>
    <mergeCell ref="AG4:AM4"/>
    <mergeCell ref="AN4:AT4"/>
    <mergeCell ref="AG6:AM6"/>
    <mergeCell ref="AN6:AT6"/>
    <mergeCell ref="AU6:BA6"/>
    <mergeCell ref="BB6:BH6"/>
    <mergeCell ref="BP4:BV4"/>
    <mergeCell ref="CY4:DE4"/>
    <mergeCell ref="EO5:EU5"/>
    <mergeCell ref="BP5:BV5"/>
    <mergeCell ref="BW5:CC5"/>
    <mergeCell ref="CD5:CJ5"/>
    <mergeCell ref="CK5:CQ5"/>
    <mergeCell ref="CR5:CX5"/>
    <mergeCell ref="CY5:DE5"/>
    <mergeCell ref="BW4:CC4"/>
    <mergeCell ref="EA5:EG5"/>
    <mergeCell ref="CD4:CJ4"/>
    <mergeCell ref="CK4:CQ4"/>
    <mergeCell ref="FX4:GD4"/>
    <mergeCell ref="IP4:IV4"/>
    <mergeCell ref="IW4:JC4"/>
    <mergeCell ref="GE4:GK4"/>
    <mergeCell ref="GL4:GR4"/>
    <mergeCell ref="GS4:GY4"/>
    <mergeCell ref="GZ4:HF4"/>
    <mergeCell ref="HG4:HM4"/>
    <mergeCell ref="HN4:HT4"/>
    <mergeCell ref="HU4:IA4"/>
    <mergeCell ref="II4:IO4"/>
    <mergeCell ref="IB4:IH4"/>
    <mergeCell ref="EV4:FB4"/>
    <mergeCell ref="FC4:FI4"/>
    <mergeCell ref="FJ4:FP4"/>
    <mergeCell ref="FQ4:FW4"/>
    <mergeCell ref="CR4:CX4"/>
    <mergeCell ref="DT4:DZ4"/>
    <mergeCell ref="EA4:EG4"/>
    <mergeCell ref="EH4:EN4"/>
    <mergeCell ref="DM4:DS4"/>
    <mergeCell ref="EO4:EU4"/>
    <mergeCell ref="DF4:DL4"/>
    <mergeCell ref="BP6:BV6"/>
    <mergeCell ref="BW6:CC6"/>
    <mergeCell ref="GE5:GK5"/>
    <mergeCell ref="DF5:DL5"/>
    <mergeCell ref="DM5:DS5"/>
    <mergeCell ref="DT5:DZ5"/>
    <mergeCell ref="EV5:FB5"/>
    <mergeCell ref="FC5:FI5"/>
    <mergeCell ref="EH5:EN5"/>
    <mergeCell ref="FJ5:FP5"/>
    <mergeCell ref="FQ5:FW5"/>
    <mergeCell ref="CD6:CJ6"/>
    <mergeCell ref="CK6:CQ6"/>
    <mergeCell ref="GE6:GK6"/>
    <mergeCell ref="EH6:EN6"/>
    <mergeCell ref="EO6:EU6"/>
    <mergeCell ref="EV6:FB6"/>
    <mergeCell ref="FC6:FI6"/>
    <mergeCell ref="FX5:GD5"/>
    <mergeCell ref="GL6:GR6"/>
    <mergeCell ref="II6:IO6"/>
    <mergeCell ref="IP6:IV6"/>
    <mergeCell ref="IW6:JC6"/>
    <mergeCell ref="CR6:CX6"/>
    <mergeCell ref="CY6:DE6"/>
    <mergeCell ref="DF6:DL6"/>
    <mergeCell ref="DM6:DS6"/>
    <mergeCell ref="DT6:DZ6"/>
    <mergeCell ref="EA6:EG6"/>
    <mergeCell ref="FJ6:FP6"/>
    <mergeCell ref="FQ6:FW6"/>
    <mergeCell ref="FX6:GD6"/>
    <mergeCell ref="HU6:IA6"/>
    <mergeCell ref="GL5:GR5"/>
    <mergeCell ref="GS5:GY5"/>
    <mergeCell ref="GZ5:HF5"/>
    <mergeCell ref="HG5:HM5"/>
    <mergeCell ref="HN5:HT5"/>
    <mergeCell ref="HU5:IA5"/>
    <mergeCell ref="IB5:IH5"/>
    <mergeCell ref="II5:IO5"/>
    <mergeCell ref="IP5:IV5"/>
    <mergeCell ref="JY4:KE4"/>
    <mergeCell ref="KF4:KL4"/>
    <mergeCell ref="KM4:KS4"/>
    <mergeCell ref="KT4:KZ4"/>
    <mergeCell ref="LA4:LG4"/>
    <mergeCell ref="JD4:JJ4"/>
    <mergeCell ref="JK4:JQ4"/>
    <mergeCell ref="JR4:JX4"/>
    <mergeCell ref="JD5:JJ5"/>
    <mergeCell ref="JK5:JQ5"/>
    <mergeCell ref="JR5:JX5"/>
    <mergeCell ref="JD6:JJ6"/>
    <mergeCell ref="JK6:JQ6"/>
    <mergeCell ref="JR6:JX6"/>
    <mergeCell ref="IB6:IH6"/>
    <mergeCell ref="GS6:GY6"/>
    <mergeCell ref="GZ6:HF6"/>
    <mergeCell ref="HG6:HM6"/>
    <mergeCell ref="HN6:HT6"/>
    <mergeCell ref="IW5:JC5"/>
    <mergeCell ref="LH4:LN4"/>
    <mergeCell ref="LO4:LU4"/>
    <mergeCell ref="LV4:MB4"/>
    <mergeCell ref="MC4:MI4"/>
    <mergeCell ref="MJ4:MP4"/>
    <mergeCell ref="MQ4:MW4"/>
    <mergeCell ref="MX4:ND4"/>
    <mergeCell ref="NE4:NK4"/>
    <mergeCell ref="NL4:NR4"/>
    <mergeCell ref="NS4:NY4"/>
    <mergeCell ref="NZ4:OF4"/>
    <mergeCell ref="OG4:OM4"/>
    <mergeCell ref="ON4:OT4"/>
    <mergeCell ref="OU4:PA4"/>
    <mergeCell ref="PB4:PH4"/>
    <mergeCell ref="PI4:PO4"/>
    <mergeCell ref="PP4:PV4"/>
    <mergeCell ref="PW4:QC4"/>
    <mergeCell ref="QD4:QJ4"/>
    <mergeCell ref="QK4:QQ4"/>
    <mergeCell ref="QR4:QX4"/>
    <mergeCell ref="QY4:RE4"/>
    <mergeCell ref="JY5:KE5"/>
    <mergeCell ref="KF5:KL5"/>
    <mergeCell ref="KM5:KS5"/>
    <mergeCell ref="KT5:KZ5"/>
    <mergeCell ref="LA5:LG5"/>
    <mergeCell ref="LH5:LN5"/>
    <mergeCell ref="LO5:LU5"/>
    <mergeCell ref="LV5:MB5"/>
    <mergeCell ref="MC5:MI5"/>
    <mergeCell ref="MJ5:MP5"/>
    <mergeCell ref="MQ5:MW5"/>
    <mergeCell ref="MX5:ND5"/>
    <mergeCell ref="NE5:NK5"/>
    <mergeCell ref="NL5:NR5"/>
    <mergeCell ref="NS5:NY5"/>
    <mergeCell ref="NZ5:OF5"/>
    <mergeCell ref="OG5:OM5"/>
    <mergeCell ref="ON5:OT5"/>
    <mergeCell ref="OU5:PA5"/>
    <mergeCell ref="PB5:PH5"/>
    <mergeCell ref="PI5:PO5"/>
    <mergeCell ref="PP5:PV5"/>
    <mergeCell ref="PW5:QC5"/>
    <mergeCell ref="QD5:QJ5"/>
    <mergeCell ref="QK5:QQ5"/>
    <mergeCell ref="QR5:QX5"/>
    <mergeCell ref="QY5:RE5"/>
    <mergeCell ref="JY6:KE6"/>
    <mergeCell ref="KF6:KL6"/>
    <mergeCell ref="KM6:KS6"/>
    <mergeCell ref="KT6:KZ6"/>
    <mergeCell ref="LA6:LG6"/>
    <mergeCell ref="LH6:LN6"/>
    <mergeCell ref="LO6:LU6"/>
    <mergeCell ref="LV6:MB6"/>
    <mergeCell ref="MC6:MI6"/>
    <mergeCell ref="MJ6:MP6"/>
    <mergeCell ref="MQ6:MW6"/>
    <mergeCell ref="MX6:ND6"/>
    <mergeCell ref="NE6:NK6"/>
    <mergeCell ref="NL6:NR6"/>
    <mergeCell ref="NS6:NY6"/>
    <mergeCell ref="NZ6:OF6"/>
    <mergeCell ref="OG6:OM6"/>
    <mergeCell ref="QY6:RE6"/>
    <mergeCell ref="ON6:OT6"/>
    <mergeCell ref="OU6:PA6"/>
    <mergeCell ref="PB6:PH6"/>
    <mergeCell ref="PI6:PO6"/>
    <mergeCell ref="PP6:PV6"/>
    <mergeCell ref="PW6:QC6"/>
    <mergeCell ref="QD6:QJ6"/>
    <mergeCell ref="QK6:QQ6"/>
    <mergeCell ref="QR6:QX6"/>
    <mergeCell ref="RF4:RL4"/>
    <mergeCell ref="RM4:RS4"/>
    <mergeCell ref="RT4:RZ4"/>
    <mergeCell ref="SA4:SG4"/>
    <mergeCell ref="SH4:SN4"/>
    <mergeCell ref="SO4:SU4"/>
    <mergeCell ref="SV4:TB4"/>
    <mergeCell ref="TC4:TI4"/>
    <mergeCell ref="TJ4:TP4"/>
    <mergeCell ref="TQ4:TW4"/>
    <mergeCell ref="TX4:UD4"/>
    <mergeCell ref="UE4:UK4"/>
    <mergeCell ref="UL4:UR4"/>
    <mergeCell ref="US4:UY4"/>
    <mergeCell ref="UZ4:VF4"/>
    <mergeCell ref="VG4:VM4"/>
    <mergeCell ref="VN4:VT4"/>
    <mergeCell ref="VU4:WA4"/>
    <mergeCell ref="WB4:WH4"/>
    <mergeCell ref="WI4:WO4"/>
    <mergeCell ref="WP4:WV4"/>
    <mergeCell ref="WW4:XC4"/>
    <mergeCell ref="XD4:XJ4"/>
    <mergeCell ref="XK4:XQ4"/>
    <mergeCell ref="XR4:XX4"/>
    <mergeCell ref="XY4:YE4"/>
    <mergeCell ref="YF4:YL4"/>
    <mergeCell ref="YM4:YS4"/>
    <mergeCell ref="YT4:YZ4"/>
    <mergeCell ref="ZA4:ZG4"/>
    <mergeCell ref="ZH4:ZN4"/>
    <mergeCell ref="ZO4:ZU4"/>
    <mergeCell ref="ZV4:AAB4"/>
    <mergeCell ref="AAC4:AAI4"/>
    <mergeCell ref="AAJ4:AAP4"/>
    <mergeCell ref="AAQ4:AAW4"/>
    <mergeCell ref="AAX4:ABD4"/>
    <mergeCell ref="ABE4:ABK4"/>
    <mergeCell ref="ABL4:ABR4"/>
    <mergeCell ref="ABS4:ABY4"/>
    <mergeCell ref="ABZ4:ACF4"/>
    <mergeCell ref="ACG4:ACM4"/>
    <mergeCell ref="ACN4:ACT4"/>
    <mergeCell ref="ACU4:ADA4"/>
    <mergeCell ref="ADB4:ADH4"/>
    <mergeCell ref="ADI4:ADO4"/>
    <mergeCell ref="RF5:RL5"/>
    <mergeCell ref="RM5:RS5"/>
    <mergeCell ref="RT5:RZ5"/>
    <mergeCell ref="SA5:SG5"/>
    <mergeCell ref="SH5:SN5"/>
    <mergeCell ref="SO5:SU5"/>
    <mergeCell ref="SV5:TB5"/>
    <mergeCell ref="TC5:TI5"/>
    <mergeCell ref="TJ5:TP5"/>
    <mergeCell ref="TQ5:TW5"/>
    <mergeCell ref="TX5:UD5"/>
    <mergeCell ref="UE5:UK5"/>
    <mergeCell ref="UL5:UR5"/>
    <mergeCell ref="US5:UY5"/>
    <mergeCell ref="UZ5:VF5"/>
    <mergeCell ref="VG5:VM5"/>
    <mergeCell ref="VN5:VT5"/>
    <mergeCell ref="VU5:WA5"/>
    <mergeCell ref="WB5:WH5"/>
    <mergeCell ref="WI5:WO5"/>
    <mergeCell ref="WP5:WV5"/>
    <mergeCell ref="WW5:XC5"/>
    <mergeCell ref="XD5:XJ5"/>
    <mergeCell ref="XK5:XQ5"/>
    <mergeCell ref="XR5:XX5"/>
    <mergeCell ref="XY5:YE5"/>
    <mergeCell ref="YF5:YL5"/>
    <mergeCell ref="YM5:YS5"/>
    <mergeCell ref="YT5:YZ5"/>
    <mergeCell ref="ZA5:ZG5"/>
    <mergeCell ref="ZH5:ZN5"/>
    <mergeCell ref="ZO5:ZU5"/>
    <mergeCell ref="ZV5:AAB5"/>
    <mergeCell ref="AAC5:AAI5"/>
    <mergeCell ref="AAJ5:AAP5"/>
    <mergeCell ref="AAQ5:AAW5"/>
    <mergeCell ref="AAX5:ABD5"/>
    <mergeCell ref="ABE5:ABK5"/>
    <mergeCell ref="ABL5:ABR5"/>
    <mergeCell ref="ABS5:ABY5"/>
    <mergeCell ref="ABZ5:ACF5"/>
    <mergeCell ref="ACG5:ACM5"/>
    <mergeCell ref="ACN5:ACT5"/>
    <mergeCell ref="ACU5:ADA5"/>
    <mergeCell ref="ADB5:ADH5"/>
    <mergeCell ref="ADI5:ADO5"/>
    <mergeCell ref="RF6:RL6"/>
    <mergeCell ref="RM6:RS6"/>
    <mergeCell ref="RT6:RZ6"/>
    <mergeCell ref="SA6:SG6"/>
    <mergeCell ref="SH6:SN6"/>
    <mergeCell ref="SO6:SU6"/>
    <mergeCell ref="SV6:TB6"/>
    <mergeCell ref="TC6:TI6"/>
    <mergeCell ref="TJ6:TP6"/>
    <mergeCell ref="TQ6:TW6"/>
    <mergeCell ref="TX6:UD6"/>
    <mergeCell ref="UE6:UK6"/>
    <mergeCell ref="UL6:UR6"/>
    <mergeCell ref="US6:UY6"/>
    <mergeCell ref="UZ6:VF6"/>
    <mergeCell ref="VG6:VM6"/>
    <mergeCell ref="VN6:VT6"/>
    <mergeCell ref="VU6:WA6"/>
    <mergeCell ref="WB6:WH6"/>
    <mergeCell ref="WI6:WO6"/>
    <mergeCell ref="WP6:WV6"/>
    <mergeCell ref="WW6:XC6"/>
    <mergeCell ref="XD6:XJ6"/>
    <mergeCell ref="XK6:XQ6"/>
    <mergeCell ref="XR6:XX6"/>
    <mergeCell ref="XY6:YE6"/>
    <mergeCell ref="YF6:YL6"/>
    <mergeCell ref="YM6:YS6"/>
    <mergeCell ref="YT6:YZ6"/>
    <mergeCell ref="ZA6:ZG6"/>
    <mergeCell ref="ZH6:ZN6"/>
    <mergeCell ref="ZO6:ZU6"/>
    <mergeCell ref="ZV6:AAB6"/>
    <mergeCell ref="AAC6:AAI6"/>
    <mergeCell ref="AAJ6:AAP6"/>
    <mergeCell ref="AAQ6:AAW6"/>
    <mergeCell ref="AAX6:ABD6"/>
    <mergeCell ref="ABE6:ABK6"/>
    <mergeCell ref="ABL6:ABR6"/>
    <mergeCell ref="ABS6:ABY6"/>
    <mergeCell ref="ABZ6:ACF6"/>
    <mergeCell ref="ACG6:ACM6"/>
    <mergeCell ref="ACN6:ACT6"/>
    <mergeCell ref="ACU6:ADA6"/>
    <mergeCell ref="ADB6:ADH6"/>
    <mergeCell ref="ADI6:ADO6"/>
  </mergeCells>
  <conditionalFormatting sqref="S7:ADO7">
    <cfRule type="cellIs" dxfId="8" priority="221" operator="greaterThanOrEqual">
      <formula>1</formula>
    </cfRule>
  </conditionalFormatting>
  <conditionalFormatting sqref="S8:ADO32">
    <cfRule type="expression" dxfId="7" priority="40" stopIfTrue="1">
      <formula>S$3=$C$3</formula>
    </cfRule>
    <cfRule type="expression" dxfId="6" priority="42" stopIfTrue="1">
      <formula>AND(S$3&gt;=$J8,S$3&lt;=$K8,$C8="Approval")</formula>
    </cfRule>
    <cfRule type="expression" dxfId="5" priority="43" stopIfTrue="1">
      <formula>AND(S$3&gt;=$J8,S$3&lt;$J8+$P8)</formula>
    </cfRule>
    <cfRule type="expression" dxfId="4" priority="44" stopIfTrue="1">
      <formula>AND(S$3&gt;=$J8,S$3&lt;=$J8+$L8-1)</formula>
    </cfRule>
  </conditionalFormatting>
  <conditionalFormatting sqref="N7:N920">
    <cfRule type="expression" dxfId="3" priority="29">
      <formula>N7=1</formula>
    </cfRule>
  </conditionalFormatting>
  <dataValidations count="2">
    <dataValidation type="list" allowBlank="1" showInputMessage="1" showErrorMessage="1" sqref="B11 B15 B22 B29">
      <formula1>ddlPrio</formula1>
    </dataValidation>
    <dataValidation type="list" allowBlank="1" showInputMessage="1" showErrorMessage="1" sqref="G11 G15 G22 G29">
      <formula1>ddlStatus</formula1>
    </dataValidation>
  </dataValidations>
  <pageMargins left="0.70866141732283472" right="0.70866141732283472" top="0.74803149606299213" bottom="0.74803149606299213" header="0.31496062992125984" footer="0.31496062992125984"/>
  <pageSetup paperSize="8" scale="35" fitToWidth="13" fitToHeight="4" orientation="landscape" r:id="rId2"/>
  <headerFooter>
    <oddHeader>Prepared by Björn Johansson &amp;D&amp;RPage &amp;P</oddHeader>
    <oddFooter>&amp;Z&amp;F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locked="0" defaultSize="0" print="0" autoPict="0">
                <anchor moveWithCells="1">
                  <from>
                    <xdr:col>9</xdr:col>
                    <xdr:colOff>495300</xdr:colOff>
                    <xdr:row>1</xdr:row>
                    <xdr:rowOff>19050</xdr:rowOff>
                  </from>
                  <to>
                    <xdr:col>13</xdr:col>
                    <xdr:colOff>342900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R52"/>
  <sheetViews>
    <sheetView zoomScaleNormal="100" workbookViewId="0">
      <pane xSplit="18" ySplit="6" topLeftCell="S7" activePane="bottomRight" state="frozen"/>
      <selection pane="topRight" activeCell="R1" sqref="R1"/>
      <selection pane="bottomLeft" activeCell="A7" sqref="A7"/>
      <selection pane="bottomRight" activeCell="U11" sqref="U11"/>
    </sheetView>
  </sheetViews>
  <sheetFormatPr defaultColWidth="0.42578125" defaultRowHeight="15" x14ac:dyDescent="0.25"/>
  <cols>
    <col min="1" max="1" width="7.5703125" style="1" customWidth="1"/>
    <col min="2" max="2" width="5.7109375" style="1" customWidth="1"/>
    <col min="3" max="3" width="19.140625" customWidth="1"/>
    <col min="4" max="4" width="5.28515625" customWidth="1"/>
    <col min="5" max="5" width="5.140625" customWidth="1"/>
    <col min="6" max="6" width="5.7109375" customWidth="1"/>
    <col min="7" max="7" width="9.28515625" style="1" bestFit="1" customWidth="1"/>
    <col min="8" max="8" width="8" customWidth="1"/>
    <col min="9" max="9" width="3.85546875" customWidth="1"/>
    <col min="10" max="10" width="9.85546875" bestFit="1" customWidth="1"/>
    <col min="11" max="11" width="9" bestFit="1" customWidth="1"/>
    <col min="12" max="13" width="3.7109375" customWidth="1"/>
    <col min="14" max="14" width="7.140625" bestFit="1" customWidth="1"/>
    <col min="15" max="15" width="4.42578125" customWidth="1"/>
    <col min="16" max="16" width="4.140625" customWidth="1"/>
    <col min="17" max="17" width="4.85546875" customWidth="1"/>
    <col min="18" max="18" width="5.140625" bestFit="1" customWidth="1"/>
    <col min="19" max="332" width="5.7109375" style="1" customWidth="1"/>
    <col min="333" max="16384" width="0.42578125" style="1"/>
  </cols>
  <sheetData>
    <row r="1" spans="1:18" ht="23.25" x14ac:dyDescent="0.25">
      <c r="A1" s="90" t="s">
        <v>55</v>
      </c>
      <c r="B1" s="90"/>
      <c r="C1" s="91"/>
      <c r="D1" s="91"/>
      <c r="E1" s="91"/>
      <c r="F1" s="91"/>
      <c r="G1" s="90"/>
      <c r="H1" s="91"/>
      <c r="I1" s="92"/>
      <c r="J1" s="93"/>
      <c r="K1" s="93"/>
      <c r="L1" s="94"/>
      <c r="M1" s="94"/>
      <c r="N1" s="95"/>
      <c r="O1" s="95"/>
      <c r="P1" s="95"/>
    </row>
    <row r="2" spans="1:18" customFormat="1" x14ac:dyDescent="0.25">
      <c r="A2" s="37" t="s">
        <v>0</v>
      </c>
      <c r="B2" s="37"/>
      <c r="C2" s="50">
        <v>41883</v>
      </c>
      <c r="D2" s="50"/>
      <c r="E2" s="38"/>
      <c r="F2" s="38"/>
      <c r="G2" s="38"/>
      <c r="H2" s="38"/>
      <c r="I2" s="38"/>
      <c r="J2" s="3" t="str">
        <f>TEXT(C2,"dddd")</f>
        <v>måndag</v>
      </c>
      <c r="N2" s="4"/>
      <c r="P2" s="5" t="s">
        <v>14</v>
      </c>
      <c r="Q2" s="6"/>
      <c r="R2" s="55">
        <v>0</v>
      </c>
    </row>
    <row r="3" spans="1:18" s="13" customFormat="1" ht="17.25" customHeight="1" x14ac:dyDescent="0.25">
      <c r="A3" s="2" t="s">
        <v>12</v>
      </c>
      <c r="B3" s="2"/>
      <c r="C3" s="51">
        <f ca="1">TODAY()</f>
        <v>42354</v>
      </c>
      <c r="D3" s="51"/>
      <c r="E3"/>
      <c r="F3"/>
      <c r="G3"/>
      <c r="H3"/>
      <c r="I3"/>
      <c r="J3" s="43" t="str">
        <f ca="1">TEXT(C3,"dddd")</f>
        <v>onsdag</v>
      </c>
      <c r="K3" s="8"/>
      <c r="L3" s="9"/>
      <c r="M3" s="9"/>
      <c r="N3" s="10"/>
      <c r="O3" s="10"/>
      <c r="P3" s="10"/>
      <c r="Q3" s="11" t="s">
        <v>1</v>
      </c>
      <c r="R3" s="12">
        <v>2</v>
      </c>
    </row>
    <row r="4" spans="1:18" s="15" customFormat="1" ht="70.5" customHeight="1" x14ac:dyDescent="0.2">
      <c r="A4" s="24"/>
      <c r="B4" s="24"/>
      <c r="C4" s="2"/>
      <c r="D4" s="2"/>
      <c r="E4" s="2"/>
      <c r="F4" s="2"/>
      <c r="G4" s="2"/>
      <c r="H4" s="2"/>
      <c r="I4" s="2"/>
      <c r="J4" s="25"/>
      <c r="K4" s="25"/>
      <c r="L4" s="26"/>
      <c r="M4" s="26"/>
      <c r="N4" s="27"/>
      <c r="O4" s="27"/>
      <c r="P4" s="165" t="s">
        <v>3</v>
      </c>
      <c r="Q4" s="165" t="s">
        <v>4</v>
      </c>
      <c r="R4" s="14"/>
    </row>
    <row r="5" spans="1:18" s="13" customFormat="1" ht="85.5" customHeight="1" x14ac:dyDescent="0.25">
      <c r="C5" s="56"/>
      <c r="D5" s="56"/>
      <c r="E5" s="56"/>
      <c r="F5" s="56"/>
      <c r="G5" s="56"/>
      <c r="H5" s="56"/>
      <c r="I5" s="56"/>
      <c r="O5" s="161" t="s">
        <v>13</v>
      </c>
      <c r="P5" s="166"/>
      <c r="Q5" s="166"/>
      <c r="R5" s="12"/>
    </row>
    <row r="6" spans="1:18" s="17" customFormat="1" ht="51" customHeight="1" x14ac:dyDescent="0.25">
      <c r="A6" s="32" t="s">
        <v>5</v>
      </c>
      <c r="B6" s="32" t="s">
        <v>42</v>
      </c>
      <c r="C6" s="33" t="s">
        <v>6</v>
      </c>
      <c r="D6" s="89" t="s">
        <v>53</v>
      </c>
      <c r="E6" s="72" t="s">
        <v>32</v>
      </c>
      <c r="F6" s="70" t="s">
        <v>7</v>
      </c>
      <c r="G6" s="32" t="s">
        <v>43</v>
      </c>
      <c r="H6" s="34" t="s">
        <v>21</v>
      </c>
      <c r="I6" s="69" t="s">
        <v>28</v>
      </c>
      <c r="J6" s="35" t="s">
        <v>8</v>
      </c>
      <c r="K6" s="36" t="s">
        <v>9</v>
      </c>
      <c r="L6" s="88" t="s">
        <v>56</v>
      </c>
      <c r="M6" s="88" t="s">
        <v>57</v>
      </c>
      <c r="N6" s="42" t="s">
        <v>2</v>
      </c>
      <c r="O6" s="162"/>
      <c r="P6" s="167"/>
      <c r="Q6" s="167"/>
      <c r="R6" s="16" t="s">
        <v>15</v>
      </c>
    </row>
    <row r="7" spans="1:18" s="41" customFormat="1" ht="12.75" customHeight="1" x14ac:dyDescent="0.25">
      <c r="A7" s="110">
        <v>1</v>
      </c>
      <c r="B7" s="111" t="s">
        <v>50</v>
      </c>
      <c r="C7" s="112" t="s">
        <v>65</v>
      </c>
      <c r="D7" s="112"/>
      <c r="E7" s="112" t="s">
        <v>31</v>
      </c>
      <c r="F7" s="112" t="s">
        <v>39</v>
      </c>
      <c r="G7" s="111" t="s">
        <v>46</v>
      </c>
      <c r="H7" s="113">
        <v>2015</v>
      </c>
      <c r="I7" s="114">
        <f>MIN(I8:I12)</f>
        <v>1</v>
      </c>
      <c r="J7" s="115">
        <f>MIN(J8:J12)</f>
        <v>40483</v>
      </c>
      <c r="K7" s="115">
        <f>MAX(K8:K12)</f>
        <v>42393</v>
      </c>
      <c r="L7" s="116">
        <f>K7-J7+1</f>
        <v>1911</v>
      </c>
      <c r="M7" s="116"/>
      <c r="N7" s="117">
        <f>SUMPRODUCT(L8:L12,N8:N12)/SUM(L8:L12)</f>
        <v>0.52755905511811019</v>
      </c>
      <c r="O7" s="118">
        <f t="shared" ref="O7:O12" si="0">NETWORKDAYS(J7,K7)</f>
        <v>1365</v>
      </c>
      <c r="P7" s="119">
        <f t="shared" ref="P7:P19" si="1">ROUNDDOWN(N7*L7,0)</f>
        <v>1008</v>
      </c>
      <c r="Q7" s="118">
        <f t="shared" ref="Q7:Q19" si="2">L7-P7</f>
        <v>903</v>
      </c>
      <c r="R7" s="120"/>
    </row>
    <row r="8" spans="1:18" s="30" customFormat="1" ht="12.75" x14ac:dyDescent="0.25">
      <c r="A8" s="20" t="str">
        <f ca="1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1.1</v>
      </c>
      <c r="B8" s="20" t="str">
        <f>B$7</f>
        <v>C</v>
      </c>
      <c r="C8" s="28" t="s">
        <v>33</v>
      </c>
      <c r="D8" s="28"/>
      <c r="E8" s="28" t="s">
        <v>31</v>
      </c>
      <c r="F8" s="28"/>
      <c r="G8" s="20"/>
      <c r="H8" s="62">
        <v>2015</v>
      </c>
      <c r="I8" s="63">
        <v>5</v>
      </c>
      <c r="J8" s="64">
        <f>IsoWeekToDateB2(H8,I8)</f>
        <v>42030</v>
      </c>
      <c r="K8" s="21">
        <f>J8+L8-1</f>
        <v>42149</v>
      </c>
      <c r="L8" s="52">
        <v>120</v>
      </c>
      <c r="M8" s="52"/>
      <c r="N8" s="53">
        <v>0.7</v>
      </c>
      <c r="O8" s="22">
        <f t="shared" si="0"/>
        <v>86</v>
      </c>
      <c r="P8" s="23">
        <f t="shared" si="1"/>
        <v>84</v>
      </c>
      <c r="Q8" s="22">
        <f t="shared" si="2"/>
        <v>36</v>
      </c>
      <c r="R8" s="29"/>
    </row>
    <row r="9" spans="1:18" s="30" customFormat="1" ht="12.75" x14ac:dyDescent="0.25">
      <c r="A9" s="20" t="str">
        <f ca="1">IF(ISERROR(VALUE(SUBSTITUTE(OFFSET(A9,-1,0,1,1),".",""))),"0.1",IF(ISERROR(FIND("`",SUBSTITUTE(OFFSET(A9,-1,0,1,1),".","`",1))),OFFSET(A9,-1,0,1,1)&amp;".1",LEFT(OFFSET(A9,-1,0,1,1),FIND("`",SUBSTITUTE(OFFSET(A9,-1,0,1,1),".","`",1)))&amp;IF(ISERROR(FIND("`",SUBSTITUTE(OFFSET(A9,-1,0,1,1),".","`",2))),VALUE(RIGHT(OFFSET(A9,-1,0,1,1),LEN(OFFSET(A9,-1,0,1,1))-FIND("`",SUBSTITUTE(OFFSET(A9,-1,0,1,1),".","`",1))))+1,VALUE(MID(OFFSET(A9,-1,0,1,1),FIND("`",SUBSTITUTE(OFFSET(A9,-1,0,1,1),".","`",1))+1,(FIND("`",SUBSTITUTE(OFFSET(A9,-1,0,1,1),".","`",2))-FIND("`",SUBSTITUTE(OFFSET(A9,-1,0,1,1),".","`",1))-1)))+1)))</f>
        <v>1.2</v>
      </c>
      <c r="B9" s="20" t="str">
        <f>B$7</f>
        <v>C</v>
      </c>
      <c r="C9" s="28" t="s">
        <v>17</v>
      </c>
      <c r="D9" s="28"/>
      <c r="E9" s="28" t="s">
        <v>31</v>
      </c>
      <c r="F9" s="31"/>
      <c r="G9" s="20"/>
      <c r="H9" s="62">
        <v>2015</v>
      </c>
      <c r="I9" s="63">
        <v>22</v>
      </c>
      <c r="J9" s="64">
        <f>IsoWeekToDateB2(H9,I9)</f>
        <v>42149</v>
      </c>
      <c r="K9" s="21">
        <f>J9+L9-1</f>
        <v>42197</v>
      </c>
      <c r="L9" s="52">
        <v>49</v>
      </c>
      <c r="M9" s="52"/>
      <c r="N9" s="53">
        <v>0</v>
      </c>
      <c r="O9" s="22">
        <f t="shared" si="0"/>
        <v>35</v>
      </c>
      <c r="P9" s="23">
        <f t="shared" si="1"/>
        <v>0</v>
      </c>
      <c r="Q9" s="22">
        <f t="shared" si="2"/>
        <v>49</v>
      </c>
      <c r="R9" s="29"/>
    </row>
    <row r="10" spans="1:18" s="30" customFormat="1" ht="12.75" customHeight="1" x14ac:dyDescent="0.25">
      <c r="A10" s="20" t="str">
        <f ca="1">IF(ISERROR(VALUE(SUBSTITUTE(OFFSET(A10,-1,0,1,1),".",""))),"0.1",IF(ISERROR(FIND("`",SUBSTITUTE(OFFSET(A10,-1,0,1,1),".","`",1))),OFFSET(A10,-1,0,1,1)&amp;".1",LEFT(OFFSET(A10,-1,0,1,1),FIND("`",SUBSTITUTE(OFFSET(A10,-1,0,1,1),".","`",1)))&amp;IF(ISERROR(FIND("`",SUBSTITUTE(OFFSET(A10,-1,0,1,1),".","`",2))),VALUE(RIGHT(OFFSET(A10,-1,0,1,1),LEN(OFFSET(A10,-1,0,1,1))-FIND("`",SUBSTITUTE(OFFSET(A10,-1,0,1,1),".","`",1))))+1,VALUE(MID(OFFSET(A10,-1,0,1,1),FIND("`",SUBSTITUTE(OFFSET(A10,-1,0,1,1),".","`",1))+1,(FIND("`",SUBSTITUTE(OFFSET(A10,-1,0,1,1),".","`",2))-FIND("`",SUBSTITUTE(OFFSET(A10,-1,0,1,1),".","`",1))-1)))+1)))</f>
        <v>1.3</v>
      </c>
      <c r="B10" s="20" t="str">
        <f>B$7</f>
        <v>C</v>
      </c>
      <c r="C10" s="28" t="s">
        <v>34</v>
      </c>
      <c r="D10" s="28"/>
      <c r="E10" s="28" t="s">
        <v>31</v>
      </c>
      <c r="F10" s="31"/>
      <c r="G10" s="20"/>
      <c r="H10" s="62">
        <v>2010</v>
      </c>
      <c r="I10" s="63">
        <v>44</v>
      </c>
      <c r="J10" s="64">
        <f>IsoWeekToDateB2(H10,I10)</f>
        <v>40483</v>
      </c>
      <c r="K10" s="21">
        <f>J10+L10-1</f>
        <v>40532</v>
      </c>
      <c r="L10" s="52">
        <v>50</v>
      </c>
      <c r="M10" s="52"/>
      <c r="N10" s="53">
        <v>1</v>
      </c>
      <c r="O10" s="22">
        <f t="shared" si="0"/>
        <v>36</v>
      </c>
      <c r="P10" s="23">
        <f t="shared" si="1"/>
        <v>50</v>
      </c>
      <c r="Q10" s="22">
        <f t="shared" si="2"/>
        <v>0</v>
      </c>
      <c r="R10" s="29"/>
    </row>
    <row r="11" spans="1:18" s="30" customFormat="1" ht="12.75" x14ac:dyDescent="0.25">
      <c r="A11" s="20" t="str">
        <f ca="1">IF(ISERROR(VALUE(SUBSTITUTE(OFFSET(A11,-1,0,1,1),".",""))),"0.1",IF(ISERROR(FIND("`",SUBSTITUTE(OFFSET(A11,-1,0,1,1),".","`",1))),OFFSET(A11,-1,0,1,1)&amp;".1",LEFT(OFFSET(A11,-1,0,1,1),FIND("`",SUBSTITUTE(OFFSET(A11,-1,0,1,1),".","`",1)))&amp;IF(ISERROR(FIND("`",SUBSTITUTE(OFFSET(A11,-1,0,1,1),".","`",2))),VALUE(RIGHT(OFFSET(A11,-1,0,1,1),LEN(OFFSET(A11,-1,0,1,1))-FIND("`",SUBSTITUTE(OFFSET(A11,-1,0,1,1),".","`",1))))+1,VALUE(MID(OFFSET(A11,-1,0,1,1),FIND("`",SUBSTITUTE(OFFSET(A11,-1,0,1,1),".","`",1))+1,(FIND("`",SUBSTITUTE(OFFSET(A11,-1,0,1,1),".","`",2))-FIND("`",SUBSTITUTE(OFFSET(A11,-1,0,1,1),".","`",1))-1)))+1)))</f>
        <v>1.4</v>
      </c>
      <c r="B11" s="20" t="str">
        <f>B$7</f>
        <v>C</v>
      </c>
      <c r="C11" s="28" t="s">
        <v>35</v>
      </c>
      <c r="D11" s="28"/>
      <c r="E11" s="28" t="s">
        <v>31</v>
      </c>
      <c r="F11" s="31"/>
      <c r="G11" s="20"/>
      <c r="H11" s="62">
        <v>2015</v>
      </c>
      <c r="I11" s="63">
        <v>50</v>
      </c>
      <c r="J11" s="64">
        <f>IsoWeekToDateB2(H11,I11)</f>
        <v>42345</v>
      </c>
      <c r="K11" s="21">
        <f>J11+L11-1</f>
        <v>42358</v>
      </c>
      <c r="L11" s="52">
        <v>14</v>
      </c>
      <c r="M11" s="52"/>
      <c r="N11" s="53">
        <v>0</v>
      </c>
      <c r="O11" s="22">
        <f t="shared" si="0"/>
        <v>10</v>
      </c>
      <c r="P11" s="23">
        <f t="shared" si="1"/>
        <v>0</v>
      </c>
      <c r="Q11" s="22">
        <f t="shared" si="2"/>
        <v>14</v>
      </c>
      <c r="R11" s="29"/>
    </row>
    <row r="12" spans="1:18" s="30" customFormat="1" ht="12.75" x14ac:dyDescent="0.25">
      <c r="A12" s="20" t="str">
        <f ca="1">IF(ISERROR(VALUE(SUBSTITUTE(OFFSET(A12,-1,0,1,1),".",""))),"0.1",IF(ISERROR(FIND("`",SUBSTITUTE(OFFSET(A12,-1,0,1,1),".","`",1))),OFFSET(A12,-1,0,1,1)&amp;".1",LEFT(OFFSET(A12,-1,0,1,1),FIND("`",SUBSTITUTE(OFFSET(A12,-1,0,1,1),".","`",1)))&amp;IF(ISERROR(FIND("`",SUBSTITUTE(OFFSET(A12,-1,0,1,1),".","`",2))),VALUE(RIGHT(OFFSET(A12,-1,0,1,1),LEN(OFFSET(A12,-1,0,1,1))-FIND("`",SUBSTITUTE(OFFSET(A12,-1,0,1,1),".","`",1))))+1,VALUE(MID(OFFSET(A12,-1,0,1,1),FIND("`",SUBSTITUTE(OFFSET(A12,-1,0,1,1),".","`",1))+1,(FIND("`",SUBSTITUTE(OFFSET(A12,-1,0,1,1),".","`",2))-FIND("`",SUBSTITUTE(OFFSET(A12,-1,0,1,1),".","`",1))-1)))+1)))</f>
        <v>1.5</v>
      </c>
      <c r="B12" s="20" t="str">
        <f>B$7</f>
        <v>C</v>
      </c>
      <c r="C12" s="28" t="s">
        <v>36</v>
      </c>
      <c r="D12" s="28"/>
      <c r="E12" s="28" t="s">
        <v>31</v>
      </c>
      <c r="F12" s="31"/>
      <c r="G12" s="20"/>
      <c r="H12" s="62">
        <v>2016</v>
      </c>
      <c r="I12" s="63">
        <v>1</v>
      </c>
      <c r="J12" s="64">
        <f>IsoWeekToDateB2(H12,I12)</f>
        <v>42373</v>
      </c>
      <c r="K12" s="21">
        <f>J12+L12-1</f>
        <v>42393</v>
      </c>
      <c r="L12" s="52">
        <v>21</v>
      </c>
      <c r="M12" s="52"/>
      <c r="N12" s="53">
        <v>0</v>
      </c>
      <c r="O12" s="22">
        <f t="shared" si="0"/>
        <v>15</v>
      </c>
      <c r="P12" s="23">
        <f t="shared" si="1"/>
        <v>0</v>
      </c>
      <c r="Q12" s="22">
        <f t="shared" si="2"/>
        <v>21</v>
      </c>
      <c r="R12" s="29"/>
    </row>
    <row r="13" spans="1:18" s="41" customFormat="1" ht="12.75" x14ac:dyDescent="0.25">
      <c r="A13" s="110">
        <v>1</v>
      </c>
      <c r="B13" s="111" t="s">
        <v>48</v>
      </c>
      <c r="C13" s="112" t="s">
        <v>66</v>
      </c>
      <c r="D13" s="112"/>
      <c r="E13" s="112" t="s">
        <v>31</v>
      </c>
      <c r="F13" s="112" t="s">
        <v>39</v>
      </c>
      <c r="G13" s="111" t="s">
        <v>46</v>
      </c>
      <c r="H13" s="113">
        <f>MIN(H14:H19)</f>
        <v>2015</v>
      </c>
      <c r="I13" s="114">
        <f>MIN(I14:I19)</f>
        <v>17</v>
      </c>
      <c r="J13" s="115">
        <f>MIN(J15:J19)</f>
        <v>42121</v>
      </c>
      <c r="K13" s="115">
        <f>MAX(K15:K19)</f>
        <v>42158</v>
      </c>
      <c r="L13" s="116">
        <f>K13-J13+1</f>
        <v>38</v>
      </c>
      <c r="M13" s="116"/>
      <c r="N13" s="117">
        <f>SUMPRODUCT(L14:L19,N14:N19)/SUM(L14:L19)</f>
        <v>0</v>
      </c>
      <c r="O13" s="118">
        <f t="shared" ref="O13:O25" si="3">NETWORKDAYS(J13,K13)</f>
        <v>28</v>
      </c>
      <c r="P13" s="119">
        <f t="shared" si="1"/>
        <v>0</v>
      </c>
      <c r="Q13" s="118">
        <f t="shared" si="2"/>
        <v>38</v>
      </c>
      <c r="R13" s="120"/>
    </row>
    <row r="14" spans="1:18" s="71" customFormat="1" ht="12.75" x14ac:dyDescent="0.25">
      <c r="A14" s="20" t="str">
        <f t="shared" ref="A14:A19" ca="1" si="4">IF(ISERROR(VALUE(SUBSTITUTE(OFFSET(A14,-1,0,1,1),".",""))),"0.1",IF(ISERROR(FIND("`",SUBSTITUTE(OFFSET(A14,-1,0,1,1),".","`",1))),OFFSET(A14,-1,0,1,1)&amp;".1",LEFT(OFFSET(A14,-1,0,1,1),FIND("`",SUBSTITUTE(OFFSET(A14,-1,0,1,1),".","`",1)))&amp;IF(ISERROR(FIND("`",SUBSTITUTE(OFFSET(A14,-1,0,1,1),".","`",2))),VALUE(RIGHT(OFFSET(A14,-1,0,1,1),LEN(OFFSET(A14,-1,0,1,1))-FIND("`",SUBSTITUTE(OFFSET(A14,-1,0,1,1),".","`",1))))+1,VALUE(MID(OFFSET(A14,-1,0,1,1),FIND("`",SUBSTITUTE(OFFSET(A14,-1,0,1,1),".","`",1))+1,(FIND("`",SUBSTITUTE(OFFSET(A14,-1,0,1,1),".","`",2))-FIND("`",SUBSTITUTE(OFFSET(A14,-1,0,1,1),".","`",1))-1)))+1)))</f>
        <v>1.1</v>
      </c>
      <c r="B14" s="20" t="str">
        <f t="shared" ref="B14:B19" si="5">B$13</f>
        <v>A</v>
      </c>
      <c r="C14" s="28" t="s">
        <v>33</v>
      </c>
      <c r="D14" s="28"/>
      <c r="E14" s="28" t="s">
        <v>31</v>
      </c>
      <c r="F14" s="28"/>
      <c r="G14" s="20"/>
      <c r="H14" s="62">
        <v>2015</v>
      </c>
      <c r="I14" s="63">
        <v>17</v>
      </c>
      <c r="J14" s="64">
        <f t="shared" ref="J14:J19" si="6">IsoWeekToDateB2(H14,I14)</f>
        <v>42114</v>
      </c>
      <c r="K14" s="21">
        <f t="shared" ref="K14:K19" si="7">J14+L14-1</f>
        <v>42122</v>
      </c>
      <c r="L14" s="52">
        <v>9</v>
      </c>
      <c r="M14" s="52"/>
      <c r="N14" s="53">
        <v>0</v>
      </c>
      <c r="O14" s="22">
        <f t="shared" si="3"/>
        <v>7</v>
      </c>
      <c r="P14" s="23">
        <f t="shared" si="1"/>
        <v>0</v>
      </c>
      <c r="Q14" s="22">
        <f t="shared" si="2"/>
        <v>9</v>
      </c>
    </row>
    <row r="15" spans="1:18" s="30" customFormat="1" ht="12.75" x14ac:dyDescent="0.25">
      <c r="A15" s="20" t="str">
        <f t="shared" ca="1" si="4"/>
        <v>1.2</v>
      </c>
      <c r="B15" s="20" t="str">
        <f t="shared" si="5"/>
        <v>A</v>
      </c>
      <c r="C15" s="28" t="s">
        <v>17</v>
      </c>
      <c r="D15" s="28"/>
      <c r="E15" s="28" t="s">
        <v>31</v>
      </c>
      <c r="F15" s="28"/>
      <c r="G15" s="20"/>
      <c r="H15" s="62">
        <v>2015</v>
      </c>
      <c r="I15" s="63">
        <v>18</v>
      </c>
      <c r="J15" s="64">
        <f t="shared" si="6"/>
        <v>42121</v>
      </c>
      <c r="K15" s="21">
        <f t="shared" si="7"/>
        <v>42130</v>
      </c>
      <c r="L15" s="52">
        <v>10</v>
      </c>
      <c r="M15" s="52"/>
      <c r="N15" s="53">
        <v>0</v>
      </c>
      <c r="O15" s="22">
        <f t="shared" si="3"/>
        <v>8</v>
      </c>
      <c r="P15" s="23">
        <f t="shared" si="1"/>
        <v>0</v>
      </c>
      <c r="Q15" s="22">
        <f t="shared" si="2"/>
        <v>10</v>
      </c>
      <c r="R15" s="29"/>
    </row>
    <row r="16" spans="1:18" s="30" customFormat="1" ht="12.75" x14ac:dyDescent="0.25">
      <c r="A16" s="20" t="str">
        <f t="shared" ca="1" si="4"/>
        <v>1.3</v>
      </c>
      <c r="B16" s="20" t="str">
        <f t="shared" si="5"/>
        <v>A</v>
      </c>
      <c r="C16" s="28" t="s">
        <v>18</v>
      </c>
      <c r="D16" s="28"/>
      <c r="E16" s="28" t="s">
        <v>31</v>
      </c>
      <c r="F16" s="31"/>
      <c r="G16" s="20"/>
      <c r="H16" s="62">
        <v>2015</v>
      </c>
      <c r="I16" s="63">
        <v>19</v>
      </c>
      <c r="J16" s="64">
        <f t="shared" si="6"/>
        <v>42128</v>
      </c>
      <c r="K16" s="21">
        <f t="shared" si="7"/>
        <v>42137</v>
      </c>
      <c r="L16" s="52">
        <v>10</v>
      </c>
      <c r="M16" s="52"/>
      <c r="N16" s="53">
        <v>0</v>
      </c>
      <c r="O16" s="22">
        <f t="shared" si="3"/>
        <v>8</v>
      </c>
      <c r="P16" s="23">
        <f t="shared" si="1"/>
        <v>0</v>
      </c>
      <c r="Q16" s="22">
        <f t="shared" si="2"/>
        <v>10</v>
      </c>
      <c r="R16" s="29"/>
    </row>
    <row r="17" spans="1:18" s="30" customFormat="1" ht="12.75" x14ac:dyDescent="0.25">
      <c r="A17" s="20" t="str">
        <f t="shared" ca="1" si="4"/>
        <v>1.4</v>
      </c>
      <c r="B17" s="20" t="str">
        <f t="shared" si="5"/>
        <v>A</v>
      </c>
      <c r="C17" s="28" t="s">
        <v>29</v>
      </c>
      <c r="D17" s="28"/>
      <c r="E17" s="28" t="s">
        <v>31</v>
      </c>
      <c r="F17" s="31"/>
      <c r="G17" s="20"/>
      <c r="H17" s="62">
        <v>2015</v>
      </c>
      <c r="I17" s="63">
        <v>20</v>
      </c>
      <c r="J17" s="64">
        <f t="shared" si="6"/>
        <v>42135</v>
      </c>
      <c r="K17" s="21">
        <f t="shared" si="7"/>
        <v>42144</v>
      </c>
      <c r="L17" s="52">
        <v>10</v>
      </c>
      <c r="M17" s="52"/>
      <c r="N17" s="53">
        <v>0</v>
      </c>
      <c r="O17" s="22">
        <f t="shared" si="3"/>
        <v>8</v>
      </c>
      <c r="P17" s="23">
        <f t="shared" si="1"/>
        <v>0</v>
      </c>
      <c r="Q17" s="22">
        <f t="shared" si="2"/>
        <v>10</v>
      </c>
      <c r="R17" s="29"/>
    </row>
    <row r="18" spans="1:18" s="30" customFormat="1" ht="12.75" x14ac:dyDescent="0.25">
      <c r="A18" s="20" t="str">
        <f t="shared" ca="1" si="4"/>
        <v>1.5</v>
      </c>
      <c r="B18" s="20" t="str">
        <f t="shared" si="5"/>
        <v>A</v>
      </c>
      <c r="C18" s="28" t="s">
        <v>19</v>
      </c>
      <c r="D18" s="28"/>
      <c r="E18" s="28" t="s">
        <v>31</v>
      </c>
      <c r="F18" s="31"/>
      <c r="G18" s="20"/>
      <c r="H18" s="62">
        <v>2015</v>
      </c>
      <c r="I18" s="63">
        <v>21</v>
      </c>
      <c r="J18" s="64">
        <f t="shared" si="6"/>
        <v>42142</v>
      </c>
      <c r="K18" s="21">
        <f t="shared" si="7"/>
        <v>42151</v>
      </c>
      <c r="L18" s="52">
        <v>10</v>
      </c>
      <c r="M18" s="52"/>
      <c r="N18" s="53">
        <v>0</v>
      </c>
      <c r="O18" s="22">
        <f t="shared" si="3"/>
        <v>8</v>
      </c>
      <c r="P18" s="23">
        <f t="shared" si="1"/>
        <v>0</v>
      </c>
      <c r="Q18" s="22">
        <f t="shared" si="2"/>
        <v>10</v>
      </c>
      <c r="R18" s="29"/>
    </row>
    <row r="19" spans="1:18" s="30" customFormat="1" ht="12.75" x14ac:dyDescent="0.25">
      <c r="A19" s="20" t="str">
        <f t="shared" ca="1" si="4"/>
        <v>1.6</v>
      </c>
      <c r="B19" s="20" t="str">
        <f t="shared" si="5"/>
        <v>A</v>
      </c>
      <c r="C19" s="28" t="s">
        <v>23</v>
      </c>
      <c r="D19" s="28"/>
      <c r="E19" s="28" t="s">
        <v>31</v>
      </c>
      <c r="F19" s="31"/>
      <c r="G19" s="20"/>
      <c r="H19" s="62">
        <v>2015</v>
      </c>
      <c r="I19" s="63">
        <v>22</v>
      </c>
      <c r="J19" s="64">
        <f t="shared" si="6"/>
        <v>42149</v>
      </c>
      <c r="K19" s="21">
        <f t="shared" si="7"/>
        <v>42158</v>
      </c>
      <c r="L19" s="52">
        <v>10</v>
      </c>
      <c r="M19" s="52"/>
      <c r="N19" s="53">
        <v>0</v>
      </c>
      <c r="O19" s="22">
        <f t="shared" si="3"/>
        <v>8</v>
      </c>
      <c r="P19" s="23">
        <f t="shared" si="1"/>
        <v>0</v>
      </c>
      <c r="Q19" s="22">
        <f t="shared" si="2"/>
        <v>10</v>
      </c>
      <c r="R19" s="29"/>
    </row>
    <row r="20" spans="1:18" s="41" customFormat="1" ht="12.75" x14ac:dyDescent="0.25">
      <c r="A20" s="110">
        <v>1</v>
      </c>
      <c r="B20" s="111" t="s">
        <v>48</v>
      </c>
      <c r="C20" s="112" t="s">
        <v>67</v>
      </c>
      <c r="D20" s="112"/>
      <c r="E20" s="112" t="s">
        <v>31</v>
      </c>
      <c r="F20" s="112"/>
      <c r="G20" s="111" t="s">
        <v>44</v>
      </c>
      <c r="H20" s="113">
        <f>MIN(H21:H25)</f>
        <v>2015</v>
      </c>
      <c r="I20" s="114">
        <f>MIN(I21:I25)</f>
        <v>14</v>
      </c>
      <c r="J20" s="115">
        <f>MIN(J21:J25)</f>
        <v>42093</v>
      </c>
      <c r="K20" s="115">
        <f>MAX(K21:K25)</f>
        <v>42414</v>
      </c>
      <c r="L20" s="116">
        <f>K20-J20+1</f>
        <v>322</v>
      </c>
      <c r="M20" s="116"/>
      <c r="N20" s="117">
        <f>SUMPRODUCT(L21:L25,N21:N25)/SUM(L21:L25)</f>
        <v>2E-3</v>
      </c>
      <c r="O20" s="118">
        <f t="shared" si="3"/>
        <v>230</v>
      </c>
      <c r="P20" s="119">
        <f t="shared" ref="P20:P25" si="8">ROUNDDOWN(N20*L20,0)</f>
        <v>0</v>
      </c>
      <c r="Q20" s="118">
        <f t="shared" ref="Q20:Q25" si="9">L20-P20</f>
        <v>322</v>
      </c>
      <c r="R20" s="120"/>
    </row>
    <row r="21" spans="1:18" s="30" customFormat="1" ht="12.75" x14ac:dyDescent="0.25">
      <c r="A21" s="20" t="str">
        <f ca="1">IF(ISERROR(VALUE(SUBSTITUTE(OFFSET(A21,-1,0,1,1),".",""))),"0.1",IF(ISERROR(FIND("`",SUBSTITUTE(OFFSET(A21,-1,0,1,1),".","`",1))),OFFSET(A21,-1,0,1,1)&amp;".1",LEFT(OFFSET(A21,-1,0,1,1),FIND("`",SUBSTITUTE(OFFSET(A21,-1,0,1,1),".","`",1)))&amp;IF(ISERROR(FIND("`",SUBSTITUTE(OFFSET(A21,-1,0,1,1),".","`",2))),VALUE(RIGHT(OFFSET(A21,-1,0,1,1),LEN(OFFSET(A21,-1,0,1,1))-FIND("`",SUBSTITUTE(OFFSET(A21,-1,0,1,1),".","`",1))))+1,VALUE(MID(OFFSET(A21,-1,0,1,1),FIND("`",SUBSTITUTE(OFFSET(A21,-1,0,1,1),".","`",1))+1,(FIND("`",SUBSTITUTE(OFFSET(A21,-1,0,1,1),".","`",2))-FIND("`",SUBSTITUTE(OFFSET(A21,-1,0,1,1),".","`",1))-1)))+1)))</f>
        <v>1.1</v>
      </c>
      <c r="B21" s="20" t="str">
        <f>B$20</f>
        <v>A</v>
      </c>
      <c r="C21" s="28" t="s">
        <v>17</v>
      </c>
      <c r="D21" s="28"/>
      <c r="E21" s="28" t="s">
        <v>31</v>
      </c>
      <c r="F21" s="28"/>
      <c r="G21" s="20"/>
      <c r="H21" s="62">
        <v>2015</v>
      </c>
      <c r="I21" s="63">
        <v>14</v>
      </c>
      <c r="J21" s="64">
        <f>IsoWeekToDateB2(H21,I21)</f>
        <v>42093</v>
      </c>
      <c r="K21" s="21">
        <f>J21+L21-1</f>
        <v>42162</v>
      </c>
      <c r="L21" s="52">
        <v>70</v>
      </c>
      <c r="M21" s="52"/>
      <c r="N21" s="53">
        <v>0.01</v>
      </c>
      <c r="O21" s="22">
        <f t="shared" si="3"/>
        <v>50</v>
      </c>
      <c r="P21" s="23">
        <f t="shared" si="8"/>
        <v>0</v>
      </c>
      <c r="Q21" s="22">
        <f t="shared" si="9"/>
        <v>70</v>
      </c>
      <c r="R21" s="29"/>
    </row>
    <row r="22" spans="1:18" s="30" customFormat="1" ht="12.75" x14ac:dyDescent="0.25">
      <c r="A22" s="20" t="str">
        <f ca="1">IF(ISERROR(VALUE(SUBSTITUTE(OFFSET(A22,-1,0,1,1),".",""))),"0.1",IF(ISERROR(FIND("`",SUBSTITUTE(OFFSET(A22,-1,0,1,1),".","`",1))),OFFSET(A22,-1,0,1,1)&amp;".1",LEFT(OFFSET(A22,-1,0,1,1),FIND("`",SUBSTITUTE(OFFSET(A22,-1,0,1,1),".","`",1)))&amp;IF(ISERROR(FIND("`",SUBSTITUTE(OFFSET(A22,-1,0,1,1),".","`",2))),VALUE(RIGHT(OFFSET(A22,-1,0,1,1),LEN(OFFSET(A22,-1,0,1,1))-FIND("`",SUBSTITUTE(OFFSET(A22,-1,0,1,1),".","`",1))))+1,VALUE(MID(OFFSET(A22,-1,0,1,1),FIND("`",SUBSTITUTE(OFFSET(A22,-1,0,1,1),".","`",1))+1,(FIND("`",SUBSTITUTE(OFFSET(A22,-1,0,1,1),".","`",2))-FIND("`",SUBSTITUTE(OFFSET(A22,-1,0,1,1),".","`",1))-1)))+1)))</f>
        <v>1.2</v>
      </c>
      <c r="B22" s="20" t="str">
        <f>B$20</f>
        <v>A</v>
      </c>
      <c r="C22" s="28" t="s">
        <v>18</v>
      </c>
      <c r="D22" s="28"/>
      <c r="E22" s="28" t="s">
        <v>31</v>
      </c>
      <c r="F22" s="31"/>
      <c r="G22" s="20"/>
      <c r="H22" s="62">
        <v>2015</v>
      </c>
      <c r="I22" s="63">
        <v>24</v>
      </c>
      <c r="J22" s="64">
        <f>IsoWeekToDateB2(H22,I22)</f>
        <v>42163</v>
      </c>
      <c r="K22" s="21">
        <f>J22+L22-1</f>
        <v>42232</v>
      </c>
      <c r="L22" s="52">
        <v>70</v>
      </c>
      <c r="M22" s="52"/>
      <c r="N22" s="53">
        <v>0</v>
      </c>
      <c r="O22" s="22">
        <f t="shared" si="3"/>
        <v>50</v>
      </c>
      <c r="P22" s="23">
        <f t="shared" si="8"/>
        <v>0</v>
      </c>
      <c r="Q22" s="22">
        <f t="shared" si="9"/>
        <v>70</v>
      </c>
      <c r="R22" s="29"/>
    </row>
    <row r="23" spans="1:18" s="30" customFormat="1" ht="12.75" x14ac:dyDescent="0.25">
      <c r="A23" s="20" t="str">
        <f ca="1">IF(ISERROR(VALUE(SUBSTITUTE(OFFSET(A23,-1,0,1,1),".",""))),"0.1",IF(ISERROR(FIND("`",SUBSTITUTE(OFFSET(A23,-1,0,1,1),".","`",1))),OFFSET(A23,-1,0,1,1)&amp;".1",LEFT(OFFSET(A23,-1,0,1,1),FIND("`",SUBSTITUTE(OFFSET(A23,-1,0,1,1),".","`",1)))&amp;IF(ISERROR(FIND("`",SUBSTITUTE(OFFSET(A23,-1,0,1,1),".","`",2))),VALUE(RIGHT(OFFSET(A23,-1,0,1,1),LEN(OFFSET(A23,-1,0,1,1))-FIND("`",SUBSTITUTE(OFFSET(A23,-1,0,1,1),".","`",1))))+1,VALUE(MID(OFFSET(A23,-1,0,1,1),FIND("`",SUBSTITUTE(OFFSET(A23,-1,0,1,1),".","`",1))+1,(FIND("`",SUBSTITUTE(OFFSET(A23,-1,0,1,1),".","`",2))-FIND("`",SUBSTITUTE(OFFSET(A23,-1,0,1,1),".","`",1))-1)))+1)))</f>
        <v>1.3</v>
      </c>
      <c r="B23" s="20" t="str">
        <f>B$20</f>
        <v>A</v>
      </c>
      <c r="C23" s="28" t="s">
        <v>29</v>
      </c>
      <c r="D23" s="28"/>
      <c r="E23" s="28" t="s">
        <v>31</v>
      </c>
      <c r="F23" s="31"/>
      <c r="G23" s="20"/>
      <c r="H23" s="62">
        <v>2015</v>
      </c>
      <c r="I23" s="63">
        <v>34</v>
      </c>
      <c r="J23" s="64">
        <f>IsoWeekToDateB2(H23,I23)</f>
        <v>42233</v>
      </c>
      <c r="K23" s="21">
        <f>J23+L23-1</f>
        <v>42302</v>
      </c>
      <c r="L23" s="52">
        <v>70</v>
      </c>
      <c r="M23" s="52"/>
      <c r="N23" s="53">
        <v>0</v>
      </c>
      <c r="O23" s="22">
        <f t="shared" si="3"/>
        <v>50</v>
      </c>
      <c r="P23" s="23">
        <f t="shared" si="8"/>
        <v>0</v>
      </c>
      <c r="Q23" s="22">
        <f t="shared" si="9"/>
        <v>70</v>
      </c>
      <c r="R23" s="29"/>
    </row>
    <row r="24" spans="1:18" s="30" customFormat="1" ht="12.75" x14ac:dyDescent="0.25">
      <c r="A24" s="20" t="str">
        <f ca="1">IF(ISERROR(VALUE(SUBSTITUTE(OFFSET(A24,-1,0,1,1),".",""))),"0.1",IF(ISERROR(FIND("`",SUBSTITUTE(OFFSET(A24,-1,0,1,1),".","`",1))),OFFSET(A24,-1,0,1,1)&amp;".1",LEFT(OFFSET(A24,-1,0,1,1),FIND("`",SUBSTITUTE(OFFSET(A24,-1,0,1,1),".","`",1)))&amp;IF(ISERROR(FIND("`",SUBSTITUTE(OFFSET(A24,-1,0,1,1),".","`",2))),VALUE(RIGHT(OFFSET(A24,-1,0,1,1),LEN(OFFSET(A24,-1,0,1,1))-FIND("`",SUBSTITUTE(OFFSET(A24,-1,0,1,1),".","`",1))))+1,VALUE(MID(OFFSET(A24,-1,0,1,1),FIND("`",SUBSTITUTE(OFFSET(A24,-1,0,1,1),".","`",1))+1,(FIND("`",SUBSTITUTE(OFFSET(A24,-1,0,1,1),".","`",2))-FIND("`",SUBSTITUTE(OFFSET(A24,-1,0,1,1),".","`",1))-1)))+1)))</f>
        <v>1.4</v>
      </c>
      <c r="B24" s="20" t="str">
        <f>B$20</f>
        <v>A</v>
      </c>
      <c r="C24" s="28" t="s">
        <v>19</v>
      </c>
      <c r="D24" s="28"/>
      <c r="E24" s="28" t="s">
        <v>31</v>
      </c>
      <c r="F24" s="31"/>
      <c r="G24" s="20"/>
      <c r="H24" s="62">
        <v>2015</v>
      </c>
      <c r="I24" s="63">
        <v>44</v>
      </c>
      <c r="J24" s="64">
        <f>IsoWeekToDateB2(H24,I24)</f>
        <v>42303</v>
      </c>
      <c r="K24" s="21">
        <f>J24+L24-1</f>
        <v>42372</v>
      </c>
      <c r="L24" s="75">
        <v>70</v>
      </c>
      <c r="M24" s="75"/>
      <c r="N24" s="53">
        <v>0</v>
      </c>
      <c r="O24" s="22">
        <f t="shared" si="3"/>
        <v>50</v>
      </c>
      <c r="P24" s="23">
        <f t="shared" si="8"/>
        <v>0</v>
      </c>
      <c r="Q24" s="22">
        <f t="shared" si="9"/>
        <v>70</v>
      </c>
      <c r="R24" s="29"/>
    </row>
    <row r="25" spans="1:18" s="30" customFormat="1" ht="12.75" x14ac:dyDescent="0.25">
      <c r="A25" s="20" t="str">
        <f ca="1">IF(ISERROR(VALUE(SUBSTITUTE(OFFSET(A25,-1,0,1,1),".",""))),"0.1",IF(ISERROR(FIND("`",SUBSTITUTE(OFFSET(A25,-1,0,1,1),".","`",1))),OFFSET(A25,-1,0,1,1)&amp;".1",LEFT(OFFSET(A25,-1,0,1,1),FIND("`",SUBSTITUTE(OFFSET(A25,-1,0,1,1),".","`",1)))&amp;IF(ISERROR(FIND("`",SUBSTITUTE(OFFSET(A25,-1,0,1,1),".","`",2))),VALUE(RIGHT(OFFSET(A25,-1,0,1,1),LEN(OFFSET(A25,-1,0,1,1))-FIND("`",SUBSTITUTE(OFFSET(A25,-1,0,1,1),".","`",1))))+1,VALUE(MID(OFFSET(A25,-1,0,1,1),FIND("`",SUBSTITUTE(OFFSET(A25,-1,0,1,1),".","`",1))+1,(FIND("`",SUBSTITUTE(OFFSET(A25,-1,0,1,1),".","`",2))-FIND("`",SUBSTITUTE(OFFSET(A25,-1,0,1,1),".","`",1))-1)))+1)))</f>
        <v>1.5</v>
      </c>
      <c r="B25" s="20" t="str">
        <f>B$20</f>
        <v>A</v>
      </c>
      <c r="C25" s="28" t="s">
        <v>23</v>
      </c>
      <c r="D25" s="28"/>
      <c r="E25" s="28" t="s">
        <v>31</v>
      </c>
      <c r="F25" s="31"/>
      <c r="G25" s="20"/>
      <c r="H25" s="62">
        <v>2015</v>
      </c>
      <c r="I25" s="63">
        <v>50</v>
      </c>
      <c r="J25" s="64">
        <f>IsoWeekToDateB2(H25,I25)</f>
        <v>42345</v>
      </c>
      <c r="K25" s="21">
        <f>J25+L25-1</f>
        <v>42414</v>
      </c>
      <c r="L25" s="52">
        <v>70</v>
      </c>
      <c r="M25" s="52"/>
      <c r="N25" s="53">
        <v>0</v>
      </c>
      <c r="O25" s="22">
        <f t="shared" si="3"/>
        <v>50</v>
      </c>
      <c r="P25" s="23">
        <f t="shared" si="8"/>
        <v>0</v>
      </c>
      <c r="Q25" s="22">
        <f t="shared" si="9"/>
        <v>70</v>
      </c>
      <c r="R25" s="29"/>
    </row>
    <row r="26" spans="1:18" s="41" customFormat="1" ht="12.75" x14ac:dyDescent="0.25">
      <c r="A26" s="77">
        <v>1</v>
      </c>
      <c r="B26" s="77"/>
      <c r="C26" s="78" t="s">
        <v>37</v>
      </c>
      <c r="D26" s="78"/>
      <c r="E26" s="78" t="s">
        <v>31</v>
      </c>
      <c r="F26" s="78"/>
      <c r="G26" s="77"/>
      <c r="H26" s="83">
        <f>MIN(H27:H31)</f>
        <v>2010</v>
      </c>
      <c r="I26" s="84">
        <f>MIN(I27:I31)</f>
        <v>10</v>
      </c>
      <c r="J26" s="85">
        <f>MIN(J27:J31)</f>
        <v>40245</v>
      </c>
      <c r="K26" s="85">
        <f>MAX(K27:K31)</f>
        <v>40254</v>
      </c>
      <c r="L26" s="86">
        <f>K26-J26+1</f>
        <v>10</v>
      </c>
      <c r="M26" s="86"/>
      <c r="N26" s="87">
        <f>SUMPRODUCT(L27:L31,N27:N31)/SUM(L27:L31)</f>
        <v>0.1</v>
      </c>
      <c r="O26" s="39">
        <f t="shared" ref="O26:O47" si="10">NETWORKDAYS(J26,K26)</f>
        <v>8</v>
      </c>
      <c r="P26" s="40">
        <f t="shared" ref="P26:P47" si="11">ROUNDDOWN(N26*L26,0)</f>
        <v>1</v>
      </c>
      <c r="Q26" s="39">
        <f t="shared" ref="Q26:Q47" si="12">L26-P26</f>
        <v>9</v>
      </c>
    </row>
    <row r="27" spans="1:18" s="30" customFormat="1" ht="12.75" x14ac:dyDescent="0.25">
      <c r="A27" s="79" t="str">
        <f ca="1">IF(ISERROR(VALUE(SUBSTITUTE(OFFSET(A27,-1,0,1,1),".",""))),"0.1",IF(ISERROR(FIND("`",SUBSTITUTE(OFFSET(A27,-1,0,1,1),".","`",1))),OFFSET(A27,-1,0,1,1)&amp;".1",LEFT(OFFSET(A27,-1,0,1,1),FIND("`",SUBSTITUTE(OFFSET(A27,-1,0,1,1),".","`",1)))&amp;IF(ISERROR(FIND("`",SUBSTITUTE(OFFSET(A27,-1,0,1,1),".","`",2))),VALUE(RIGHT(OFFSET(A27,-1,0,1,1),LEN(OFFSET(A27,-1,0,1,1))-FIND("`",SUBSTITUTE(OFFSET(A27,-1,0,1,1),".","`",1))))+1,VALUE(MID(OFFSET(A27,-1,0,1,1),FIND("`",SUBSTITUTE(OFFSET(A27,-1,0,1,1),".","`",1))+1,(FIND("`",SUBSTITUTE(OFFSET(A27,-1,0,1,1),".","`",2))-FIND("`",SUBSTITUTE(OFFSET(A27,-1,0,1,1),".","`",1))-1)))+1)))</f>
        <v>1.1</v>
      </c>
      <c r="B27" s="79"/>
      <c r="C27" s="80" t="s">
        <v>17</v>
      </c>
      <c r="D27" s="80"/>
      <c r="E27" s="80" t="s">
        <v>31</v>
      </c>
      <c r="F27" s="80"/>
      <c r="G27" s="79"/>
      <c r="H27" s="62">
        <v>2010</v>
      </c>
      <c r="I27" s="63">
        <v>10</v>
      </c>
      <c r="J27" s="64">
        <f>IsoWeekToDateB2(H27,I27)</f>
        <v>40245</v>
      </c>
      <c r="K27" s="21">
        <f>J27+L27-1</f>
        <v>40254</v>
      </c>
      <c r="L27" s="52">
        <v>10</v>
      </c>
      <c r="M27" s="52"/>
      <c r="N27" s="53">
        <v>0.1</v>
      </c>
      <c r="O27" s="22">
        <f t="shared" si="10"/>
        <v>8</v>
      </c>
      <c r="P27" s="23">
        <f t="shared" si="11"/>
        <v>1</v>
      </c>
      <c r="Q27" s="22">
        <f t="shared" si="12"/>
        <v>9</v>
      </c>
      <c r="R27" s="29"/>
    </row>
    <row r="28" spans="1:18" s="30" customFormat="1" ht="12.75" x14ac:dyDescent="0.25">
      <c r="A28" s="79" t="str">
        <f ca="1">IF(ISERROR(VALUE(SUBSTITUTE(OFFSET(A28,-1,0,1,1),".",""))),"0.1",IF(ISERROR(FIND("`",SUBSTITUTE(OFFSET(A28,-1,0,1,1),".","`",1))),OFFSET(A28,-1,0,1,1)&amp;".1",LEFT(OFFSET(A28,-1,0,1,1),FIND("`",SUBSTITUTE(OFFSET(A28,-1,0,1,1),".","`",1)))&amp;IF(ISERROR(FIND("`",SUBSTITUTE(OFFSET(A28,-1,0,1,1),".","`",2))),VALUE(RIGHT(OFFSET(A28,-1,0,1,1),LEN(OFFSET(A28,-1,0,1,1))-FIND("`",SUBSTITUTE(OFFSET(A28,-1,0,1,1),".","`",1))))+1,VALUE(MID(OFFSET(A28,-1,0,1,1),FIND("`",SUBSTITUTE(OFFSET(A28,-1,0,1,1),".","`",1))+1,(FIND("`",SUBSTITUTE(OFFSET(A28,-1,0,1,1),".","`",2))-FIND("`",SUBSTITUTE(OFFSET(A28,-1,0,1,1),".","`",1))-1)))+1)))</f>
        <v>1.2</v>
      </c>
      <c r="B28" s="79"/>
      <c r="C28" s="80" t="s">
        <v>18</v>
      </c>
      <c r="D28" s="80"/>
      <c r="E28" s="80" t="s">
        <v>31</v>
      </c>
      <c r="F28" s="81"/>
      <c r="G28" s="79"/>
      <c r="H28" s="62">
        <v>2010</v>
      </c>
      <c r="I28" s="63">
        <v>10</v>
      </c>
      <c r="J28" s="64">
        <f>IsoWeekToDateB2(H28,I28)</f>
        <v>40245</v>
      </c>
      <c r="K28" s="21">
        <f>J28+L28-1</f>
        <v>40254</v>
      </c>
      <c r="L28" s="52">
        <v>10</v>
      </c>
      <c r="M28" s="52"/>
      <c r="N28" s="53">
        <v>0.1</v>
      </c>
      <c r="O28" s="22">
        <f t="shared" si="10"/>
        <v>8</v>
      </c>
      <c r="P28" s="23">
        <f t="shared" si="11"/>
        <v>1</v>
      </c>
      <c r="Q28" s="22">
        <f t="shared" si="12"/>
        <v>9</v>
      </c>
      <c r="R28" s="29"/>
    </row>
    <row r="29" spans="1:18" s="30" customFormat="1" ht="12.75" x14ac:dyDescent="0.25">
      <c r="A29" s="79" t="str">
        <f ca="1">IF(ISERROR(VALUE(SUBSTITUTE(OFFSET(A29,-1,0,1,1),".",""))),"0.1",IF(ISERROR(FIND("`",SUBSTITUTE(OFFSET(A29,-1,0,1,1),".","`",1))),OFFSET(A29,-1,0,1,1)&amp;".1",LEFT(OFFSET(A29,-1,0,1,1),FIND("`",SUBSTITUTE(OFFSET(A29,-1,0,1,1),".","`",1)))&amp;IF(ISERROR(FIND("`",SUBSTITUTE(OFFSET(A29,-1,0,1,1),".","`",2))),VALUE(RIGHT(OFFSET(A29,-1,0,1,1),LEN(OFFSET(A29,-1,0,1,1))-FIND("`",SUBSTITUTE(OFFSET(A29,-1,0,1,1),".","`",1))))+1,VALUE(MID(OFFSET(A29,-1,0,1,1),FIND("`",SUBSTITUTE(OFFSET(A29,-1,0,1,1),".","`",1))+1,(FIND("`",SUBSTITUTE(OFFSET(A29,-1,0,1,1),".","`",2))-FIND("`",SUBSTITUTE(OFFSET(A29,-1,0,1,1),".","`",1))-1)))+1)))</f>
        <v>1.3</v>
      </c>
      <c r="B29" s="79"/>
      <c r="C29" s="80" t="s">
        <v>29</v>
      </c>
      <c r="D29" s="80"/>
      <c r="E29" s="80" t="s">
        <v>31</v>
      </c>
      <c r="F29" s="81"/>
      <c r="G29" s="79"/>
      <c r="H29" s="62">
        <v>2010</v>
      </c>
      <c r="I29" s="63">
        <v>10</v>
      </c>
      <c r="J29" s="64">
        <f>IsoWeekToDateB2(H29,I29)</f>
        <v>40245</v>
      </c>
      <c r="K29" s="21">
        <f>J29+L29-1</f>
        <v>40254</v>
      </c>
      <c r="L29" s="52">
        <v>10</v>
      </c>
      <c r="M29" s="52"/>
      <c r="N29" s="53">
        <v>0.1</v>
      </c>
      <c r="O29" s="22">
        <f t="shared" si="10"/>
        <v>8</v>
      </c>
      <c r="P29" s="23">
        <f t="shared" si="11"/>
        <v>1</v>
      </c>
      <c r="Q29" s="22">
        <f t="shared" si="12"/>
        <v>9</v>
      </c>
      <c r="R29" s="29"/>
    </row>
    <row r="30" spans="1:18" s="30" customFormat="1" ht="12.75" x14ac:dyDescent="0.25">
      <c r="A30" s="79" t="str">
        <f ca="1">IF(ISERROR(VALUE(SUBSTITUTE(OFFSET(A30,-1,0,1,1),".",""))),"0.1",IF(ISERROR(FIND("`",SUBSTITUTE(OFFSET(A30,-1,0,1,1),".","`",1))),OFFSET(A30,-1,0,1,1)&amp;".1",LEFT(OFFSET(A30,-1,0,1,1),FIND("`",SUBSTITUTE(OFFSET(A30,-1,0,1,1),".","`",1)))&amp;IF(ISERROR(FIND("`",SUBSTITUTE(OFFSET(A30,-1,0,1,1),".","`",2))),VALUE(RIGHT(OFFSET(A30,-1,0,1,1),LEN(OFFSET(A30,-1,0,1,1))-FIND("`",SUBSTITUTE(OFFSET(A30,-1,0,1,1),".","`",1))))+1,VALUE(MID(OFFSET(A30,-1,0,1,1),FIND("`",SUBSTITUTE(OFFSET(A30,-1,0,1,1),".","`",1))+1,(FIND("`",SUBSTITUTE(OFFSET(A30,-1,0,1,1),".","`",2))-FIND("`",SUBSTITUTE(OFFSET(A30,-1,0,1,1),".","`",1))-1)))+1)))</f>
        <v>1.4</v>
      </c>
      <c r="B30" s="79"/>
      <c r="C30" s="80" t="s">
        <v>19</v>
      </c>
      <c r="D30" s="80"/>
      <c r="E30" s="80" t="s">
        <v>31</v>
      </c>
      <c r="F30" s="81"/>
      <c r="G30" s="79"/>
      <c r="H30" s="62">
        <v>2010</v>
      </c>
      <c r="I30" s="63">
        <v>10</v>
      </c>
      <c r="J30" s="64">
        <f>IsoWeekToDateB2(H30,I30)</f>
        <v>40245</v>
      </c>
      <c r="K30" s="21">
        <f>J30+L30-1</f>
        <v>40254</v>
      </c>
      <c r="L30" s="52">
        <v>10</v>
      </c>
      <c r="M30" s="52"/>
      <c r="N30" s="53">
        <v>0.1</v>
      </c>
      <c r="O30" s="22">
        <f t="shared" si="10"/>
        <v>8</v>
      </c>
      <c r="P30" s="23">
        <f t="shared" si="11"/>
        <v>1</v>
      </c>
      <c r="Q30" s="22">
        <f t="shared" si="12"/>
        <v>9</v>
      </c>
      <c r="R30" s="29"/>
    </row>
    <row r="31" spans="1:18" s="30" customFormat="1" ht="12.75" x14ac:dyDescent="0.25">
      <c r="A31" s="79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1.5</v>
      </c>
      <c r="B31" s="79"/>
      <c r="C31" s="80" t="s">
        <v>23</v>
      </c>
      <c r="D31" s="80"/>
      <c r="E31" s="80" t="s">
        <v>31</v>
      </c>
      <c r="F31" s="81"/>
      <c r="G31" s="79"/>
      <c r="H31" s="62">
        <v>2010</v>
      </c>
      <c r="I31" s="63">
        <v>10</v>
      </c>
      <c r="J31" s="64">
        <f>IsoWeekToDateB2(H31,I31)</f>
        <v>40245</v>
      </c>
      <c r="K31" s="21">
        <f>J31+L31-1</f>
        <v>40254</v>
      </c>
      <c r="L31" s="52">
        <v>10</v>
      </c>
      <c r="M31" s="52"/>
      <c r="N31" s="53">
        <v>0.1</v>
      </c>
      <c r="O31" s="22">
        <f t="shared" si="10"/>
        <v>8</v>
      </c>
      <c r="P31" s="23">
        <f t="shared" si="11"/>
        <v>1</v>
      </c>
      <c r="Q31" s="22">
        <f t="shared" si="12"/>
        <v>9</v>
      </c>
      <c r="R31" s="29"/>
    </row>
    <row r="32" spans="1:18" s="41" customFormat="1" ht="12.75" x14ac:dyDescent="0.25">
      <c r="A32" s="77">
        <v>1</v>
      </c>
      <c r="B32" s="77"/>
      <c r="C32" s="78" t="s">
        <v>38</v>
      </c>
      <c r="D32" s="78"/>
      <c r="E32" s="78" t="s">
        <v>31</v>
      </c>
      <c r="F32" s="78"/>
      <c r="G32" s="77"/>
      <c r="H32" s="83">
        <f>MIN(H33:H37)</f>
        <v>2010</v>
      </c>
      <c r="I32" s="84">
        <f>MIN(I33:I37)</f>
        <v>10</v>
      </c>
      <c r="J32" s="85">
        <f>MIN(J33:J37)</f>
        <v>40245</v>
      </c>
      <c r="K32" s="85">
        <f>MAX(K33:K37)</f>
        <v>40254</v>
      </c>
      <c r="L32" s="86">
        <f>K32-J32+1</f>
        <v>10</v>
      </c>
      <c r="M32" s="86"/>
      <c r="N32" s="87">
        <f>SUMPRODUCT(L33:L37,N33:N37)/SUM(L33:L37)</f>
        <v>0.1</v>
      </c>
      <c r="O32" s="39">
        <f t="shared" si="10"/>
        <v>8</v>
      </c>
      <c r="P32" s="40">
        <f t="shared" si="11"/>
        <v>1</v>
      </c>
      <c r="Q32" s="39">
        <f t="shared" si="12"/>
        <v>9</v>
      </c>
    </row>
    <row r="33" spans="1:18" s="30" customFormat="1" ht="12.75" x14ac:dyDescent="0.25">
      <c r="A33" s="79" t="str">
        <f ca="1">IF(ISERROR(VALUE(SUBSTITUTE(OFFSET(A33,-1,0,1,1),".",""))),"0.1",IF(ISERROR(FIND("`",SUBSTITUTE(OFFSET(A33,-1,0,1,1),".","`",1))),OFFSET(A33,-1,0,1,1)&amp;".1",LEFT(OFFSET(A33,-1,0,1,1),FIND("`",SUBSTITUTE(OFFSET(A33,-1,0,1,1),".","`",1)))&amp;IF(ISERROR(FIND("`",SUBSTITUTE(OFFSET(A33,-1,0,1,1),".","`",2))),VALUE(RIGHT(OFFSET(A33,-1,0,1,1),LEN(OFFSET(A33,-1,0,1,1))-FIND("`",SUBSTITUTE(OFFSET(A33,-1,0,1,1),".","`",1))))+1,VALUE(MID(OFFSET(A33,-1,0,1,1),FIND("`",SUBSTITUTE(OFFSET(A33,-1,0,1,1),".","`",1))+1,(FIND("`",SUBSTITUTE(OFFSET(A33,-1,0,1,1),".","`",2))-FIND("`",SUBSTITUTE(OFFSET(A33,-1,0,1,1),".","`",1))-1)))+1)))</f>
        <v>1.1</v>
      </c>
      <c r="B33" s="79"/>
      <c r="C33" s="80" t="s">
        <v>33</v>
      </c>
      <c r="D33" s="80"/>
      <c r="E33" s="80" t="s">
        <v>31</v>
      </c>
      <c r="F33" s="80"/>
      <c r="G33" s="79"/>
      <c r="H33" s="62">
        <v>2010</v>
      </c>
      <c r="I33" s="63">
        <v>10</v>
      </c>
      <c r="J33" s="64">
        <f>IsoWeekToDateB2(H33,I33)</f>
        <v>40245</v>
      </c>
      <c r="K33" s="21">
        <f>J33+L33-1</f>
        <v>40254</v>
      </c>
      <c r="L33" s="52">
        <v>10</v>
      </c>
      <c r="M33" s="52"/>
      <c r="N33" s="53">
        <v>0.1</v>
      </c>
      <c r="O33" s="22">
        <f t="shared" si="10"/>
        <v>8</v>
      </c>
      <c r="P33" s="23">
        <f t="shared" si="11"/>
        <v>1</v>
      </c>
      <c r="Q33" s="22">
        <f t="shared" si="12"/>
        <v>9</v>
      </c>
      <c r="R33" s="29"/>
    </row>
    <row r="34" spans="1:18" s="30" customFormat="1" ht="12.75" x14ac:dyDescent="0.25">
      <c r="A34" s="79" t="str">
        <f ca="1">IF(ISERROR(VALUE(SUBSTITUTE(OFFSET(A34,-1,0,1,1),".",""))),"0.1",IF(ISERROR(FIND("`",SUBSTITUTE(OFFSET(A34,-1,0,1,1),".","`",1))),OFFSET(A34,-1,0,1,1)&amp;".1",LEFT(OFFSET(A34,-1,0,1,1),FIND("`",SUBSTITUTE(OFFSET(A34,-1,0,1,1),".","`",1)))&amp;IF(ISERROR(FIND("`",SUBSTITUTE(OFFSET(A34,-1,0,1,1),".","`",2))),VALUE(RIGHT(OFFSET(A34,-1,0,1,1),LEN(OFFSET(A34,-1,0,1,1))-FIND("`",SUBSTITUTE(OFFSET(A34,-1,0,1,1),".","`",1))))+1,VALUE(MID(OFFSET(A34,-1,0,1,1),FIND("`",SUBSTITUTE(OFFSET(A34,-1,0,1,1),".","`",1))+1,(FIND("`",SUBSTITUTE(OFFSET(A34,-1,0,1,1),".","`",2))-FIND("`",SUBSTITUTE(OFFSET(A34,-1,0,1,1),".","`",1))-1)))+1)))</f>
        <v>1.2</v>
      </c>
      <c r="B34" s="79"/>
      <c r="C34" s="80" t="s">
        <v>17</v>
      </c>
      <c r="D34" s="80"/>
      <c r="E34" s="80" t="s">
        <v>31</v>
      </c>
      <c r="F34" s="81"/>
      <c r="G34" s="79"/>
      <c r="H34" s="62">
        <v>2010</v>
      </c>
      <c r="I34" s="63">
        <v>10</v>
      </c>
      <c r="J34" s="64">
        <f>IsoWeekToDateB2(H34,I34)</f>
        <v>40245</v>
      </c>
      <c r="K34" s="21">
        <f>J34+L34-1</f>
        <v>40254</v>
      </c>
      <c r="L34" s="52">
        <v>10</v>
      </c>
      <c r="M34" s="52"/>
      <c r="N34" s="53">
        <v>0.1</v>
      </c>
      <c r="O34" s="22">
        <f t="shared" si="10"/>
        <v>8</v>
      </c>
      <c r="P34" s="23">
        <f t="shared" si="11"/>
        <v>1</v>
      </c>
      <c r="Q34" s="22">
        <f t="shared" si="12"/>
        <v>9</v>
      </c>
      <c r="R34" s="29"/>
    </row>
    <row r="35" spans="1:18" s="30" customFormat="1" ht="12.75" customHeight="1" x14ac:dyDescent="0.25">
      <c r="A35" s="79" t="str">
        <f ca="1">IF(ISERROR(VALUE(SUBSTITUTE(OFFSET(A35,-1,0,1,1),".",""))),"0.1",IF(ISERROR(FIND("`",SUBSTITUTE(OFFSET(A35,-1,0,1,1),".","`",1))),OFFSET(A35,-1,0,1,1)&amp;".1",LEFT(OFFSET(A35,-1,0,1,1),FIND("`",SUBSTITUTE(OFFSET(A35,-1,0,1,1),".","`",1)))&amp;IF(ISERROR(FIND("`",SUBSTITUTE(OFFSET(A35,-1,0,1,1),".","`",2))),VALUE(RIGHT(OFFSET(A35,-1,0,1,1),LEN(OFFSET(A35,-1,0,1,1))-FIND("`",SUBSTITUTE(OFFSET(A35,-1,0,1,1),".","`",1))))+1,VALUE(MID(OFFSET(A35,-1,0,1,1),FIND("`",SUBSTITUTE(OFFSET(A35,-1,0,1,1),".","`",1))+1,(FIND("`",SUBSTITUTE(OFFSET(A35,-1,0,1,1),".","`",2))-FIND("`",SUBSTITUTE(OFFSET(A35,-1,0,1,1),".","`",1))-1)))+1)))</f>
        <v>1.3</v>
      </c>
      <c r="B35" s="79"/>
      <c r="C35" s="80" t="s">
        <v>34</v>
      </c>
      <c r="D35" s="80"/>
      <c r="E35" s="80" t="s">
        <v>31</v>
      </c>
      <c r="F35" s="81"/>
      <c r="G35" s="79"/>
      <c r="H35" s="62">
        <v>2010</v>
      </c>
      <c r="I35" s="63">
        <v>10</v>
      </c>
      <c r="J35" s="64">
        <f>IsoWeekToDateB2(H35,I35)</f>
        <v>40245</v>
      </c>
      <c r="K35" s="21">
        <f>J35+L35-1</f>
        <v>40254</v>
      </c>
      <c r="L35" s="52">
        <v>10</v>
      </c>
      <c r="M35" s="52"/>
      <c r="N35" s="53">
        <v>0.1</v>
      </c>
      <c r="O35" s="22">
        <f t="shared" si="10"/>
        <v>8</v>
      </c>
      <c r="P35" s="23">
        <f t="shared" si="11"/>
        <v>1</v>
      </c>
      <c r="Q35" s="22">
        <f t="shared" si="12"/>
        <v>9</v>
      </c>
      <c r="R35" s="29"/>
    </row>
    <row r="36" spans="1:18" s="30" customFormat="1" ht="12.75" x14ac:dyDescent="0.25">
      <c r="A36" s="79" t="str">
        <f ca="1">IF(ISERROR(VALUE(SUBSTITUTE(OFFSET(A36,-1,0,1,1),".",""))),"0.1",IF(ISERROR(FIND("`",SUBSTITUTE(OFFSET(A36,-1,0,1,1),".","`",1))),OFFSET(A36,-1,0,1,1)&amp;".1",LEFT(OFFSET(A36,-1,0,1,1),FIND("`",SUBSTITUTE(OFFSET(A36,-1,0,1,1),".","`",1)))&amp;IF(ISERROR(FIND("`",SUBSTITUTE(OFFSET(A36,-1,0,1,1),".","`",2))),VALUE(RIGHT(OFFSET(A36,-1,0,1,1),LEN(OFFSET(A36,-1,0,1,1))-FIND("`",SUBSTITUTE(OFFSET(A36,-1,0,1,1),".","`",1))))+1,VALUE(MID(OFFSET(A36,-1,0,1,1),FIND("`",SUBSTITUTE(OFFSET(A36,-1,0,1,1),".","`",1))+1,(FIND("`",SUBSTITUTE(OFFSET(A36,-1,0,1,1),".","`",2))-FIND("`",SUBSTITUTE(OFFSET(A36,-1,0,1,1),".","`",1))-1)))+1)))</f>
        <v>1.4</v>
      </c>
      <c r="B36" s="79"/>
      <c r="C36" s="80" t="s">
        <v>35</v>
      </c>
      <c r="D36" s="80"/>
      <c r="E36" s="80" t="s">
        <v>31</v>
      </c>
      <c r="F36" s="81"/>
      <c r="G36" s="79"/>
      <c r="H36" s="62">
        <v>2010</v>
      </c>
      <c r="I36" s="63">
        <v>10</v>
      </c>
      <c r="J36" s="64">
        <f>IsoWeekToDateB2(H36,I36)</f>
        <v>40245</v>
      </c>
      <c r="K36" s="21">
        <f>J36+L36-1</f>
        <v>40254</v>
      </c>
      <c r="L36" s="52">
        <v>10</v>
      </c>
      <c r="M36" s="52"/>
      <c r="N36" s="53">
        <v>0.1</v>
      </c>
      <c r="O36" s="22">
        <f t="shared" si="10"/>
        <v>8</v>
      </c>
      <c r="P36" s="23">
        <f t="shared" si="11"/>
        <v>1</v>
      </c>
      <c r="Q36" s="22">
        <f t="shared" si="12"/>
        <v>9</v>
      </c>
      <c r="R36" s="29"/>
    </row>
    <row r="37" spans="1:18" s="30" customFormat="1" ht="12.75" x14ac:dyDescent="0.25">
      <c r="A37" s="79" t="str">
        <f ca="1">IF(ISERROR(VALUE(SUBSTITUTE(OFFSET(A37,-1,0,1,1),".",""))),"0.1",IF(ISERROR(FIND("`",SUBSTITUTE(OFFSET(A37,-1,0,1,1),".","`",1))),OFFSET(A37,-1,0,1,1)&amp;".1",LEFT(OFFSET(A37,-1,0,1,1),FIND("`",SUBSTITUTE(OFFSET(A37,-1,0,1,1),".","`",1)))&amp;IF(ISERROR(FIND("`",SUBSTITUTE(OFFSET(A37,-1,0,1,1),".","`",2))),VALUE(RIGHT(OFFSET(A37,-1,0,1,1),LEN(OFFSET(A37,-1,0,1,1))-FIND("`",SUBSTITUTE(OFFSET(A37,-1,0,1,1),".","`",1))))+1,VALUE(MID(OFFSET(A37,-1,0,1,1),FIND("`",SUBSTITUTE(OFFSET(A37,-1,0,1,1),".","`",1))+1,(FIND("`",SUBSTITUTE(OFFSET(A37,-1,0,1,1),".","`",2))-FIND("`",SUBSTITUTE(OFFSET(A37,-1,0,1,1),".","`",1))-1)))+1)))</f>
        <v>1.5</v>
      </c>
      <c r="B37" s="79"/>
      <c r="C37" s="80" t="s">
        <v>36</v>
      </c>
      <c r="D37" s="80"/>
      <c r="E37" s="80" t="s">
        <v>31</v>
      </c>
      <c r="F37" s="81"/>
      <c r="G37" s="79"/>
      <c r="H37" s="62">
        <v>2010</v>
      </c>
      <c r="I37" s="63">
        <v>10</v>
      </c>
      <c r="J37" s="64">
        <f>IsoWeekToDateB2(H37,I37)</f>
        <v>40245</v>
      </c>
      <c r="K37" s="21">
        <f>J37+L37-1</f>
        <v>40254</v>
      </c>
      <c r="L37" s="52">
        <v>10</v>
      </c>
      <c r="M37" s="52"/>
      <c r="N37" s="53">
        <v>0.1</v>
      </c>
      <c r="O37" s="22">
        <f t="shared" si="10"/>
        <v>8</v>
      </c>
      <c r="P37" s="23">
        <f t="shared" si="11"/>
        <v>1</v>
      </c>
      <c r="Q37" s="22">
        <f t="shared" si="12"/>
        <v>9</v>
      </c>
      <c r="R37" s="29"/>
    </row>
    <row r="38" spans="1:18" s="41" customFormat="1" ht="12.75" x14ac:dyDescent="0.25">
      <c r="A38" s="77">
        <v>9229</v>
      </c>
      <c r="B38" s="77"/>
      <c r="C38" s="78" t="s">
        <v>24</v>
      </c>
      <c r="D38" s="78"/>
      <c r="E38" s="78" t="s">
        <v>31</v>
      </c>
      <c r="F38" s="78"/>
      <c r="G38" s="77"/>
      <c r="H38" s="83"/>
      <c r="I38" s="84"/>
      <c r="J38" s="85">
        <f>MIN(J39:J42)</f>
        <v>42002</v>
      </c>
      <c r="K38" s="85">
        <f>MAX(K39:K42)</f>
        <v>42027</v>
      </c>
      <c r="L38" s="86">
        <f>K38-J38+1</f>
        <v>26</v>
      </c>
      <c r="M38" s="86"/>
      <c r="N38" s="87">
        <f>SUMPRODUCT(L39:L62,N39:N62)/SUM(L39:L62)</f>
        <v>0</v>
      </c>
      <c r="O38" s="39">
        <f t="shared" si="10"/>
        <v>20</v>
      </c>
      <c r="P38" s="40">
        <f t="shared" si="11"/>
        <v>0</v>
      </c>
      <c r="Q38" s="39">
        <f t="shared" si="12"/>
        <v>26</v>
      </c>
    </row>
    <row r="39" spans="1:18" s="30" customFormat="1" ht="12.75" x14ac:dyDescent="0.25">
      <c r="A39" s="79" t="str">
        <f ca="1">IF(ISERROR(VALUE(SUBSTITUTE(OFFSET(A39,-1,0,1,1),".",""))),"0.1",IF(ISERROR(FIND("`",SUBSTITUTE(OFFSET(A39,-1,0,1,1),".","`",1))),OFFSET(A39,-1,0,1,1)&amp;".1",LEFT(OFFSET(A39,-1,0,1,1),FIND("`",SUBSTITUTE(OFFSET(A39,-1,0,1,1),".","`",1)))&amp;IF(ISERROR(FIND("`",SUBSTITUTE(OFFSET(A39,-1,0,1,1),".","`",2))),VALUE(RIGHT(OFFSET(A39,-1,0,1,1),LEN(OFFSET(A39,-1,0,1,1))-FIND("`",SUBSTITUTE(OFFSET(A39,-1,0,1,1),".","`",1))))+1,VALUE(MID(OFFSET(A39,-1,0,1,1),FIND("`",SUBSTITUTE(OFFSET(A39,-1,0,1,1),".","`",1))+1,(FIND("`",SUBSTITUTE(OFFSET(A39,-1,0,1,1),".","`",2))-FIND("`",SUBSTITUTE(OFFSET(A39,-1,0,1,1),".","`",1))-1)))+1)))</f>
        <v>9229.1</v>
      </c>
      <c r="B39" s="79"/>
      <c r="C39" s="80" t="s">
        <v>17</v>
      </c>
      <c r="D39" s="80"/>
      <c r="E39" s="80" t="s">
        <v>31</v>
      </c>
      <c r="F39" s="80"/>
      <c r="G39" s="79"/>
      <c r="H39" s="62">
        <v>2015</v>
      </c>
      <c r="I39" s="63">
        <v>1</v>
      </c>
      <c r="J39" s="64">
        <f>IsoWeekToDateB2(H39,I39)</f>
        <v>42002</v>
      </c>
      <c r="K39" s="21">
        <f>J39+L39-1</f>
        <v>42006</v>
      </c>
      <c r="L39" s="52">
        <v>5</v>
      </c>
      <c r="M39" s="52"/>
      <c r="N39" s="53">
        <v>0</v>
      </c>
      <c r="O39" s="22">
        <f t="shared" si="10"/>
        <v>5</v>
      </c>
      <c r="P39" s="23">
        <f t="shared" si="11"/>
        <v>0</v>
      </c>
      <c r="Q39" s="22">
        <f t="shared" si="12"/>
        <v>5</v>
      </c>
      <c r="R39" s="29"/>
    </row>
    <row r="40" spans="1:18" s="30" customFormat="1" ht="12.75" x14ac:dyDescent="0.25">
      <c r="A40" s="79" t="str">
        <f ca="1">IF(ISERROR(VALUE(SUBSTITUTE(OFFSET(A40,-1,0,1,1),".",""))),"0.1",IF(ISERROR(FIND("`",SUBSTITUTE(OFFSET(A40,-1,0,1,1),".","`",1))),OFFSET(A40,-1,0,1,1)&amp;".1",LEFT(OFFSET(A40,-1,0,1,1),FIND("`",SUBSTITUTE(OFFSET(A40,-1,0,1,1),".","`",1)))&amp;IF(ISERROR(FIND("`",SUBSTITUTE(OFFSET(A40,-1,0,1,1),".","`",2))),VALUE(RIGHT(OFFSET(A40,-1,0,1,1),LEN(OFFSET(A40,-1,0,1,1))-FIND("`",SUBSTITUTE(OFFSET(A40,-1,0,1,1),".","`",1))))+1,VALUE(MID(OFFSET(A40,-1,0,1,1),FIND("`",SUBSTITUTE(OFFSET(A40,-1,0,1,1),".","`",1))+1,(FIND("`",SUBSTITUTE(OFFSET(A40,-1,0,1,1),".","`",2))-FIND("`",SUBSTITUTE(OFFSET(A40,-1,0,1,1),".","`",1))-1)))+1)))</f>
        <v>9229.2</v>
      </c>
      <c r="B40" s="79"/>
      <c r="C40" s="80" t="s">
        <v>18</v>
      </c>
      <c r="D40" s="80"/>
      <c r="E40" s="80" t="s">
        <v>31</v>
      </c>
      <c r="F40" s="81"/>
      <c r="G40" s="79"/>
      <c r="H40" s="62">
        <v>2015</v>
      </c>
      <c r="I40" s="63">
        <v>2</v>
      </c>
      <c r="J40" s="64">
        <f>IsoWeekToDateB2(H40,I40)</f>
        <v>42009</v>
      </c>
      <c r="K40" s="21">
        <f>J40+L40-1</f>
        <v>42013</v>
      </c>
      <c r="L40" s="52">
        <v>5</v>
      </c>
      <c r="M40" s="52"/>
      <c r="N40" s="53">
        <v>0</v>
      </c>
      <c r="O40" s="22">
        <f t="shared" si="10"/>
        <v>5</v>
      </c>
      <c r="P40" s="23">
        <f t="shared" si="11"/>
        <v>0</v>
      </c>
      <c r="Q40" s="22">
        <f t="shared" si="12"/>
        <v>5</v>
      </c>
      <c r="R40" s="29"/>
    </row>
    <row r="41" spans="1:18" s="30" customFormat="1" ht="12.75" x14ac:dyDescent="0.25">
      <c r="A41" s="79" t="str">
        <f ca="1">IF(ISERROR(VALUE(SUBSTITUTE(OFFSET(A41,-1,0,1,1),".",""))),"0.1",IF(ISERROR(FIND("`",SUBSTITUTE(OFFSET(A41,-1,0,1,1),".","`",1))),OFFSET(A41,-1,0,1,1)&amp;".1",LEFT(OFFSET(A41,-1,0,1,1),FIND("`",SUBSTITUTE(OFFSET(A41,-1,0,1,1),".","`",1)))&amp;IF(ISERROR(FIND("`",SUBSTITUTE(OFFSET(A41,-1,0,1,1),".","`",2))),VALUE(RIGHT(OFFSET(A41,-1,0,1,1),LEN(OFFSET(A41,-1,0,1,1))-FIND("`",SUBSTITUTE(OFFSET(A41,-1,0,1,1),".","`",1))))+1,VALUE(MID(OFFSET(A41,-1,0,1,1),FIND("`",SUBSTITUTE(OFFSET(A41,-1,0,1,1),".","`",1))+1,(FIND("`",SUBSTITUTE(OFFSET(A41,-1,0,1,1),".","`",2))-FIND("`",SUBSTITUTE(OFFSET(A41,-1,0,1,1),".","`",1))-1)))+1)))</f>
        <v>9229.3</v>
      </c>
      <c r="B41" s="79"/>
      <c r="C41" s="80" t="s">
        <v>19</v>
      </c>
      <c r="D41" s="80"/>
      <c r="E41" s="80" t="s">
        <v>31</v>
      </c>
      <c r="F41" s="81"/>
      <c r="G41" s="79"/>
      <c r="H41" s="62">
        <v>2015</v>
      </c>
      <c r="I41" s="63">
        <v>3</v>
      </c>
      <c r="J41" s="64">
        <f>IsoWeekToDateB2(H41,I41)</f>
        <v>42016</v>
      </c>
      <c r="K41" s="21">
        <f>J41+L41-1</f>
        <v>42020</v>
      </c>
      <c r="L41" s="52">
        <v>5</v>
      </c>
      <c r="M41" s="52"/>
      <c r="N41" s="53">
        <v>0</v>
      </c>
      <c r="O41" s="22">
        <f t="shared" si="10"/>
        <v>5</v>
      </c>
      <c r="P41" s="23">
        <f t="shared" si="11"/>
        <v>0</v>
      </c>
      <c r="Q41" s="22">
        <f t="shared" si="12"/>
        <v>5</v>
      </c>
      <c r="R41" s="29"/>
    </row>
    <row r="42" spans="1:18" s="30" customFormat="1" ht="12.75" x14ac:dyDescent="0.25">
      <c r="A42" s="79" t="str">
        <f ca="1">IF(ISERROR(VALUE(SUBSTITUTE(OFFSET(A42,-1,0,1,1),".",""))),"0.1",IF(ISERROR(FIND("`",SUBSTITUTE(OFFSET(A42,-1,0,1,1),".","`",1))),OFFSET(A42,-1,0,1,1)&amp;".1",LEFT(OFFSET(A42,-1,0,1,1),FIND("`",SUBSTITUTE(OFFSET(A42,-1,0,1,1),".","`",1)))&amp;IF(ISERROR(FIND("`",SUBSTITUTE(OFFSET(A42,-1,0,1,1),".","`",2))),VALUE(RIGHT(OFFSET(A42,-1,0,1,1),LEN(OFFSET(A42,-1,0,1,1))-FIND("`",SUBSTITUTE(OFFSET(A42,-1,0,1,1),".","`",1))))+1,VALUE(MID(OFFSET(A42,-1,0,1,1),FIND("`",SUBSTITUTE(OFFSET(A42,-1,0,1,1),".","`",1))+1,(FIND("`",SUBSTITUTE(OFFSET(A42,-1,0,1,1),".","`",2))-FIND("`",SUBSTITUTE(OFFSET(A42,-1,0,1,1),".","`",1))-1)))+1)))</f>
        <v>9229.4</v>
      </c>
      <c r="B42" s="79"/>
      <c r="C42" s="80" t="s">
        <v>23</v>
      </c>
      <c r="D42" s="80"/>
      <c r="E42" s="80" t="s">
        <v>31</v>
      </c>
      <c r="F42" s="81"/>
      <c r="G42" s="79"/>
      <c r="H42" s="62">
        <v>2015</v>
      </c>
      <c r="I42" s="63">
        <v>4</v>
      </c>
      <c r="J42" s="64">
        <f>IsoWeekToDateB2(H42,I42)</f>
        <v>42023</v>
      </c>
      <c r="K42" s="21">
        <f>J42+L42-1</f>
        <v>42027</v>
      </c>
      <c r="L42" s="52">
        <v>5</v>
      </c>
      <c r="M42" s="52"/>
      <c r="N42" s="53">
        <v>0</v>
      </c>
      <c r="O42" s="22">
        <f t="shared" si="10"/>
        <v>5</v>
      </c>
      <c r="P42" s="23">
        <f t="shared" si="11"/>
        <v>0</v>
      </c>
      <c r="Q42" s="22">
        <f t="shared" si="12"/>
        <v>5</v>
      </c>
      <c r="R42" s="29"/>
    </row>
    <row r="43" spans="1:18" s="41" customFormat="1" ht="12.75" x14ac:dyDescent="0.25">
      <c r="A43" s="77">
        <v>1</v>
      </c>
      <c r="B43" s="77"/>
      <c r="C43" s="78" t="s">
        <v>25</v>
      </c>
      <c r="D43" s="78"/>
      <c r="E43" s="78" t="s">
        <v>31</v>
      </c>
      <c r="F43" s="78"/>
      <c r="G43" s="77"/>
      <c r="H43" s="83"/>
      <c r="I43" s="84"/>
      <c r="J43" s="85">
        <f>MIN(J44:J47)</f>
        <v>42065</v>
      </c>
      <c r="K43" s="85">
        <f>MAX(K44:K47)</f>
        <v>42132</v>
      </c>
      <c r="L43" s="86">
        <f>K43-J43+1</f>
        <v>68</v>
      </c>
      <c r="M43" s="86"/>
      <c r="N43" s="87">
        <f>SUMPRODUCT(L44:L51,N44:N51)/SUM(L44:L51)</f>
        <v>0</v>
      </c>
      <c r="O43" s="39">
        <f t="shared" si="10"/>
        <v>50</v>
      </c>
      <c r="P43" s="40">
        <f t="shared" si="11"/>
        <v>0</v>
      </c>
      <c r="Q43" s="39">
        <f t="shared" si="12"/>
        <v>68</v>
      </c>
    </row>
    <row r="44" spans="1:18" s="30" customFormat="1" ht="12.75" x14ac:dyDescent="0.25">
      <c r="A44" s="79" t="str">
        <f ca="1">IF(ISERROR(VALUE(SUBSTITUTE(OFFSET(A44,-1,0,1,1),".",""))),"0.1",IF(ISERROR(FIND("`",SUBSTITUTE(OFFSET(A44,-1,0,1,1),".","`",1))),OFFSET(A44,-1,0,1,1)&amp;".1",LEFT(OFFSET(A44,-1,0,1,1),FIND("`",SUBSTITUTE(OFFSET(A44,-1,0,1,1),".","`",1)))&amp;IF(ISERROR(FIND("`",SUBSTITUTE(OFFSET(A44,-1,0,1,1),".","`",2))),VALUE(RIGHT(OFFSET(A44,-1,0,1,1),LEN(OFFSET(A44,-1,0,1,1))-FIND("`",SUBSTITUTE(OFFSET(A44,-1,0,1,1),".","`",1))))+1,VALUE(MID(OFFSET(A44,-1,0,1,1),FIND("`",SUBSTITUTE(OFFSET(A44,-1,0,1,1),".","`",1))+1,(FIND("`",SUBSTITUTE(OFFSET(A44,-1,0,1,1),".","`",2))-FIND("`",SUBSTITUTE(OFFSET(A44,-1,0,1,1),".","`",1))-1)))+1)))</f>
        <v>1.1</v>
      </c>
      <c r="B44" s="79"/>
      <c r="C44" s="80" t="s">
        <v>16</v>
      </c>
      <c r="D44" s="80"/>
      <c r="E44" s="80" t="s">
        <v>31</v>
      </c>
      <c r="F44" s="80"/>
      <c r="G44" s="79"/>
      <c r="H44" s="62">
        <v>2015</v>
      </c>
      <c r="I44" s="63">
        <v>10</v>
      </c>
      <c r="J44" s="64">
        <f>IsoWeekToDateB2(H44,I44)</f>
        <v>42065</v>
      </c>
      <c r="K44" s="21">
        <f>J44+L44-1</f>
        <v>42069</v>
      </c>
      <c r="L44" s="52">
        <v>5</v>
      </c>
      <c r="M44" s="52"/>
      <c r="N44" s="53">
        <v>0</v>
      </c>
      <c r="O44" s="22">
        <f t="shared" si="10"/>
        <v>5</v>
      </c>
      <c r="P44" s="23">
        <f t="shared" si="11"/>
        <v>0</v>
      </c>
      <c r="Q44" s="22">
        <f t="shared" si="12"/>
        <v>5</v>
      </c>
      <c r="R44" s="29"/>
    </row>
    <row r="45" spans="1:18" s="30" customFormat="1" ht="12.75" x14ac:dyDescent="0.25">
      <c r="A45" s="79" t="str">
        <f ca="1">IF(ISERROR(VALUE(SUBSTITUTE(OFFSET(A45,-1,0,1,1),".",""))),"0.0.1",IF(ISERROR(FIND("`",SUBSTITUTE(OFFSET(A45,-1,0,1,1),".","`",2))),OFFSET(A45,-1,0,1,1)&amp;".1",LEFT(OFFSET(A45,-1,0,1,1),FIND("`",SUBSTITUTE(OFFSET(A45,-1,0,1,1),".","`",2)))&amp;IF(ISERROR(FIND("`",SUBSTITUTE(OFFSET(A45,-1,0,1,1),".","`",3))),VALUE(RIGHT(OFFSET(A45,-1,0,1,1),LEN(OFFSET(A45,-1,0,1,1))-FIND("`",SUBSTITUTE(OFFSET(A45,-1,0,1,1),".","`",2))))+1,VALUE(MID(OFFSET(A45,-1,0,1,1),FIND("`",SUBSTITUTE(OFFSET(A45,-1,0,1,1),".","`",2))+1,(FIND("`",SUBSTITUTE(OFFSET(A45,-1,0,1,1),".","`",3))-FIND("`",SUBSTITUTE(OFFSET(A45,-1,0,1,1),".","`",2))-1)))+1)))</f>
        <v>1.1.1</v>
      </c>
      <c r="B45" s="79"/>
      <c r="C45" s="81" t="s">
        <v>10</v>
      </c>
      <c r="D45" s="81"/>
      <c r="E45" s="80" t="s">
        <v>31</v>
      </c>
      <c r="F45" s="81"/>
      <c r="G45" s="79"/>
      <c r="H45" s="62">
        <v>2015</v>
      </c>
      <c r="I45" s="63">
        <v>13</v>
      </c>
      <c r="J45" s="64">
        <f>IsoWeekToDateB2(H45,I45)</f>
        <v>42086</v>
      </c>
      <c r="K45" s="21">
        <f>J45+L45-1</f>
        <v>42090</v>
      </c>
      <c r="L45" s="52">
        <v>5</v>
      </c>
      <c r="M45" s="52"/>
      <c r="N45" s="53">
        <v>0</v>
      </c>
      <c r="O45" s="22">
        <f t="shared" si="10"/>
        <v>5</v>
      </c>
      <c r="P45" s="23">
        <f t="shared" si="11"/>
        <v>0</v>
      </c>
      <c r="Q45" s="22">
        <f t="shared" si="12"/>
        <v>5</v>
      </c>
      <c r="R45" s="29"/>
    </row>
    <row r="46" spans="1:18" s="30" customFormat="1" ht="12.75" x14ac:dyDescent="0.25">
      <c r="A46" s="79" t="str">
        <f ca="1">IF(ISERROR(VALUE(SUBSTITUTE(OFFSET(A46,-1,0,1,1),".",""))),"0.0.1",IF(ISERROR(FIND("`",SUBSTITUTE(OFFSET(A46,-1,0,1,1),".","`",2))),OFFSET(A46,-1,0,1,1)&amp;".1",LEFT(OFFSET(A46,-1,0,1,1),FIND("`",SUBSTITUTE(OFFSET(A46,-1,0,1,1),".","`",2)))&amp;IF(ISERROR(FIND("`",SUBSTITUTE(OFFSET(A46,-1,0,1,1),".","`",3))),VALUE(RIGHT(OFFSET(A46,-1,0,1,1),LEN(OFFSET(A46,-1,0,1,1))-FIND("`",SUBSTITUTE(OFFSET(A46,-1,0,1,1),".","`",2))))+1,VALUE(MID(OFFSET(A46,-1,0,1,1),FIND("`",SUBSTITUTE(OFFSET(A46,-1,0,1,1),".","`",2))+1,(FIND("`",SUBSTITUTE(OFFSET(A46,-1,0,1,1),".","`",3))-FIND("`",SUBSTITUTE(OFFSET(A46,-1,0,1,1),".","`",2))-1)))+1)))</f>
        <v>1.1.2</v>
      </c>
      <c r="B46" s="79"/>
      <c r="C46" s="81" t="s">
        <v>10</v>
      </c>
      <c r="D46" s="81"/>
      <c r="E46" s="80" t="s">
        <v>31</v>
      </c>
      <c r="F46" s="81"/>
      <c r="G46" s="79"/>
      <c r="H46" s="62">
        <v>2015</v>
      </c>
      <c r="I46" s="63">
        <v>16</v>
      </c>
      <c r="J46" s="64">
        <f t="shared" ref="J46:J47" si="13">IsoWeekToDateB2(H46,I46)</f>
        <v>42107</v>
      </c>
      <c r="K46" s="21">
        <f>J46+L46-1</f>
        <v>42111</v>
      </c>
      <c r="L46" s="52">
        <v>5</v>
      </c>
      <c r="M46" s="52"/>
      <c r="N46" s="53">
        <v>0</v>
      </c>
      <c r="O46" s="22">
        <f t="shared" si="10"/>
        <v>5</v>
      </c>
      <c r="P46" s="23">
        <f t="shared" si="11"/>
        <v>0</v>
      </c>
      <c r="Q46" s="22">
        <f t="shared" si="12"/>
        <v>5</v>
      </c>
      <c r="R46" s="29"/>
    </row>
    <row r="47" spans="1:18" s="30" customFormat="1" ht="12.75" x14ac:dyDescent="0.25">
      <c r="A47" s="79" t="str">
        <f ca="1">IF(ISERROR(VALUE(SUBSTITUTE(OFFSET(A47,-1,0,1,1),".",""))),"0.0.0.1",IF(ISERROR(FIND("`",SUBSTITUTE(OFFSET(A47,-1,0,1,1),".","`",3))),OFFSET(A47,-1,0,1,1)&amp;".1",LEFT(OFFSET(A47,-1,0,1,1),FIND("`",SUBSTITUTE(OFFSET(A47,-1,0,1,1),".","`",3)))&amp;IF(ISERROR(FIND("`",SUBSTITUTE(OFFSET(A47,-1,0,1,1),".","`",4))),VALUE(RIGHT(OFFSET(A47,-1,0,1,1),LEN(OFFSET(A47,-1,0,1,1))-FIND("`",SUBSTITUTE(OFFSET(A47,-1,0,1,1),".","`",3))))+1,VALUE(MID(OFFSET(A47,-1,0,1,1),FIND("`",SUBSTITUTE(OFFSET(A47,-1,0,1,1),".","`",3))+1,(FIND("`",SUBSTITUTE(OFFSET(A47,-1,0,1,1),".","`",4))-FIND("`",SUBSTITUTE(OFFSET(A47,-1,0,1,1),".","`",3))-1)))+1)))</f>
        <v>1.1.2.1</v>
      </c>
      <c r="B47" s="79"/>
      <c r="C47" s="82" t="s">
        <v>11</v>
      </c>
      <c r="D47" s="82"/>
      <c r="E47" s="80" t="s">
        <v>31</v>
      </c>
      <c r="F47" s="82"/>
      <c r="G47" s="79"/>
      <c r="H47" s="62">
        <v>2015</v>
      </c>
      <c r="I47" s="63">
        <v>19</v>
      </c>
      <c r="J47" s="64">
        <f t="shared" si="13"/>
        <v>42128</v>
      </c>
      <c r="K47" s="21">
        <f>J47+L47-1</f>
        <v>42132</v>
      </c>
      <c r="L47" s="52">
        <v>5</v>
      </c>
      <c r="M47" s="52"/>
      <c r="N47" s="53">
        <v>0</v>
      </c>
      <c r="O47" s="22">
        <f t="shared" si="10"/>
        <v>5</v>
      </c>
      <c r="P47" s="23">
        <f t="shared" si="11"/>
        <v>0</v>
      </c>
      <c r="Q47" s="22">
        <f t="shared" si="12"/>
        <v>5</v>
      </c>
      <c r="R47" s="29"/>
    </row>
    <row r="48" spans="1:18" s="18" customFormat="1" x14ac:dyDescent="0.25">
      <c r="C48" s="19"/>
      <c r="D48" s="19"/>
      <c r="E48" s="28"/>
      <c r="F48" s="19"/>
      <c r="H48" s="19"/>
      <c r="I48" s="19"/>
      <c r="J48" s="19"/>
      <c r="K48"/>
      <c r="L48" s="19"/>
      <c r="M48" s="19"/>
      <c r="N48" s="19"/>
      <c r="O48" s="19"/>
      <c r="P48" s="19"/>
      <c r="Q48" s="19"/>
      <c r="R48" s="19"/>
    </row>
    <row r="49" spans="1:18" s="18" customFormat="1" x14ac:dyDescent="0.25">
      <c r="C49" s="19"/>
      <c r="D49" s="19"/>
      <c r="E49" s="19"/>
      <c r="F49" s="19"/>
      <c r="H49" s="19"/>
      <c r="I49" s="19"/>
      <c r="J49" s="19"/>
      <c r="K49"/>
      <c r="L49" s="19"/>
      <c r="M49" s="19"/>
      <c r="N49" s="19"/>
      <c r="O49" s="19"/>
      <c r="P49" s="19"/>
      <c r="Q49" s="19"/>
      <c r="R49" s="19"/>
    </row>
    <row r="50" spans="1:18" s="18" customFormat="1" x14ac:dyDescent="0.25">
      <c r="E50" s="19"/>
      <c r="F50" s="19"/>
      <c r="H50" s="19"/>
      <c r="I50" s="19"/>
      <c r="J50" s="19"/>
      <c r="K50"/>
      <c r="L50" s="19"/>
      <c r="M50" s="19"/>
      <c r="N50" s="19"/>
      <c r="O50" s="19"/>
      <c r="P50" s="19"/>
      <c r="Q50" s="19"/>
      <c r="R50" s="19"/>
    </row>
    <row r="51" spans="1:18" customFormat="1" x14ac:dyDescent="0.25">
      <c r="A51" s="1"/>
      <c r="B51" s="1"/>
      <c r="G51" s="1"/>
      <c r="J51" s="19"/>
    </row>
    <row r="52" spans="1:18" customFormat="1" x14ac:dyDescent="0.25">
      <c r="A52" s="1"/>
      <c r="B52" s="1"/>
      <c r="G52" s="1"/>
      <c r="J52" s="19"/>
    </row>
  </sheetData>
  <sheetProtection insertRows="0" selectLockedCells="1"/>
  <autoFilter ref="A6:N47"/>
  <mergeCells count="3">
    <mergeCell ref="O5:O6"/>
    <mergeCell ref="P4:P6"/>
    <mergeCell ref="Q4:Q6"/>
  </mergeCells>
  <conditionalFormatting sqref="N7">
    <cfRule type="expression" dxfId="2" priority="7">
      <formula>N7=1</formula>
    </cfRule>
  </conditionalFormatting>
  <conditionalFormatting sqref="N13">
    <cfRule type="expression" dxfId="1" priority="5">
      <formula>N13=1</formula>
    </cfRule>
  </conditionalFormatting>
  <conditionalFormatting sqref="N20">
    <cfRule type="expression" dxfId="0" priority="3">
      <formula>N20=1</formula>
    </cfRule>
  </conditionalFormatting>
  <dataValidations count="2">
    <dataValidation type="list" allowBlank="1" showInputMessage="1" showErrorMessage="1" sqref="G13 G20 G7">
      <formula1>ddlStatus</formula1>
    </dataValidation>
    <dataValidation type="list" allowBlank="1" showInputMessage="1" showErrorMessage="1" sqref="B13 B7 B20">
      <formula1>ddlPrio</formula1>
    </dataValidation>
  </dataValidations>
  <pageMargins left="0.70866141732283472" right="0.70866141732283472" top="0.74803149606299213" bottom="0.74803149606299213" header="0.31496062992125984" footer="0.31496062992125984"/>
  <pageSetup paperSize="8" fitToHeight="13" orientation="landscape" r:id="rId1"/>
  <headerFooter>
    <oddHeader>Prepared by Björn Johansson &amp;D&amp;RPage &amp;P</oddHeader>
    <oddFooter>&amp;Z&amp;F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croll Bar 1">
              <controlPr locked="0" defaultSize="0" print="0" autoPict="0">
                <anchor moveWithCells="1">
                  <from>
                    <xdr:col>9</xdr:col>
                    <xdr:colOff>495300</xdr:colOff>
                    <xdr:row>1</xdr:row>
                    <xdr:rowOff>19050</xdr:rowOff>
                  </from>
                  <to>
                    <xdr:col>13</xdr:col>
                    <xdr:colOff>466725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5"/>
  <sheetViews>
    <sheetView zoomScale="115" zoomScaleNormal="115" workbookViewId="0">
      <selection activeCell="P15" sqref="P15"/>
    </sheetView>
  </sheetViews>
  <sheetFormatPr defaultRowHeight="15" x14ac:dyDescent="0.25"/>
  <cols>
    <col min="4" max="4" width="10.140625" bestFit="1" customWidth="1"/>
  </cols>
  <sheetData>
    <row r="2" spans="2:5" x14ac:dyDescent="0.25">
      <c r="E2" s="15"/>
    </row>
    <row r="3" spans="2:5" ht="15.75" thickBot="1" x14ac:dyDescent="0.3"/>
    <row r="4" spans="2:5" x14ac:dyDescent="0.25">
      <c r="B4" s="57" t="s">
        <v>21</v>
      </c>
      <c r="C4" s="58" t="s">
        <v>15</v>
      </c>
      <c r="D4" s="59" t="s">
        <v>22</v>
      </c>
    </row>
    <row r="5" spans="2:5" ht="15.75" thickBot="1" x14ac:dyDescent="0.3">
      <c r="B5" s="66">
        <v>2015</v>
      </c>
      <c r="C5" s="67">
        <v>15</v>
      </c>
      <c r="D5" s="65">
        <f>IsoWeekToDateB2(B5,C5)</f>
        <v>42100</v>
      </c>
    </row>
  </sheetData>
  <customSheetViews>
    <customSheetView guid="{A0D0EC56-6E96-4433-90B6-A9BC5A7E3615}" scale="115" topLeftCell="A13">
      <selection activeCell="E33" sqref="E33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H25" sqref="H25"/>
    </sheetView>
  </sheetViews>
  <sheetFormatPr defaultRowHeight="15" x14ac:dyDescent="0.25"/>
  <cols>
    <col min="2" max="2" width="11.5703125" bestFit="1" customWidth="1"/>
  </cols>
  <sheetData>
    <row r="1" spans="1:2" x14ac:dyDescent="0.25">
      <c r="A1" s="73" t="s">
        <v>42</v>
      </c>
      <c r="B1" s="73" t="s">
        <v>43</v>
      </c>
    </row>
    <row r="2" spans="1:2" x14ac:dyDescent="0.25">
      <c r="A2" t="s">
        <v>26</v>
      </c>
      <c r="B2" t="s">
        <v>44</v>
      </c>
    </row>
    <row r="3" spans="1:2" x14ac:dyDescent="0.25">
      <c r="A3" t="s">
        <v>48</v>
      </c>
      <c r="B3" t="s">
        <v>46</v>
      </c>
    </row>
    <row r="4" spans="1:2" x14ac:dyDescent="0.25">
      <c r="A4" t="s">
        <v>49</v>
      </c>
      <c r="B4" t="s">
        <v>45</v>
      </c>
    </row>
    <row r="5" spans="1:2" x14ac:dyDescent="0.25">
      <c r="A5" t="s">
        <v>50</v>
      </c>
      <c r="B5" t="s">
        <v>47</v>
      </c>
    </row>
    <row r="6" spans="1:2" x14ac:dyDescent="0.25">
      <c r="A6" t="s">
        <v>51</v>
      </c>
      <c r="B6" t="s">
        <v>54</v>
      </c>
    </row>
  </sheetData>
  <customSheetViews>
    <customSheetView guid="{A0D0EC56-6E96-4433-90B6-A9BC5A7E3615}">
      <selection activeCell="H25" sqref="H25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Gantt-Ongoing</vt:lpstr>
      <vt:lpstr>Template&amp;Proposed</vt:lpstr>
      <vt:lpstr>User Guide &amp; Utils</vt:lpstr>
      <vt:lpstr>DropDown</vt:lpstr>
      <vt:lpstr>ddlPrio</vt:lpstr>
      <vt:lpstr>ddlStatus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2015-05-05T09:19:52Z</cp:lastPrinted>
  <dcterms:created xsi:type="dcterms:W3CDTF">2010-04-27T07:05:17Z</dcterms:created>
  <dcterms:modified xsi:type="dcterms:W3CDTF">2015-12-16T19:36:42Z</dcterms:modified>
</cp:coreProperties>
</file>