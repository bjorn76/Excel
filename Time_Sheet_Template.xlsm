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35" yWindow="60" windowWidth="17820" windowHeight="16485"/>
  </bookViews>
  <sheets>
    <sheet name="2016" sheetId="7" r:id="rId1"/>
    <sheet name="Ledigt" sheetId="9" r:id="rId2"/>
  </sheets>
  <functionGroups builtInGroupCount="17"/>
  <definedNames>
    <definedName name="_xlnm._FilterDatabase" localSheetId="0" hidden="1">'2016'!$A$5:$Z$371</definedName>
    <definedName name="_xlnm.Print_Titles" localSheetId="0">'2016'!$1:$5</definedName>
    <definedName name="rATK">ATK[Datum]</definedName>
    <definedName name="rHelger">Helg[Datum]</definedName>
    <definedName name="rSemester">Semester[Datum]</definedName>
  </definedNames>
  <calcPr calcId="145621"/>
</workbook>
</file>

<file path=xl/calcChain.xml><?xml version="1.0" encoding="utf-8"?>
<calcChain xmlns="http://schemas.openxmlformats.org/spreadsheetml/2006/main">
  <c r="H6" i="7" l="1"/>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74" i="7"/>
  <c r="J75" i="7"/>
  <c r="J76" i="7"/>
  <c r="J77" i="7"/>
  <c r="J78" i="7"/>
  <c r="J79" i="7"/>
  <c r="J80" i="7"/>
  <c r="J81" i="7"/>
  <c r="J82" i="7"/>
  <c r="J83" i="7"/>
  <c r="J84" i="7"/>
  <c r="J85" i="7"/>
  <c r="J86" i="7"/>
  <c r="J87" i="7"/>
  <c r="J88" i="7"/>
  <c r="J89" i="7"/>
  <c r="J90" i="7"/>
  <c r="J91" i="7"/>
  <c r="J92" i="7"/>
  <c r="J93" i="7"/>
  <c r="J94" i="7"/>
  <c r="J95" i="7"/>
  <c r="J96" i="7"/>
  <c r="J97" i="7"/>
  <c r="J98" i="7"/>
  <c r="J99" i="7"/>
  <c r="J100" i="7"/>
  <c r="J101" i="7"/>
  <c r="J102" i="7"/>
  <c r="J103" i="7"/>
  <c r="J104" i="7"/>
  <c r="J105" i="7"/>
  <c r="J106" i="7"/>
  <c r="J107" i="7"/>
  <c r="J108" i="7"/>
  <c r="J109" i="7"/>
  <c r="J110" i="7"/>
  <c r="J111" i="7"/>
  <c r="J112" i="7"/>
  <c r="J113" i="7"/>
  <c r="J114" i="7"/>
  <c r="J115" i="7"/>
  <c r="J116" i="7"/>
  <c r="J117" i="7"/>
  <c r="J118" i="7"/>
  <c r="J119" i="7"/>
  <c r="J120" i="7"/>
  <c r="J121" i="7"/>
  <c r="J122" i="7"/>
  <c r="J123" i="7"/>
  <c r="J124" i="7"/>
  <c r="J125" i="7"/>
  <c r="J126" i="7"/>
  <c r="J127" i="7"/>
  <c r="J128" i="7"/>
  <c r="J129" i="7"/>
  <c r="J130" i="7"/>
  <c r="J131" i="7"/>
  <c r="J132" i="7"/>
  <c r="J133" i="7"/>
  <c r="J134" i="7"/>
  <c r="J135" i="7"/>
  <c r="J136" i="7"/>
  <c r="J137" i="7"/>
  <c r="J138" i="7"/>
  <c r="J139" i="7"/>
  <c r="J140" i="7"/>
  <c r="J141" i="7"/>
  <c r="J142" i="7"/>
  <c r="J143" i="7"/>
  <c r="J144" i="7"/>
  <c r="J145" i="7"/>
  <c r="J146" i="7"/>
  <c r="J147" i="7"/>
  <c r="J148" i="7"/>
  <c r="J149" i="7"/>
  <c r="J150" i="7"/>
  <c r="J151" i="7"/>
  <c r="J152" i="7"/>
  <c r="J153" i="7"/>
  <c r="J154" i="7"/>
  <c r="J155" i="7"/>
  <c r="J156" i="7"/>
  <c r="J157" i="7"/>
  <c r="J158" i="7"/>
  <c r="J159" i="7"/>
  <c r="J160" i="7"/>
  <c r="J161" i="7"/>
  <c r="J162" i="7"/>
  <c r="J163" i="7"/>
  <c r="J164" i="7"/>
  <c r="J165" i="7"/>
  <c r="J166" i="7"/>
  <c r="J167" i="7"/>
  <c r="J168" i="7"/>
  <c r="J169" i="7"/>
  <c r="J170" i="7"/>
  <c r="J171" i="7"/>
  <c r="J172" i="7"/>
  <c r="J173" i="7"/>
  <c r="J174" i="7"/>
  <c r="J175" i="7"/>
  <c r="J176" i="7"/>
  <c r="J177" i="7"/>
  <c r="J178" i="7"/>
  <c r="J179" i="7"/>
  <c r="J180" i="7"/>
  <c r="J181" i="7"/>
  <c r="J182" i="7"/>
  <c r="J183" i="7"/>
  <c r="J184" i="7"/>
  <c r="J185" i="7"/>
  <c r="J186" i="7"/>
  <c r="J187" i="7"/>
  <c r="J188" i="7"/>
  <c r="J189" i="7"/>
  <c r="J190" i="7"/>
  <c r="J191" i="7"/>
  <c r="J192" i="7"/>
  <c r="J193" i="7"/>
  <c r="J194" i="7"/>
  <c r="J195" i="7"/>
  <c r="J196" i="7"/>
  <c r="J197" i="7"/>
  <c r="J198" i="7"/>
  <c r="J199" i="7"/>
  <c r="J200" i="7"/>
  <c r="J201" i="7"/>
  <c r="J202" i="7"/>
  <c r="J203" i="7"/>
  <c r="J204" i="7"/>
  <c r="J205" i="7"/>
  <c r="J206" i="7"/>
  <c r="J207" i="7"/>
  <c r="J208" i="7"/>
  <c r="J209" i="7"/>
  <c r="J210" i="7"/>
  <c r="J211" i="7"/>
  <c r="J212" i="7"/>
  <c r="J213" i="7"/>
  <c r="J214" i="7"/>
  <c r="J215" i="7"/>
  <c r="J216" i="7"/>
  <c r="J217" i="7"/>
  <c r="J218" i="7"/>
  <c r="J219" i="7"/>
  <c r="J220" i="7"/>
  <c r="J221" i="7"/>
  <c r="J222" i="7"/>
  <c r="J223" i="7"/>
  <c r="J224" i="7"/>
  <c r="J225" i="7"/>
  <c r="J226" i="7"/>
  <c r="J227" i="7"/>
  <c r="J228" i="7"/>
  <c r="J229" i="7"/>
  <c r="J230" i="7"/>
  <c r="J231" i="7"/>
  <c r="J232" i="7"/>
  <c r="J233" i="7"/>
  <c r="J234" i="7"/>
  <c r="J235" i="7"/>
  <c r="J236" i="7"/>
  <c r="J237" i="7"/>
  <c r="J238" i="7"/>
  <c r="J239" i="7"/>
  <c r="J240" i="7"/>
  <c r="J241" i="7"/>
  <c r="J242" i="7"/>
  <c r="J243" i="7"/>
  <c r="J244" i="7"/>
  <c r="J245" i="7"/>
  <c r="J246" i="7"/>
  <c r="J247" i="7"/>
  <c r="J248" i="7"/>
  <c r="J249" i="7"/>
  <c r="J250" i="7"/>
  <c r="J251" i="7"/>
  <c r="J252" i="7"/>
  <c r="J253" i="7"/>
  <c r="J254" i="7"/>
  <c r="J255" i="7"/>
  <c r="J256" i="7"/>
  <c r="J257" i="7"/>
  <c r="J258" i="7"/>
  <c r="J259" i="7"/>
  <c r="J260" i="7"/>
  <c r="J261" i="7"/>
  <c r="J262" i="7"/>
  <c r="J263" i="7"/>
  <c r="J264" i="7"/>
  <c r="J265" i="7"/>
  <c r="J266" i="7"/>
  <c r="J267" i="7"/>
  <c r="J268" i="7"/>
  <c r="J269" i="7"/>
  <c r="J270" i="7"/>
  <c r="J271" i="7"/>
  <c r="J272" i="7"/>
  <c r="J273" i="7"/>
  <c r="J274" i="7"/>
  <c r="J275" i="7"/>
  <c r="J276" i="7"/>
  <c r="J277" i="7"/>
  <c r="J278" i="7"/>
  <c r="J279" i="7"/>
  <c r="J280" i="7"/>
  <c r="J281" i="7"/>
  <c r="J282" i="7"/>
  <c r="J283" i="7"/>
  <c r="J284" i="7"/>
  <c r="J285" i="7"/>
  <c r="J286" i="7"/>
  <c r="J287" i="7"/>
  <c r="J288" i="7"/>
  <c r="J289" i="7"/>
  <c r="J290" i="7"/>
  <c r="J291" i="7"/>
  <c r="J292" i="7"/>
  <c r="J293" i="7"/>
  <c r="J294" i="7"/>
  <c r="J295" i="7"/>
  <c r="J296" i="7"/>
  <c r="J297" i="7"/>
  <c r="J298" i="7"/>
  <c r="J299" i="7"/>
  <c r="J300" i="7"/>
  <c r="J301" i="7"/>
  <c r="J302" i="7"/>
  <c r="J303" i="7"/>
  <c r="J304" i="7"/>
  <c r="J305" i="7"/>
  <c r="J306" i="7"/>
  <c r="J307" i="7"/>
  <c r="J308" i="7"/>
  <c r="J309" i="7"/>
  <c r="J310" i="7"/>
  <c r="J311" i="7"/>
  <c r="J312" i="7"/>
  <c r="J313" i="7"/>
  <c r="J314" i="7"/>
  <c r="J315" i="7"/>
  <c r="J316" i="7"/>
  <c r="J317" i="7"/>
  <c r="J318" i="7"/>
  <c r="J319" i="7"/>
  <c r="J320" i="7"/>
  <c r="J321" i="7"/>
  <c r="J322" i="7"/>
  <c r="J323" i="7"/>
  <c r="J324" i="7"/>
  <c r="J325" i="7"/>
  <c r="J326" i="7"/>
  <c r="J327" i="7"/>
  <c r="J328" i="7"/>
  <c r="J329" i="7"/>
  <c r="J330" i="7"/>
  <c r="J331" i="7"/>
  <c r="J332" i="7"/>
  <c r="J333" i="7"/>
  <c r="J334" i="7"/>
  <c r="J335" i="7"/>
  <c r="J336" i="7"/>
  <c r="J337" i="7"/>
  <c r="J338" i="7"/>
  <c r="J339" i="7"/>
  <c r="J340" i="7"/>
  <c r="J341" i="7"/>
  <c r="J342" i="7"/>
  <c r="J343" i="7"/>
  <c r="J344" i="7"/>
  <c r="J345" i="7"/>
  <c r="J346" i="7"/>
  <c r="J347" i="7"/>
  <c r="J348" i="7"/>
  <c r="J349" i="7"/>
  <c r="J350" i="7"/>
  <c r="J351" i="7"/>
  <c r="J352" i="7"/>
  <c r="J353" i="7"/>
  <c r="J354" i="7"/>
  <c r="J355" i="7"/>
  <c r="J356" i="7"/>
  <c r="J357" i="7"/>
  <c r="J358" i="7"/>
  <c r="J359" i="7"/>
  <c r="J360" i="7"/>
  <c r="J361" i="7"/>
  <c r="J362" i="7"/>
  <c r="J363" i="7"/>
  <c r="J364" i="7"/>
  <c r="J365" i="7"/>
  <c r="J366" i="7"/>
  <c r="J367" i="7"/>
  <c r="J368" i="7"/>
  <c r="J369" i="7"/>
  <c r="J370" i="7"/>
  <c r="J371" i="7"/>
  <c r="J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I371" i="7"/>
  <c r="I6"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208" i="7"/>
  <c r="H209" i="7"/>
  <c r="H210" i="7"/>
  <c r="H211" i="7"/>
  <c r="H212" i="7"/>
  <c r="H213" i="7"/>
  <c r="H214" i="7"/>
  <c r="H215" i="7"/>
  <c r="H216" i="7"/>
  <c r="H217" i="7"/>
  <c r="H218" i="7"/>
  <c r="H219" i="7"/>
  <c r="H220" i="7"/>
  <c r="H221" i="7"/>
  <c r="H222" i="7"/>
  <c r="H223" i="7"/>
  <c r="H224" i="7"/>
  <c r="H225" i="7"/>
  <c r="H226" i="7"/>
  <c r="H227" i="7"/>
  <c r="H228" i="7"/>
  <c r="H229" i="7"/>
  <c r="H230" i="7"/>
  <c r="H231" i="7"/>
  <c r="H232" i="7"/>
  <c r="H233" i="7"/>
  <c r="H234" i="7"/>
  <c r="H235" i="7"/>
  <c r="H236" i="7"/>
  <c r="H237" i="7"/>
  <c r="H238" i="7"/>
  <c r="H239" i="7"/>
  <c r="H240" i="7"/>
  <c r="H241" i="7"/>
  <c r="H242" i="7"/>
  <c r="H243" i="7"/>
  <c r="H244" i="7"/>
  <c r="H245" i="7"/>
  <c r="H246" i="7"/>
  <c r="H247" i="7"/>
  <c r="H248" i="7"/>
  <c r="H249" i="7"/>
  <c r="H250" i="7"/>
  <c r="H251" i="7"/>
  <c r="H252" i="7"/>
  <c r="H253" i="7"/>
  <c r="H254" i="7"/>
  <c r="H255" i="7"/>
  <c r="H256" i="7"/>
  <c r="H257" i="7"/>
  <c r="H258" i="7"/>
  <c r="H259" i="7"/>
  <c r="H260" i="7"/>
  <c r="H261" i="7"/>
  <c r="H262" i="7"/>
  <c r="H263" i="7"/>
  <c r="H264" i="7"/>
  <c r="H265" i="7"/>
  <c r="H266" i="7"/>
  <c r="H267" i="7"/>
  <c r="H268" i="7"/>
  <c r="H269" i="7"/>
  <c r="H270" i="7"/>
  <c r="H271" i="7"/>
  <c r="H272" i="7"/>
  <c r="H273" i="7"/>
  <c r="H274" i="7"/>
  <c r="H275" i="7"/>
  <c r="H276" i="7"/>
  <c r="H277" i="7"/>
  <c r="H278" i="7"/>
  <c r="H279" i="7"/>
  <c r="H280" i="7"/>
  <c r="H281" i="7"/>
  <c r="H282" i="7"/>
  <c r="H283" i="7"/>
  <c r="H284" i="7"/>
  <c r="H285" i="7"/>
  <c r="H286" i="7"/>
  <c r="H287" i="7"/>
  <c r="H288" i="7"/>
  <c r="H289" i="7"/>
  <c r="H290" i="7"/>
  <c r="H291" i="7"/>
  <c r="H292" i="7"/>
  <c r="H293" i="7"/>
  <c r="H294" i="7"/>
  <c r="H295" i="7"/>
  <c r="H296" i="7"/>
  <c r="H297" i="7"/>
  <c r="H298" i="7"/>
  <c r="H299" i="7"/>
  <c r="H300" i="7"/>
  <c r="H301" i="7"/>
  <c r="H302" i="7"/>
  <c r="H303" i="7"/>
  <c r="H304" i="7"/>
  <c r="H305" i="7"/>
  <c r="H306" i="7"/>
  <c r="H307" i="7"/>
  <c r="H308" i="7"/>
  <c r="H309" i="7"/>
  <c r="H310" i="7"/>
  <c r="H311" i="7"/>
  <c r="H312" i="7"/>
  <c r="H313" i="7"/>
  <c r="H314" i="7"/>
  <c r="H315" i="7"/>
  <c r="H316" i="7"/>
  <c r="H317" i="7"/>
  <c r="H318" i="7"/>
  <c r="H319" i="7"/>
  <c r="H320" i="7"/>
  <c r="H321" i="7"/>
  <c r="H322" i="7"/>
  <c r="H323" i="7"/>
  <c r="H324" i="7"/>
  <c r="H325" i="7"/>
  <c r="H326" i="7"/>
  <c r="H327" i="7"/>
  <c r="H328" i="7"/>
  <c r="H329" i="7"/>
  <c r="H330" i="7"/>
  <c r="H331" i="7"/>
  <c r="H332" i="7"/>
  <c r="H333" i="7"/>
  <c r="H334" i="7"/>
  <c r="H335" i="7"/>
  <c r="H336" i="7"/>
  <c r="H337" i="7"/>
  <c r="H338" i="7"/>
  <c r="H339" i="7"/>
  <c r="H340" i="7"/>
  <c r="H341" i="7"/>
  <c r="H342" i="7"/>
  <c r="H343" i="7"/>
  <c r="H344" i="7"/>
  <c r="H345" i="7"/>
  <c r="H346" i="7"/>
  <c r="H347" i="7"/>
  <c r="H348" i="7"/>
  <c r="H349" i="7"/>
  <c r="H350" i="7"/>
  <c r="H351" i="7"/>
  <c r="H352" i="7"/>
  <c r="H353" i="7"/>
  <c r="H354" i="7"/>
  <c r="H355" i="7"/>
  <c r="H356" i="7"/>
  <c r="H357" i="7"/>
  <c r="H358" i="7"/>
  <c r="H359" i="7"/>
  <c r="H360" i="7"/>
  <c r="H361" i="7"/>
  <c r="H362" i="7"/>
  <c r="H363" i="7"/>
  <c r="H364" i="7"/>
  <c r="H365" i="7"/>
  <c r="H366" i="7"/>
  <c r="H367" i="7"/>
  <c r="H368" i="7"/>
  <c r="H369" i="7"/>
  <c r="H370" i="7"/>
  <c r="H371" i="7"/>
  <c r="H7" i="7"/>
  <c r="H8" i="7"/>
  <c r="H9" i="7"/>
  <c r="H10" i="7"/>
  <c r="H11" i="7"/>
  <c r="H12" i="7"/>
  <c r="H13"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16" i="7"/>
  <c r="G17" i="7"/>
  <c r="G18" i="7"/>
  <c r="G19" i="7"/>
  <c r="G20" i="7"/>
  <c r="G21" i="7"/>
  <c r="G22" i="7"/>
  <c r="G7" i="7"/>
  <c r="G8" i="7"/>
  <c r="G9" i="7"/>
  <c r="G10" i="7"/>
  <c r="G11" i="7"/>
  <c r="G12" i="7"/>
  <c r="G13" i="7"/>
  <c r="G14" i="7"/>
  <c r="G15" i="7"/>
  <c r="G6" i="7"/>
  <c r="K6" i="7" l="1"/>
  <c r="K12" i="7"/>
  <c r="K8" i="7"/>
  <c r="K20" i="7"/>
  <c r="K16" i="7"/>
  <c r="K368" i="7"/>
  <c r="K364" i="7"/>
  <c r="K360" i="7"/>
  <c r="K356" i="7"/>
  <c r="K352" i="7"/>
  <c r="K348" i="7"/>
  <c r="K344" i="7"/>
  <c r="K340" i="7"/>
  <c r="K336" i="7"/>
  <c r="K332" i="7"/>
  <c r="K328" i="7"/>
  <c r="K324" i="7"/>
  <c r="K320" i="7"/>
  <c r="K316" i="7"/>
  <c r="K312" i="7"/>
  <c r="K304" i="7"/>
  <c r="K300" i="7"/>
  <c r="K296" i="7"/>
  <c r="K292" i="7"/>
  <c r="K288" i="7"/>
  <c r="K284" i="7"/>
  <c r="K280" i="7"/>
  <c r="K276" i="7"/>
  <c r="K272" i="7"/>
  <c r="K268" i="7"/>
  <c r="K264" i="7"/>
  <c r="K260" i="7"/>
  <c r="K256" i="7"/>
  <c r="K252" i="7"/>
  <c r="K248" i="7"/>
  <c r="K244" i="7"/>
  <c r="K240" i="7"/>
  <c r="K236" i="7"/>
  <c r="K232" i="7"/>
  <c r="K228" i="7"/>
  <c r="K224" i="7"/>
  <c r="K220" i="7"/>
  <c r="K216" i="7"/>
  <c r="K212" i="7"/>
  <c r="K208" i="7"/>
  <c r="K204" i="7"/>
  <c r="K200" i="7"/>
  <c r="K196" i="7"/>
  <c r="K192" i="7"/>
  <c r="K188" i="7"/>
  <c r="K184" i="7"/>
  <c r="K180" i="7"/>
  <c r="K176" i="7"/>
  <c r="K172" i="7"/>
  <c r="K168" i="7"/>
  <c r="K164" i="7"/>
  <c r="K160" i="7"/>
  <c r="K156" i="7"/>
  <c r="K152" i="7"/>
  <c r="K148" i="7"/>
  <c r="K144" i="7"/>
  <c r="K140" i="7"/>
  <c r="K136" i="7"/>
  <c r="K132" i="7"/>
  <c r="K128" i="7"/>
  <c r="K124" i="7"/>
  <c r="K120" i="7"/>
  <c r="K116" i="7"/>
  <c r="K112" i="7"/>
  <c r="K108" i="7"/>
  <c r="K104" i="7"/>
  <c r="K100" i="7"/>
  <c r="K96" i="7"/>
  <c r="K92" i="7"/>
  <c r="K88" i="7"/>
  <c r="K84" i="7"/>
  <c r="K80" i="7"/>
  <c r="K76" i="7"/>
  <c r="K72" i="7"/>
  <c r="K68" i="7"/>
  <c r="K64" i="7"/>
  <c r="K60" i="7"/>
  <c r="K56" i="7"/>
  <c r="K52" i="7"/>
  <c r="K48" i="7"/>
  <c r="K44" i="7"/>
  <c r="K40" i="7"/>
  <c r="K36" i="7"/>
  <c r="K32" i="7"/>
  <c r="K28" i="7"/>
  <c r="K24" i="7"/>
  <c r="K11" i="7"/>
  <c r="K14" i="7"/>
  <c r="K18" i="7"/>
  <c r="K350" i="7"/>
  <c r="K318" i="7"/>
  <c r="K286" i="7"/>
  <c r="K190" i="7"/>
  <c r="K174" i="7"/>
  <c r="K158" i="7"/>
  <c r="K142" i="7"/>
  <c r="K126" i="7"/>
  <c r="K78" i="7"/>
  <c r="K46" i="7"/>
  <c r="K110" i="7"/>
  <c r="K308" i="7"/>
  <c r="K22" i="7"/>
  <c r="K366" i="7"/>
  <c r="K334" i="7"/>
  <c r="K302" i="7"/>
  <c r="K270" i="7"/>
  <c r="K254" i="7"/>
  <c r="K238" i="7"/>
  <c r="K222" i="7"/>
  <c r="K94" i="7"/>
  <c r="K62" i="7"/>
  <c r="K30" i="7"/>
  <c r="K10" i="7"/>
  <c r="K27" i="7"/>
  <c r="K23" i="7"/>
  <c r="K19" i="7"/>
  <c r="K13" i="7"/>
  <c r="K9" i="7"/>
  <c r="K21" i="7"/>
  <c r="K17" i="7"/>
  <c r="K369" i="7"/>
  <c r="K365" i="7"/>
  <c r="K361" i="7"/>
  <c r="K357" i="7"/>
  <c r="K353" i="7"/>
  <c r="K349" i="7"/>
  <c r="K345" i="7"/>
  <c r="K341" i="7"/>
  <c r="K337" i="7"/>
  <c r="K333" i="7"/>
  <c r="K329" i="7"/>
  <c r="K325" i="7"/>
  <c r="K321" i="7"/>
  <c r="K317" i="7"/>
  <c r="K313" i="7"/>
  <c r="K309" i="7"/>
  <c r="K305" i="7"/>
  <c r="K301" i="7"/>
  <c r="K297" i="7"/>
  <c r="K293" i="7"/>
  <c r="K289" i="7"/>
  <c r="K285" i="7"/>
  <c r="K281" i="7"/>
  <c r="K277" i="7"/>
  <c r="K273" i="7"/>
  <c r="K269" i="7"/>
  <c r="K265" i="7"/>
  <c r="K261" i="7"/>
  <c r="K257" i="7"/>
  <c r="K253" i="7"/>
  <c r="K249" i="7"/>
  <c r="K245" i="7"/>
  <c r="K241" i="7"/>
  <c r="K237" i="7"/>
  <c r="K233" i="7"/>
  <c r="K229" i="7"/>
  <c r="K225" i="7"/>
  <c r="K221" i="7"/>
  <c r="K217" i="7"/>
  <c r="K213" i="7"/>
  <c r="K209" i="7"/>
  <c r="K205" i="7"/>
  <c r="K201" i="7"/>
  <c r="K197" i="7"/>
  <c r="K193" i="7"/>
  <c r="K189" i="7"/>
  <c r="K185" i="7"/>
  <c r="K181" i="7"/>
  <c r="K177" i="7"/>
  <c r="K173" i="7"/>
  <c r="K169" i="7"/>
  <c r="K165" i="7"/>
  <c r="K161" i="7"/>
  <c r="K157" i="7"/>
  <c r="K153" i="7"/>
  <c r="K149" i="7"/>
  <c r="K145" i="7"/>
  <c r="K141" i="7"/>
  <c r="K137" i="7"/>
  <c r="K133" i="7"/>
  <c r="K129" i="7"/>
  <c r="K125" i="7"/>
  <c r="K121" i="7"/>
  <c r="K117" i="7"/>
  <c r="K113" i="7"/>
  <c r="K109" i="7"/>
  <c r="K105" i="7"/>
  <c r="K101" i="7"/>
  <c r="K97" i="7"/>
  <c r="K93" i="7"/>
  <c r="K89" i="7"/>
  <c r="K85" i="7"/>
  <c r="K81" i="7"/>
  <c r="K77" i="7"/>
  <c r="K73" i="7"/>
  <c r="K69" i="7"/>
  <c r="K65" i="7"/>
  <c r="K61" i="7"/>
  <c r="K57" i="7"/>
  <c r="K53" i="7"/>
  <c r="K49" i="7"/>
  <c r="K45" i="7"/>
  <c r="K41" i="7"/>
  <c r="K37" i="7"/>
  <c r="K33" i="7"/>
  <c r="K29" i="7"/>
  <c r="K25" i="7"/>
  <c r="K358" i="7"/>
  <c r="K342" i="7"/>
  <c r="K326" i="7"/>
  <c r="K310" i="7"/>
  <c r="K294" i="7"/>
  <c r="K278" i="7"/>
  <c r="K262" i="7"/>
  <c r="K246" i="7"/>
  <c r="K230" i="7"/>
  <c r="K214" i="7"/>
  <c r="K198" i="7"/>
  <c r="K182" i="7"/>
  <c r="K166" i="7"/>
  <c r="K150" i="7"/>
  <c r="K134" i="7"/>
  <c r="K118" i="7"/>
  <c r="K102" i="7"/>
  <c r="K86" i="7"/>
  <c r="K70" i="7"/>
  <c r="K54" i="7"/>
  <c r="K38" i="7"/>
  <c r="K15" i="7"/>
  <c r="K7" i="7"/>
  <c r="K371" i="7"/>
  <c r="K367" i="7"/>
  <c r="K363" i="7"/>
  <c r="K359" i="7"/>
  <c r="K355" i="7"/>
  <c r="K351" i="7"/>
  <c r="K347" i="7"/>
  <c r="K343" i="7"/>
  <c r="K339" i="7"/>
  <c r="K335" i="7"/>
  <c r="K331" i="7"/>
  <c r="K327" i="7"/>
  <c r="K323" i="7"/>
  <c r="K319" i="7"/>
  <c r="K315" i="7"/>
  <c r="K311" i="7"/>
  <c r="K307" i="7"/>
  <c r="K303" i="7"/>
  <c r="K299" i="7"/>
  <c r="K295" i="7"/>
  <c r="K291" i="7"/>
  <c r="K287" i="7"/>
  <c r="K283" i="7"/>
  <c r="K279" i="7"/>
  <c r="K275" i="7"/>
  <c r="K271" i="7"/>
  <c r="K267" i="7"/>
  <c r="K263" i="7"/>
  <c r="K259" i="7"/>
  <c r="K255" i="7"/>
  <c r="K251" i="7"/>
  <c r="K247" i="7"/>
  <c r="K243" i="7"/>
  <c r="K239" i="7"/>
  <c r="K235" i="7"/>
  <c r="K231" i="7"/>
  <c r="K227" i="7"/>
  <c r="K223" i="7"/>
  <c r="K219" i="7"/>
  <c r="K215" i="7"/>
  <c r="K211" i="7"/>
  <c r="K207" i="7"/>
  <c r="K203" i="7"/>
  <c r="K199" i="7"/>
  <c r="K195" i="7"/>
  <c r="K191" i="7"/>
  <c r="K187" i="7"/>
  <c r="K183" i="7"/>
  <c r="K179" i="7"/>
  <c r="K175" i="7"/>
  <c r="K171" i="7"/>
  <c r="K370" i="7"/>
  <c r="K362" i="7"/>
  <c r="K354" i="7"/>
  <c r="K346" i="7"/>
  <c r="K338" i="7"/>
  <c r="K330" i="7"/>
  <c r="K322" i="7"/>
  <c r="K314" i="7"/>
  <c r="K306" i="7"/>
  <c r="K298" i="7"/>
  <c r="K290" i="7"/>
  <c r="K282" i="7"/>
  <c r="K274" i="7"/>
  <c r="K266" i="7"/>
  <c r="K258" i="7"/>
  <c r="K250" i="7"/>
  <c r="K242" i="7"/>
  <c r="K234" i="7"/>
  <c r="K226" i="7"/>
  <c r="K218" i="7"/>
  <c r="K210" i="7"/>
  <c r="K206" i="7"/>
  <c r="K202" i="7"/>
  <c r="K194" i="7"/>
  <c r="K186" i="7"/>
  <c r="K178" i="7"/>
  <c r="K170" i="7"/>
  <c r="K162" i="7"/>
  <c r="K154" i="7"/>
  <c r="K146" i="7"/>
  <c r="K138" i="7"/>
  <c r="K130" i="7"/>
  <c r="K122" i="7"/>
  <c r="K114" i="7"/>
  <c r="K106" i="7"/>
  <c r="K98" i="7"/>
  <c r="K90" i="7"/>
  <c r="K82" i="7"/>
  <c r="K74" i="7"/>
  <c r="K66" i="7"/>
  <c r="K58" i="7"/>
  <c r="K50" i="7"/>
  <c r="K42" i="7"/>
  <c r="K34" i="7"/>
  <c r="K26" i="7"/>
  <c r="K167" i="7"/>
  <c r="K163" i="7"/>
  <c r="K159" i="7"/>
  <c r="K155" i="7"/>
  <c r="K151" i="7"/>
  <c r="K147" i="7"/>
  <c r="K143" i="7"/>
  <c r="K139" i="7"/>
  <c r="K135" i="7"/>
  <c r="K131" i="7"/>
  <c r="K127" i="7"/>
  <c r="K123" i="7"/>
  <c r="K119" i="7"/>
  <c r="K115" i="7"/>
  <c r="K111" i="7"/>
  <c r="K107" i="7"/>
  <c r="K103" i="7"/>
  <c r="K99" i="7"/>
  <c r="K95" i="7"/>
  <c r="K91" i="7"/>
  <c r="K87" i="7"/>
  <c r="K83" i="7"/>
  <c r="K79" i="7"/>
  <c r="K75" i="7"/>
  <c r="K71" i="7"/>
  <c r="K67" i="7"/>
  <c r="K63" i="7"/>
  <c r="K59" i="7"/>
  <c r="K55" i="7"/>
  <c r="K51" i="7"/>
  <c r="K47" i="7"/>
  <c r="K43" i="7"/>
  <c r="K39" i="7"/>
  <c r="K35" i="7"/>
  <c r="K31" i="7"/>
  <c r="C6" i="9"/>
  <c r="C7" i="9"/>
  <c r="C73" i="9"/>
  <c r="C74" i="9"/>
  <c r="C75" i="9"/>
  <c r="C66" i="9"/>
  <c r="C67" i="9"/>
  <c r="C68" i="9"/>
  <c r="C69" i="9"/>
  <c r="C70" i="9"/>
  <c r="C71" i="9"/>
  <c r="C72" i="9"/>
  <c r="C65" i="9"/>
  <c r="C64" i="9"/>
  <c r="C63" i="9"/>
  <c r="C62" i="9"/>
  <c r="C61" i="9"/>
  <c r="C60" i="9"/>
  <c r="C59" i="9"/>
  <c r="C58" i="9"/>
  <c r="C57" i="9"/>
  <c r="C56" i="9"/>
  <c r="C55" i="9"/>
  <c r="C54" i="9"/>
  <c r="C53" i="9"/>
  <c r="C52" i="9"/>
  <c r="C51" i="9"/>
  <c r="C50" i="9"/>
  <c r="C49" i="9"/>
  <c r="C48" i="9"/>
  <c r="C47" i="9"/>
  <c r="C46" i="9"/>
  <c r="F370" i="7"/>
  <c r="R370" i="7" s="1"/>
  <c r="F371" i="7"/>
  <c r="R371" i="7" s="1"/>
  <c r="F362" i="7"/>
  <c r="R362" i="7" s="1"/>
  <c r="F363" i="7"/>
  <c r="R363" i="7" s="1"/>
  <c r="F364" i="7"/>
  <c r="R364" i="7" s="1"/>
  <c r="F365" i="7"/>
  <c r="R365" i="7" s="1"/>
  <c r="F366" i="7"/>
  <c r="R366" i="7" s="1"/>
  <c r="F367" i="7"/>
  <c r="R367" i="7" s="1"/>
  <c r="F368" i="7"/>
  <c r="R368" i="7" s="1"/>
  <c r="F369" i="7"/>
  <c r="R369" i="7" s="1"/>
  <c r="F69" i="7"/>
  <c r="R69" i="7" s="1"/>
  <c r="F70" i="7"/>
  <c r="R70" i="7" s="1"/>
  <c r="F71" i="7"/>
  <c r="R71" i="7" s="1"/>
  <c r="F72" i="7"/>
  <c r="R72" i="7" s="1"/>
  <c r="F73" i="7"/>
  <c r="R73" i="7" s="1"/>
  <c r="F74" i="7"/>
  <c r="R74" i="7" s="1"/>
  <c r="F75" i="7"/>
  <c r="R75" i="7" s="1"/>
  <c r="F76" i="7"/>
  <c r="R76" i="7" s="1"/>
  <c r="F77" i="7"/>
  <c r="R77" i="7" s="1"/>
  <c r="F78" i="7"/>
  <c r="R78" i="7" s="1"/>
  <c r="F79" i="7"/>
  <c r="R79" i="7" s="1"/>
  <c r="F80" i="7"/>
  <c r="R80" i="7" s="1"/>
  <c r="F81" i="7"/>
  <c r="R81" i="7" s="1"/>
  <c r="F82" i="7"/>
  <c r="R82" i="7" s="1"/>
  <c r="F83" i="7"/>
  <c r="R83" i="7" s="1"/>
  <c r="F84" i="7"/>
  <c r="R84" i="7" s="1"/>
  <c r="F85" i="7"/>
  <c r="R85" i="7" s="1"/>
  <c r="F86" i="7"/>
  <c r="R86" i="7" s="1"/>
  <c r="F87" i="7"/>
  <c r="R87" i="7" s="1"/>
  <c r="F88" i="7"/>
  <c r="R88" i="7" s="1"/>
  <c r="F89" i="7"/>
  <c r="R89" i="7" s="1"/>
  <c r="F90" i="7"/>
  <c r="R90" i="7" s="1"/>
  <c r="F91" i="7"/>
  <c r="R91" i="7" s="1"/>
  <c r="F92" i="7"/>
  <c r="R92" i="7" s="1"/>
  <c r="F93" i="7"/>
  <c r="R93" i="7" s="1"/>
  <c r="F94" i="7"/>
  <c r="R94" i="7" s="1"/>
  <c r="F95" i="7"/>
  <c r="R95" i="7" s="1"/>
  <c r="F96" i="7"/>
  <c r="R96" i="7" s="1"/>
  <c r="F97" i="7"/>
  <c r="R97" i="7" s="1"/>
  <c r="F98" i="7"/>
  <c r="R98" i="7" s="1"/>
  <c r="F99" i="7"/>
  <c r="R99" i="7" s="1"/>
  <c r="F100" i="7"/>
  <c r="R100" i="7" s="1"/>
  <c r="F101" i="7"/>
  <c r="R101" i="7" s="1"/>
  <c r="F102" i="7"/>
  <c r="R102" i="7" s="1"/>
  <c r="F103" i="7"/>
  <c r="R103" i="7" s="1"/>
  <c r="F104" i="7"/>
  <c r="R104" i="7" s="1"/>
  <c r="F105" i="7"/>
  <c r="R105" i="7" s="1"/>
  <c r="F106" i="7"/>
  <c r="R106" i="7" s="1"/>
  <c r="F107" i="7"/>
  <c r="R107" i="7" s="1"/>
  <c r="F108" i="7"/>
  <c r="R108" i="7" s="1"/>
  <c r="F109" i="7"/>
  <c r="R109" i="7" s="1"/>
  <c r="F110" i="7"/>
  <c r="R110" i="7" s="1"/>
  <c r="F111" i="7"/>
  <c r="R111" i="7" s="1"/>
  <c r="F112" i="7"/>
  <c r="R112" i="7" s="1"/>
  <c r="F113" i="7"/>
  <c r="R113" i="7" s="1"/>
  <c r="F114" i="7"/>
  <c r="R114" i="7" s="1"/>
  <c r="F115" i="7"/>
  <c r="R115" i="7" s="1"/>
  <c r="F116" i="7"/>
  <c r="R116" i="7" s="1"/>
  <c r="F117" i="7"/>
  <c r="R117" i="7" s="1"/>
  <c r="F118" i="7"/>
  <c r="R118" i="7" s="1"/>
  <c r="F119" i="7"/>
  <c r="R119" i="7" s="1"/>
  <c r="F120" i="7"/>
  <c r="R120" i="7" s="1"/>
  <c r="F121" i="7"/>
  <c r="R121" i="7" s="1"/>
  <c r="F122" i="7"/>
  <c r="R122" i="7" s="1"/>
  <c r="F123" i="7"/>
  <c r="R123" i="7" s="1"/>
  <c r="F124" i="7"/>
  <c r="R124" i="7" s="1"/>
  <c r="F125" i="7"/>
  <c r="R125" i="7" s="1"/>
  <c r="F126" i="7"/>
  <c r="R126" i="7" s="1"/>
  <c r="F127" i="7"/>
  <c r="R127" i="7" s="1"/>
  <c r="F128" i="7"/>
  <c r="R128" i="7" s="1"/>
  <c r="F129" i="7"/>
  <c r="R129" i="7" s="1"/>
  <c r="F130" i="7"/>
  <c r="R130" i="7" s="1"/>
  <c r="F131" i="7"/>
  <c r="R131" i="7" s="1"/>
  <c r="F132" i="7"/>
  <c r="R132" i="7" s="1"/>
  <c r="F133" i="7"/>
  <c r="R133" i="7" s="1"/>
  <c r="F134" i="7"/>
  <c r="R134" i="7" s="1"/>
  <c r="F135" i="7"/>
  <c r="R135" i="7" s="1"/>
  <c r="F136" i="7"/>
  <c r="R136" i="7" s="1"/>
  <c r="F137" i="7"/>
  <c r="R137" i="7" s="1"/>
  <c r="F138" i="7"/>
  <c r="R138" i="7" s="1"/>
  <c r="F139" i="7"/>
  <c r="R139" i="7" s="1"/>
  <c r="F140" i="7"/>
  <c r="R140" i="7" s="1"/>
  <c r="F141" i="7"/>
  <c r="R141" i="7" s="1"/>
  <c r="F142" i="7"/>
  <c r="R142" i="7" s="1"/>
  <c r="F143" i="7"/>
  <c r="R143" i="7" s="1"/>
  <c r="F144" i="7"/>
  <c r="R144" i="7" s="1"/>
  <c r="F145" i="7"/>
  <c r="R145" i="7" s="1"/>
  <c r="F146" i="7"/>
  <c r="R146" i="7" s="1"/>
  <c r="F147" i="7"/>
  <c r="R147" i="7" s="1"/>
  <c r="F148" i="7"/>
  <c r="R148" i="7" s="1"/>
  <c r="F149" i="7"/>
  <c r="R149" i="7" s="1"/>
  <c r="F150" i="7"/>
  <c r="R150" i="7" s="1"/>
  <c r="F151" i="7"/>
  <c r="R151" i="7" s="1"/>
  <c r="F152" i="7"/>
  <c r="R152" i="7" s="1"/>
  <c r="F153" i="7"/>
  <c r="R153" i="7" s="1"/>
  <c r="F154" i="7"/>
  <c r="R154" i="7" s="1"/>
  <c r="F155" i="7"/>
  <c r="R155" i="7" s="1"/>
  <c r="F156" i="7"/>
  <c r="R156" i="7" s="1"/>
  <c r="F157" i="7"/>
  <c r="R157" i="7" s="1"/>
  <c r="F158" i="7"/>
  <c r="R158" i="7" s="1"/>
  <c r="F159" i="7"/>
  <c r="R159" i="7" s="1"/>
  <c r="F160" i="7"/>
  <c r="R160" i="7" s="1"/>
  <c r="F161" i="7"/>
  <c r="R161" i="7" s="1"/>
  <c r="F162" i="7"/>
  <c r="R162" i="7" s="1"/>
  <c r="F163" i="7"/>
  <c r="R163" i="7" s="1"/>
  <c r="F164" i="7"/>
  <c r="R164" i="7" s="1"/>
  <c r="F165" i="7"/>
  <c r="R165" i="7" s="1"/>
  <c r="F166" i="7"/>
  <c r="R166" i="7" s="1"/>
  <c r="F167" i="7"/>
  <c r="R167" i="7" s="1"/>
  <c r="F168" i="7"/>
  <c r="R168" i="7" s="1"/>
  <c r="F169" i="7"/>
  <c r="R169" i="7" s="1"/>
  <c r="F170" i="7"/>
  <c r="R170" i="7" s="1"/>
  <c r="F171" i="7"/>
  <c r="R171" i="7" s="1"/>
  <c r="F172" i="7"/>
  <c r="R172" i="7" s="1"/>
  <c r="F173" i="7"/>
  <c r="R173" i="7" s="1"/>
  <c r="F174" i="7"/>
  <c r="R174" i="7" s="1"/>
  <c r="F175" i="7"/>
  <c r="R175" i="7" s="1"/>
  <c r="F176" i="7"/>
  <c r="R176" i="7" s="1"/>
  <c r="F177" i="7"/>
  <c r="R177" i="7" s="1"/>
  <c r="F178" i="7"/>
  <c r="R178" i="7" s="1"/>
  <c r="F179" i="7"/>
  <c r="R179" i="7" s="1"/>
  <c r="F180" i="7"/>
  <c r="R180" i="7" s="1"/>
  <c r="F181" i="7"/>
  <c r="R181" i="7" s="1"/>
  <c r="F182" i="7"/>
  <c r="R182" i="7" s="1"/>
  <c r="F183" i="7"/>
  <c r="R183" i="7" s="1"/>
  <c r="F184" i="7"/>
  <c r="R184" i="7" s="1"/>
  <c r="F185" i="7"/>
  <c r="R185" i="7" s="1"/>
  <c r="F186" i="7"/>
  <c r="R186" i="7" s="1"/>
  <c r="F187" i="7"/>
  <c r="R187" i="7" s="1"/>
  <c r="F188" i="7"/>
  <c r="R188" i="7" s="1"/>
  <c r="F189" i="7"/>
  <c r="R189" i="7" s="1"/>
  <c r="F190" i="7"/>
  <c r="R190" i="7" s="1"/>
  <c r="F191" i="7"/>
  <c r="R191" i="7" s="1"/>
  <c r="F192" i="7"/>
  <c r="R192" i="7" s="1"/>
  <c r="F193" i="7"/>
  <c r="R193" i="7" s="1"/>
  <c r="F194" i="7"/>
  <c r="R194" i="7" s="1"/>
  <c r="F195" i="7"/>
  <c r="R195" i="7" s="1"/>
  <c r="F196" i="7"/>
  <c r="R196" i="7" s="1"/>
  <c r="F197" i="7"/>
  <c r="R197" i="7" s="1"/>
  <c r="F198" i="7"/>
  <c r="R198" i="7" s="1"/>
  <c r="F199" i="7"/>
  <c r="R199" i="7" s="1"/>
  <c r="F200" i="7"/>
  <c r="R200" i="7" s="1"/>
  <c r="F201" i="7"/>
  <c r="R201" i="7" s="1"/>
  <c r="F202" i="7"/>
  <c r="R202" i="7" s="1"/>
  <c r="F203" i="7"/>
  <c r="R203" i="7" s="1"/>
  <c r="F204" i="7"/>
  <c r="R204" i="7" s="1"/>
  <c r="F205" i="7"/>
  <c r="R205" i="7" s="1"/>
  <c r="F206" i="7"/>
  <c r="R206" i="7" s="1"/>
  <c r="F207" i="7"/>
  <c r="R207" i="7" s="1"/>
  <c r="F208" i="7"/>
  <c r="R208" i="7" s="1"/>
  <c r="F209" i="7"/>
  <c r="R209" i="7" s="1"/>
  <c r="F210" i="7"/>
  <c r="R210" i="7" s="1"/>
  <c r="F211" i="7"/>
  <c r="R211" i="7" s="1"/>
  <c r="F212" i="7"/>
  <c r="R212" i="7" s="1"/>
  <c r="F213" i="7"/>
  <c r="R213" i="7" s="1"/>
  <c r="F214" i="7"/>
  <c r="R214" i="7" s="1"/>
  <c r="F215" i="7"/>
  <c r="R215" i="7" s="1"/>
  <c r="F216" i="7"/>
  <c r="R216" i="7" s="1"/>
  <c r="F217" i="7"/>
  <c r="R217" i="7" s="1"/>
  <c r="F218" i="7"/>
  <c r="R218" i="7" s="1"/>
  <c r="F219" i="7"/>
  <c r="R219" i="7" s="1"/>
  <c r="F220" i="7"/>
  <c r="R220" i="7" s="1"/>
  <c r="F221" i="7"/>
  <c r="R221" i="7" s="1"/>
  <c r="F222" i="7"/>
  <c r="R222" i="7" s="1"/>
  <c r="F223" i="7"/>
  <c r="R223" i="7" s="1"/>
  <c r="F224" i="7"/>
  <c r="R224" i="7" s="1"/>
  <c r="F225" i="7"/>
  <c r="R225" i="7" s="1"/>
  <c r="F226" i="7"/>
  <c r="R226" i="7" s="1"/>
  <c r="F227" i="7"/>
  <c r="R227" i="7" s="1"/>
  <c r="F228" i="7"/>
  <c r="R228" i="7" s="1"/>
  <c r="F229" i="7"/>
  <c r="R229" i="7" s="1"/>
  <c r="F230" i="7"/>
  <c r="R230" i="7" s="1"/>
  <c r="F231" i="7"/>
  <c r="R231" i="7" s="1"/>
  <c r="F232" i="7"/>
  <c r="R232" i="7" s="1"/>
  <c r="F233" i="7"/>
  <c r="R233" i="7" s="1"/>
  <c r="F234" i="7"/>
  <c r="R234" i="7" s="1"/>
  <c r="F235" i="7"/>
  <c r="R235" i="7" s="1"/>
  <c r="F236" i="7"/>
  <c r="R236" i="7" s="1"/>
  <c r="F237" i="7"/>
  <c r="R237" i="7" s="1"/>
  <c r="F238" i="7"/>
  <c r="R238" i="7" s="1"/>
  <c r="F239" i="7"/>
  <c r="R239" i="7" s="1"/>
  <c r="F240" i="7"/>
  <c r="R240" i="7" s="1"/>
  <c r="F241" i="7"/>
  <c r="R241" i="7" s="1"/>
  <c r="F242" i="7"/>
  <c r="R242" i="7" s="1"/>
  <c r="F243" i="7"/>
  <c r="R243" i="7" s="1"/>
  <c r="F244" i="7"/>
  <c r="R244" i="7" s="1"/>
  <c r="F245" i="7"/>
  <c r="R245" i="7" s="1"/>
  <c r="F246" i="7"/>
  <c r="R246" i="7" s="1"/>
  <c r="F247" i="7"/>
  <c r="R247" i="7" s="1"/>
  <c r="F248" i="7"/>
  <c r="R248" i="7" s="1"/>
  <c r="F249" i="7"/>
  <c r="R249" i="7" s="1"/>
  <c r="F250" i="7"/>
  <c r="R250" i="7" s="1"/>
  <c r="F251" i="7"/>
  <c r="R251" i="7" s="1"/>
  <c r="F252" i="7"/>
  <c r="R252" i="7" s="1"/>
  <c r="F253" i="7"/>
  <c r="R253" i="7" s="1"/>
  <c r="F254" i="7"/>
  <c r="R254" i="7" s="1"/>
  <c r="F255" i="7"/>
  <c r="R255" i="7" s="1"/>
  <c r="F256" i="7"/>
  <c r="R256" i="7" s="1"/>
  <c r="F257" i="7"/>
  <c r="R257" i="7" s="1"/>
  <c r="F258" i="7"/>
  <c r="R258" i="7" s="1"/>
  <c r="F259" i="7"/>
  <c r="R259" i="7" s="1"/>
  <c r="F260" i="7"/>
  <c r="R260" i="7" s="1"/>
  <c r="F261" i="7"/>
  <c r="R261" i="7" s="1"/>
  <c r="F262" i="7"/>
  <c r="R262" i="7" s="1"/>
  <c r="F263" i="7"/>
  <c r="R263" i="7" s="1"/>
  <c r="F264" i="7"/>
  <c r="R264" i="7" s="1"/>
  <c r="F265" i="7"/>
  <c r="R265" i="7" s="1"/>
  <c r="F266" i="7"/>
  <c r="R266" i="7" s="1"/>
  <c r="F267" i="7"/>
  <c r="R267" i="7" s="1"/>
  <c r="F268" i="7"/>
  <c r="R268" i="7" s="1"/>
  <c r="F269" i="7"/>
  <c r="R269" i="7" s="1"/>
  <c r="F270" i="7"/>
  <c r="R270" i="7" s="1"/>
  <c r="F271" i="7"/>
  <c r="R271" i="7" s="1"/>
  <c r="F272" i="7"/>
  <c r="R272" i="7" s="1"/>
  <c r="F273" i="7"/>
  <c r="R273" i="7" s="1"/>
  <c r="F274" i="7"/>
  <c r="R274" i="7" s="1"/>
  <c r="F275" i="7"/>
  <c r="R275" i="7" s="1"/>
  <c r="F276" i="7"/>
  <c r="R276" i="7" s="1"/>
  <c r="F277" i="7"/>
  <c r="R277" i="7" s="1"/>
  <c r="F278" i="7"/>
  <c r="R278" i="7" s="1"/>
  <c r="F279" i="7"/>
  <c r="R279" i="7" s="1"/>
  <c r="F280" i="7"/>
  <c r="R280" i="7" s="1"/>
  <c r="F281" i="7"/>
  <c r="R281" i="7" s="1"/>
  <c r="F282" i="7"/>
  <c r="R282" i="7" s="1"/>
  <c r="F283" i="7"/>
  <c r="R283" i="7" s="1"/>
  <c r="F284" i="7"/>
  <c r="R284" i="7" s="1"/>
  <c r="F285" i="7"/>
  <c r="R285" i="7" s="1"/>
  <c r="F286" i="7"/>
  <c r="R286" i="7" s="1"/>
  <c r="F287" i="7"/>
  <c r="R287" i="7" s="1"/>
  <c r="F288" i="7"/>
  <c r="R288" i="7" s="1"/>
  <c r="F289" i="7"/>
  <c r="R289" i="7" s="1"/>
  <c r="F290" i="7"/>
  <c r="R290" i="7" s="1"/>
  <c r="F291" i="7"/>
  <c r="R291" i="7" s="1"/>
  <c r="F292" i="7"/>
  <c r="R292" i="7" s="1"/>
  <c r="F293" i="7"/>
  <c r="R293" i="7" s="1"/>
  <c r="F294" i="7"/>
  <c r="R294" i="7" s="1"/>
  <c r="F295" i="7"/>
  <c r="R295" i="7" s="1"/>
  <c r="F296" i="7"/>
  <c r="R296" i="7" s="1"/>
  <c r="F297" i="7"/>
  <c r="R297" i="7" s="1"/>
  <c r="F298" i="7"/>
  <c r="R298" i="7" s="1"/>
  <c r="F299" i="7"/>
  <c r="R299" i="7" s="1"/>
  <c r="F300" i="7"/>
  <c r="R300" i="7" s="1"/>
  <c r="F301" i="7"/>
  <c r="R301" i="7" s="1"/>
  <c r="F302" i="7"/>
  <c r="R302" i="7" s="1"/>
  <c r="F303" i="7"/>
  <c r="R303" i="7" s="1"/>
  <c r="F304" i="7"/>
  <c r="R304" i="7" s="1"/>
  <c r="F305" i="7"/>
  <c r="R305" i="7" s="1"/>
  <c r="F306" i="7"/>
  <c r="R306" i="7" s="1"/>
  <c r="F307" i="7"/>
  <c r="R307" i="7" s="1"/>
  <c r="F308" i="7"/>
  <c r="R308" i="7" s="1"/>
  <c r="F309" i="7"/>
  <c r="R309" i="7" s="1"/>
  <c r="F310" i="7"/>
  <c r="R310" i="7" s="1"/>
  <c r="F311" i="7"/>
  <c r="R311" i="7" s="1"/>
  <c r="F312" i="7"/>
  <c r="R312" i="7" s="1"/>
  <c r="F313" i="7"/>
  <c r="R313" i="7" s="1"/>
  <c r="F314" i="7"/>
  <c r="R314" i="7" s="1"/>
  <c r="F315" i="7"/>
  <c r="R315" i="7" s="1"/>
  <c r="F316" i="7"/>
  <c r="R316" i="7" s="1"/>
  <c r="F317" i="7"/>
  <c r="R317" i="7" s="1"/>
  <c r="F318" i="7"/>
  <c r="R318" i="7" s="1"/>
  <c r="F319" i="7"/>
  <c r="R319" i="7" s="1"/>
  <c r="F320" i="7"/>
  <c r="R320" i="7" s="1"/>
  <c r="F321" i="7"/>
  <c r="R321" i="7" s="1"/>
  <c r="F322" i="7"/>
  <c r="R322" i="7" s="1"/>
  <c r="F323" i="7"/>
  <c r="R323" i="7" s="1"/>
  <c r="F324" i="7"/>
  <c r="R324" i="7" s="1"/>
  <c r="F325" i="7"/>
  <c r="R325" i="7" s="1"/>
  <c r="F326" i="7"/>
  <c r="R326" i="7" s="1"/>
  <c r="F327" i="7"/>
  <c r="R327" i="7" s="1"/>
  <c r="F328" i="7"/>
  <c r="R328" i="7" s="1"/>
  <c r="F329" i="7"/>
  <c r="R329" i="7" s="1"/>
  <c r="F330" i="7"/>
  <c r="R330" i="7" s="1"/>
  <c r="F331" i="7"/>
  <c r="R331" i="7" s="1"/>
  <c r="F332" i="7"/>
  <c r="R332" i="7" s="1"/>
  <c r="F333" i="7"/>
  <c r="R333" i="7" s="1"/>
  <c r="F334" i="7"/>
  <c r="R334" i="7" s="1"/>
  <c r="F335" i="7"/>
  <c r="R335" i="7" s="1"/>
  <c r="F336" i="7"/>
  <c r="R336" i="7" s="1"/>
  <c r="F337" i="7"/>
  <c r="R337" i="7" s="1"/>
  <c r="F338" i="7"/>
  <c r="R338" i="7" s="1"/>
  <c r="F339" i="7"/>
  <c r="R339" i="7" s="1"/>
  <c r="F340" i="7"/>
  <c r="R340" i="7" s="1"/>
  <c r="F341" i="7"/>
  <c r="R341" i="7" s="1"/>
  <c r="F342" i="7"/>
  <c r="R342" i="7" s="1"/>
  <c r="F343" i="7"/>
  <c r="R343" i="7" s="1"/>
  <c r="F344" i="7"/>
  <c r="R344" i="7" s="1"/>
  <c r="F345" i="7"/>
  <c r="R345" i="7" s="1"/>
  <c r="F346" i="7"/>
  <c r="R346" i="7" s="1"/>
  <c r="F347" i="7"/>
  <c r="R347" i="7" s="1"/>
  <c r="F348" i="7"/>
  <c r="R348" i="7" s="1"/>
  <c r="F349" i="7"/>
  <c r="R349" i="7" s="1"/>
  <c r="F350" i="7"/>
  <c r="R350" i="7" s="1"/>
  <c r="F351" i="7"/>
  <c r="R351" i="7" s="1"/>
  <c r="F352" i="7"/>
  <c r="R352" i="7" s="1"/>
  <c r="F353" i="7"/>
  <c r="R353" i="7" s="1"/>
  <c r="F354" i="7"/>
  <c r="R354" i="7" s="1"/>
  <c r="F355" i="7"/>
  <c r="R355" i="7" s="1"/>
  <c r="F356" i="7"/>
  <c r="R356" i="7" s="1"/>
  <c r="F357" i="7"/>
  <c r="R357" i="7" s="1"/>
  <c r="F358" i="7"/>
  <c r="R358" i="7" s="1"/>
  <c r="F359" i="7"/>
  <c r="R359" i="7" s="1"/>
  <c r="F360" i="7"/>
  <c r="R360" i="7" s="1"/>
  <c r="F361" i="7"/>
  <c r="R361" i="7" s="1"/>
  <c r="C35" i="9"/>
  <c r="C34" i="9"/>
  <c r="C33" i="9"/>
  <c r="C32" i="9"/>
  <c r="C31" i="9"/>
  <c r="C30" i="9"/>
  <c r="C29" i="9"/>
  <c r="C28" i="9"/>
  <c r="C27" i="9"/>
  <c r="C26" i="9"/>
  <c r="C25" i="9"/>
  <c r="C24" i="9"/>
  <c r="C23" i="9"/>
  <c r="C22" i="9"/>
  <c r="C21" i="9"/>
  <c r="C20" i="9"/>
  <c r="C19" i="9"/>
  <c r="C18" i="9"/>
  <c r="C5" i="9"/>
  <c r="C17" i="9"/>
  <c r="C4" i="9"/>
  <c r="C16" i="9"/>
  <c r="C3" i="9"/>
  <c r="F65" i="7" l="1"/>
  <c r="R65" i="7" s="1"/>
  <c r="F66" i="7"/>
  <c r="R66" i="7" s="1"/>
  <c r="F67" i="7"/>
  <c r="R67" i="7" s="1"/>
  <c r="F68" i="7"/>
  <c r="R68" i="7" s="1"/>
  <c r="F6" i="7"/>
  <c r="R6" i="7" s="1"/>
  <c r="F7" i="7"/>
  <c r="R7" i="7" s="1"/>
  <c r="F8" i="7"/>
  <c r="R8" i="7" s="1"/>
  <c r="F9" i="7"/>
  <c r="R9" i="7" s="1"/>
  <c r="F10" i="7"/>
  <c r="R10" i="7" s="1"/>
  <c r="F11" i="7"/>
  <c r="R11" i="7" s="1"/>
  <c r="F12" i="7"/>
  <c r="R12" i="7" s="1"/>
  <c r="F13" i="7"/>
  <c r="R13" i="7" s="1"/>
  <c r="F14" i="7"/>
  <c r="R14" i="7" s="1"/>
  <c r="F15" i="7"/>
  <c r="R15" i="7" s="1"/>
  <c r="F16" i="7"/>
  <c r="R16" i="7" s="1"/>
  <c r="F17" i="7"/>
  <c r="R17" i="7" s="1"/>
  <c r="F18" i="7"/>
  <c r="R18" i="7" s="1"/>
  <c r="F19" i="7"/>
  <c r="R19" i="7" s="1"/>
  <c r="F20" i="7"/>
  <c r="R20" i="7" s="1"/>
  <c r="F21" i="7"/>
  <c r="R21" i="7" s="1"/>
  <c r="F22" i="7"/>
  <c r="R22" i="7" s="1"/>
  <c r="F23" i="7"/>
  <c r="R23" i="7" s="1"/>
  <c r="F24" i="7"/>
  <c r="R24" i="7" s="1"/>
  <c r="F25" i="7"/>
  <c r="R25" i="7" s="1"/>
  <c r="F26" i="7"/>
  <c r="R26" i="7" s="1"/>
  <c r="F27" i="7"/>
  <c r="R27" i="7" s="1"/>
  <c r="F28" i="7"/>
  <c r="R28" i="7" s="1"/>
  <c r="F29" i="7"/>
  <c r="R29" i="7" s="1"/>
  <c r="F30" i="7"/>
  <c r="R30" i="7" s="1"/>
  <c r="F31" i="7"/>
  <c r="R31" i="7" s="1"/>
  <c r="F32" i="7"/>
  <c r="R32" i="7" s="1"/>
  <c r="F33" i="7"/>
  <c r="R33" i="7" s="1"/>
  <c r="F34" i="7"/>
  <c r="R34" i="7" s="1"/>
  <c r="F35" i="7"/>
  <c r="R35" i="7" s="1"/>
  <c r="F36" i="7"/>
  <c r="R36" i="7" s="1"/>
  <c r="F37" i="7"/>
  <c r="R37" i="7" s="1"/>
  <c r="F38" i="7"/>
  <c r="R38" i="7" s="1"/>
  <c r="F39" i="7"/>
  <c r="R39" i="7" s="1"/>
  <c r="F40" i="7"/>
  <c r="R40" i="7" s="1"/>
  <c r="F41" i="7"/>
  <c r="R41" i="7" s="1"/>
  <c r="F42" i="7"/>
  <c r="R42" i="7" s="1"/>
  <c r="F43" i="7"/>
  <c r="R43" i="7" s="1"/>
  <c r="F44" i="7"/>
  <c r="R44" i="7" s="1"/>
  <c r="F45" i="7"/>
  <c r="R45" i="7" s="1"/>
  <c r="F46" i="7"/>
  <c r="R46" i="7" s="1"/>
  <c r="F47" i="7"/>
  <c r="R47" i="7" s="1"/>
  <c r="F48" i="7"/>
  <c r="R48" i="7" s="1"/>
  <c r="F49" i="7"/>
  <c r="R49" i="7" s="1"/>
  <c r="F50" i="7"/>
  <c r="R50" i="7" s="1"/>
  <c r="F51" i="7"/>
  <c r="R51" i="7" s="1"/>
  <c r="F52" i="7"/>
  <c r="R52" i="7" s="1"/>
  <c r="F53" i="7"/>
  <c r="R53" i="7" s="1"/>
  <c r="F54" i="7"/>
  <c r="R54" i="7" s="1"/>
  <c r="F55" i="7"/>
  <c r="R55" i="7" s="1"/>
  <c r="F56" i="7"/>
  <c r="R56" i="7" s="1"/>
  <c r="F57" i="7"/>
  <c r="R57" i="7" s="1"/>
  <c r="F58" i="7"/>
  <c r="R58" i="7" s="1"/>
  <c r="F59" i="7"/>
  <c r="R59" i="7" s="1"/>
  <c r="F60" i="7"/>
  <c r="R60" i="7" s="1"/>
  <c r="F61" i="7"/>
  <c r="R61" i="7" s="1"/>
  <c r="F62" i="7"/>
  <c r="R62" i="7" s="1"/>
  <c r="F63" i="7"/>
  <c r="R63" i="7" s="1"/>
  <c r="F64" i="7"/>
  <c r="R64" i="7" s="1"/>
  <c r="F2" i="7" l="1"/>
  <c r="M2" i="7" l="1"/>
  <c r="N2" i="7"/>
  <c r="O2" i="7"/>
  <c r="P2" i="7"/>
  <c r="Q2" i="7"/>
  <c r="S2" i="7"/>
  <c r="T2" i="7"/>
  <c r="U2" i="7"/>
  <c r="V2" i="7"/>
  <c r="W2" i="7"/>
  <c r="X2" i="7"/>
  <c r="Y2" i="7"/>
  <c r="L2" i="7"/>
  <c r="R2" i="7" l="1"/>
  <c r="R1" i="7" s="1"/>
  <c r="B69" i="7"/>
  <c r="B366" i="7"/>
  <c r="B112" i="7"/>
  <c r="B45" i="7"/>
  <c r="B91" i="7"/>
  <c r="B263" i="7"/>
  <c r="B318" i="7"/>
  <c r="B223" i="7"/>
  <c r="B113" i="7"/>
  <c r="B365" i="7"/>
  <c r="B266" i="7"/>
  <c r="B364" i="7"/>
  <c r="B201" i="7"/>
  <c r="B270" i="7"/>
  <c r="B167" i="7"/>
  <c r="B99" i="7"/>
  <c r="B139" i="7"/>
  <c r="B176" i="7"/>
  <c r="B222" i="7"/>
  <c r="B370" i="7"/>
  <c r="B286" i="7"/>
  <c r="B202" i="7"/>
  <c r="B11" i="7"/>
  <c r="B273" i="7"/>
  <c r="B213" i="7"/>
  <c r="B117" i="7"/>
  <c r="B254" i="7"/>
  <c r="B85" i="7"/>
  <c r="B205" i="7"/>
  <c r="B347" i="7"/>
  <c r="B218" i="7"/>
  <c r="B68" i="7"/>
  <c r="B300" i="7"/>
  <c r="B152" i="7"/>
  <c r="B78" i="7"/>
  <c r="B312" i="7"/>
  <c r="B80" i="7"/>
  <c r="B253" i="7"/>
  <c r="B248" i="7"/>
  <c r="B12" i="7"/>
  <c r="B198" i="7"/>
  <c r="B197" i="7"/>
  <c r="B174" i="7"/>
  <c r="B33" i="7"/>
  <c r="B73" i="7"/>
  <c r="B14" i="7"/>
  <c r="B350" i="7"/>
  <c r="B256" i="7"/>
  <c r="B327" i="7"/>
  <c r="B83" i="7"/>
  <c r="B161" i="7"/>
  <c r="B278" i="7"/>
  <c r="B340" i="7"/>
  <c r="B293" i="7"/>
  <c r="B199" i="7"/>
  <c r="B308" i="7"/>
  <c r="B144" i="7"/>
  <c r="B98" i="7"/>
  <c r="B190" i="7"/>
  <c r="B328" i="7"/>
  <c r="B339" i="7"/>
  <c r="B369" i="7"/>
  <c r="B354" i="7"/>
  <c r="B124" i="7"/>
  <c r="B264" i="7"/>
  <c r="B241" i="7"/>
  <c r="B165" i="7"/>
  <c r="B314" i="7"/>
  <c r="B101" i="7"/>
  <c r="B111" i="7"/>
  <c r="B295" i="7"/>
  <c r="B224" i="7"/>
  <c r="B132" i="7"/>
  <c r="B349" i="7"/>
  <c r="B116" i="7"/>
  <c r="B125" i="7"/>
  <c r="B7" i="7"/>
  <c r="B269" i="7"/>
  <c r="B57" i="7"/>
  <c r="B193" i="7"/>
  <c r="B136" i="7"/>
  <c r="B151" i="7"/>
  <c r="B228" i="7"/>
  <c r="B237" i="7"/>
  <c r="B27" i="7"/>
  <c r="B283" i="7"/>
  <c r="B16" i="7"/>
  <c r="B102" i="7"/>
  <c r="B89" i="7"/>
  <c r="B250" i="7"/>
  <c r="B323" i="7"/>
  <c r="B271" i="7"/>
  <c r="B138" i="7"/>
  <c r="B221" i="7"/>
  <c r="B55" i="7"/>
  <c r="B135" i="7"/>
  <c r="B123" i="7"/>
  <c r="B332" i="7"/>
  <c r="B306" i="7"/>
  <c r="B246" i="7"/>
  <c r="B316" i="7"/>
  <c r="B23" i="7"/>
  <c r="B42" i="7"/>
  <c r="B195" i="7"/>
  <c r="B109" i="7"/>
  <c r="B53" i="7"/>
  <c r="B257" i="7"/>
  <c r="B192" i="7"/>
  <c r="B97" i="7"/>
  <c r="B351" i="7"/>
  <c r="B148" i="7"/>
  <c r="B118" i="7"/>
  <c r="B30" i="7"/>
  <c r="B262" i="7"/>
  <c r="B13" i="7"/>
  <c r="B189" i="7"/>
  <c r="B51" i="7"/>
  <c r="B21" i="7"/>
  <c r="B305" i="7"/>
  <c r="B361" i="7"/>
  <c r="B26" i="7"/>
  <c r="B77" i="7"/>
  <c r="B40" i="7"/>
  <c r="B43" i="7"/>
  <c r="B35" i="7"/>
  <c r="B274" i="7"/>
  <c r="B146" i="7"/>
  <c r="B344" i="7"/>
  <c r="B368" i="7"/>
  <c r="B317" i="7"/>
  <c r="B234" i="7"/>
  <c r="B72" i="7"/>
  <c r="B171" i="7"/>
  <c r="B159" i="7"/>
  <c r="B129" i="7"/>
  <c r="B208" i="7"/>
  <c r="B320" i="7"/>
  <c r="B107" i="7"/>
  <c r="B44" i="7"/>
  <c r="B37" i="7"/>
  <c r="B67" i="7"/>
  <c r="B362" i="7"/>
  <c r="B180" i="7"/>
  <c r="B294" i="7"/>
  <c r="B164" i="7"/>
  <c r="B47" i="7"/>
  <c r="B115" i="7"/>
  <c r="B236" i="7"/>
  <c r="B194" i="7"/>
  <c r="B242" i="7"/>
  <c r="B36" i="7"/>
  <c r="B172" i="7"/>
  <c r="B367" i="7"/>
  <c r="B84" i="7"/>
  <c r="B94" i="7"/>
  <c r="B119" i="7"/>
  <c r="B58" i="7"/>
  <c r="B177" i="7"/>
  <c r="B41" i="7"/>
  <c r="B244" i="7"/>
  <c r="B239" i="7"/>
  <c r="B49" i="7"/>
  <c r="B342" i="7"/>
  <c r="B86" i="7"/>
  <c r="B297" i="7"/>
  <c r="B265" i="7"/>
  <c r="B81" i="7"/>
  <c r="B243" i="7"/>
  <c r="B65" i="7"/>
  <c r="B346" i="7"/>
  <c r="B353" i="7"/>
  <c r="B126" i="7"/>
  <c r="B96" i="7"/>
  <c r="B209" i="7"/>
  <c r="B28" i="7"/>
  <c r="B95" i="7"/>
  <c r="B179" i="7"/>
  <c r="B31" i="7"/>
  <c r="B215" i="7"/>
  <c r="B204" i="7"/>
  <c r="B268" i="7"/>
  <c r="B247" i="7"/>
  <c r="B20" i="7"/>
  <c r="B186" i="7"/>
  <c r="B210" i="7"/>
  <c r="B6" i="7"/>
  <c r="B147" i="7"/>
  <c r="B331" i="7"/>
  <c r="B261" i="7"/>
  <c r="B284" i="7"/>
  <c r="B32" i="7"/>
  <c r="B133" i="7"/>
  <c r="B19" i="7"/>
  <c r="B200" i="7"/>
  <c r="B142" i="7"/>
  <c r="B114" i="7"/>
  <c r="B238" i="7"/>
  <c r="B219" i="7"/>
  <c r="B357" i="7"/>
  <c r="B251" i="7"/>
  <c r="B160" i="7"/>
  <c r="B169" i="7"/>
  <c r="B103" i="7"/>
  <c r="B196" i="7"/>
  <c r="B64" i="7"/>
  <c r="B163" i="7"/>
  <c r="B289" i="7"/>
  <c r="B182" i="7"/>
  <c r="B233" i="7"/>
  <c r="B75" i="7"/>
  <c r="B290" i="7"/>
  <c r="B203" i="7"/>
  <c r="B230" i="7"/>
  <c r="B319" i="7"/>
  <c r="B287" i="7"/>
  <c r="B334" i="7"/>
  <c r="B321" i="7"/>
  <c r="B162" i="7"/>
  <c r="B329" i="7"/>
  <c r="B371" i="7"/>
  <c r="B206" i="7"/>
  <c r="B178" i="7"/>
  <c r="B303" i="7"/>
  <c r="B88" i="7"/>
  <c r="B17" i="7"/>
  <c r="B333" i="7"/>
  <c r="B358" i="7"/>
  <c r="B277" i="7"/>
  <c r="B145" i="7"/>
  <c r="B280" i="7"/>
  <c r="B211" i="7"/>
  <c r="B267" i="7"/>
  <c r="B302" i="7"/>
  <c r="B307" i="7"/>
  <c r="B166" i="7"/>
  <c r="B315" i="7"/>
  <c r="B184" i="7"/>
  <c r="B309" i="7"/>
  <c r="B322" i="7"/>
  <c r="B217" i="7"/>
  <c r="B10" i="7"/>
  <c r="B140" i="7"/>
  <c r="B63" i="7"/>
  <c r="B104" i="7"/>
  <c r="B360" i="7"/>
  <c r="B330" i="7"/>
  <c r="B50" i="7"/>
  <c r="B245" i="7"/>
  <c r="B292" i="7"/>
  <c r="B337" i="7"/>
  <c r="B343" i="7"/>
  <c r="B25" i="7"/>
  <c r="B232" i="7"/>
  <c r="B185" i="7"/>
  <c r="B356" i="7"/>
  <c r="B149" i="7"/>
  <c r="B121" i="7"/>
  <c r="B110" i="7"/>
  <c r="B225" i="7"/>
  <c r="B187" i="7"/>
  <c r="B188" i="7"/>
  <c r="B90" i="7"/>
  <c r="B62" i="7"/>
  <c r="B355" i="7"/>
  <c r="B60" i="7"/>
  <c r="B304" i="7"/>
  <c r="B137" i="7"/>
  <c r="B34" i="7"/>
  <c r="B22" i="7"/>
  <c r="B39" i="7"/>
  <c r="B15" i="7"/>
  <c r="B260" i="7"/>
  <c r="B56" i="7"/>
  <c r="B231" i="7"/>
  <c r="B336" i="7"/>
  <c r="B100" i="7"/>
  <c r="B173" i="7"/>
  <c r="B157" i="7"/>
  <c r="B120" i="7"/>
  <c r="B325" i="7"/>
  <c r="B299" i="7"/>
  <c r="B212" i="7"/>
  <c r="B235" i="7"/>
  <c r="B74" i="7"/>
  <c r="B258" i="7"/>
  <c r="B282" i="7"/>
  <c r="B54" i="7"/>
  <c r="B363" i="7"/>
  <c r="B105" i="7"/>
  <c r="B130" i="7"/>
  <c r="B214" i="7"/>
  <c r="B38" i="7"/>
  <c r="B359" i="7"/>
  <c r="B48" i="7"/>
  <c r="B220" i="7"/>
  <c r="B52" i="7"/>
  <c r="B352" i="7"/>
  <c r="B24" i="7"/>
  <c r="B341" i="7"/>
  <c r="B227" i="7"/>
  <c r="B59" i="7"/>
  <c r="B154" i="7"/>
  <c r="B82" i="7"/>
  <c r="B324" i="7"/>
  <c r="B61" i="7"/>
  <c r="B249" i="7"/>
  <c r="B279" i="7"/>
  <c r="B252" i="7"/>
  <c r="B183" i="7"/>
  <c r="B153" i="7"/>
  <c r="B106" i="7"/>
  <c r="B9" i="7"/>
  <c r="B122" i="7"/>
  <c r="B335" i="7"/>
  <c r="B348" i="7"/>
  <c r="B311" i="7"/>
  <c r="B288" i="7"/>
  <c r="B181" i="7"/>
  <c r="B155" i="7"/>
  <c r="B216" i="7"/>
  <c r="B175" i="7"/>
  <c r="B71" i="7"/>
  <c r="B156" i="7"/>
  <c r="B226" i="7"/>
  <c r="B298" i="7"/>
  <c r="B296" i="7"/>
  <c r="B108" i="7"/>
  <c r="B29" i="7"/>
  <c r="B310" i="7"/>
  <c r="B313" i="7"/>
  <c r="B128" i="7"/>
  <c r="B229" i="7"/>
  <c r="B150" i="7"/>
  <c r="B141" i="7"/>
  <c r="B338" i="7"/>
  <c r="B291" i="7"/>
  <c r="B281" i="7"/>
  <c r="B134" i="7"/>
  <c r="B285" i="7"/>
  <c r="B259" i="7"/>
  <c r="B92" i="7"/>
  <c r="B207" i="7"/>
  <c r="B275" i="7"/>
  <c r="B276" i="7"/>
  <c r="B66" i="7"/>
  <c r="B301" i="7"/>
  <c r="B272" i="7"/>
  <c r="B46" i="7"/>
  <c r="B131" i="7"/>
  <c r="B127" i="7"/>
  <c r="B93" i="7"/>
  <c r="B8" i="7"/>
  <c r="B70" i="7"/>
  <c r="B158" i="7"/>
  <c r="B18" i="7"/>
  <c r="B79" i="7"/>
  <c r="B326" i="7"/>
  <c r="B255" i="7"/>
  <c r="B76" i="7"/>
  <c r="B170" i="7"/>
  <c r="B240" i="7"/>
  <c r="B87" i="7"/>
  <c r="B168" i="7"/>
  <c r="B143" i="7"/>
  <c r="B191" i="7"/>
  <c r="B345" i="7"/>
</calcChain>
</file>

<file path=xl/comments1.xml><?xml version="1.0" encoding="utf-8"?>
<comments xmlns="http://schemas.openxmlformats.org/spreadsheetml/2006/main">
  <authors>
    <author>Björn Johansson</author>
  </authors>
  <commentList>
    <comment ref="D2" authorId="0">
      <text>
        <r>
          <rPr>
            <sz val="9"/>
            <color indexed="81"/>
            <rFont val="Tahoma"/>
            <family val="2"/>
          </rPr>
          <t xml:space="preserve">2014
5 dagar ATF
1 dag extra för att nationaldagen infaller på helgen. Denna dag hamnar i "tidbanken".
</t>
        </r>
        <r>
          <rPr>
            <b/>
            <sz val="9"/>
            <color indexed="81"/>
            <rFont val="Tahoma"/>
            <family val="2"/>
          </rPr>
          <t>/BNJ</t>
        </r>
        <r>
          <rPr>
            <sz val="9"/>
            <color indexed="81"/>
            <rFont val="Tahoma"/>
            <family val="2"/>
          </rPr>
          <t xml:space="preserve">
</t>
        </r>
      </text>
    </comment>
  </commentList>
</comments>
</file>

<file path=xl/sharedStrings.xml><?xml version="1.0" encoding="utf-8"?>
<sst xmlns="http://schemas.openxmlformats.org/spreadsheetml/2006/main" count="108" uniqueCount="77">
  <si>
    <t>Datum</t>
  </si>
  <si>
    <t>Jag kom</t>
  </si>
  <si>
    <t>Jag gick</t>
  </si>
  <si>
    <t>Arbetstid</t>
  </si>
  <si>
    <t>Övertid</t>
  </si>
  <si>
    <t>Restid</t>
  </si>
  <si>
    <t>Flexsaldo</t>
  </si>
  <si>
    <t>Sem.</t>
  </si>
  <si>
    <t>Sjuk</t>
  </si>
  <si>
    <t>Annat</t>
  </si>
  <si>
    <t>kl</t>
  </si>
  <si>
    <t>hh:mm</t>
  </si>
  <si>
    <t>Komp</t>
  </si>
  <si>
    <t>max +/-600</t>
  </si>
  <si>
    <t>Faktisk</t>
  </si>
  <si>
    <t>arbetad</t>
  </si>
  <si>
    <t>övertid</t>
  </si>
  <si>
    <t>tim</t>
  </si>
  <si>
    <t>6 tim</t>
  </si>
  <si>
    <t>max</t>
  </si>
  <si>
    <t>dag</t>
  </si>
  <si>
    <t>ledig</t>
  </si>
  <si>
    <t>Tjänst-</t>
  </si>
  <si>
    <t>Per-</t>
  </si>
  <si>
    <t>mission</t>
  </si>
  <si>
    <t xml:space="preserve">(t.ex tjänsteresa, barnets pers.nr vid VAB el </t>
  </si>
  <si>
    <t>föräldraledighet etc.)</t>
  </si>
  <si>
    <t>Subtotal:</t>
  </si>
  <si>
    <t>301</t>
  </si>
  <si>
    <t>VAB</t>
  </si>
  <si>
    <t>300</t>
  </si>
  <si>
    <t>655</t>
  </si>
  <si>
    <t>Föräldr.l.</t>
  </si>
  <si>
    <t>669</t>
  </si>
  <si>
    <t>Uttag k.</t>
  </si>
  <si>
    <t>Jag</t>
  </si>
  <si>
    <t xml:space="preserve">i </t>
  </si>
  <si>
    <t>lunchade</t>
  </si>
  <si>
    <t>#</t>
  </si>
  <si>
    <t>Veckodag</t>
  </si>
  <si>
    <t>Kommentar</t>
  </si>
  <si>
    <t>Helgdag och afton</t>
  </si>
  <si>
    <t>Långfredag</t>
  </si>
  <si>
    <t>Påskdagen</t>
  </si>
  <si>
    <t>Annandag påsk</t>
  </si>
  <si>
    <t>Första maj</t>
  </si>
  <si>
    <t>Kristi himmelsfärds dag</t>
  </si>
  <si>
    <t>Ej 2016. 6:e dagen endast då Nationaldagen infaller på helgen</t>
  </si>
  <si>
    <t>Pingstdagen</t>
  </si>
  <si>
    <t>Sv. Nationaldag</t>
  </si>
  <si>
    <t>http://veckonr.se/kalender</t>
  </si>
  <si>
    <t>Midsommarafton</t>
  </si>
  <si>
    <t>är en bra hjälp</t>
  </si>
  <si>
    <t>Midsommardagen</t>
  </si>
  <si>
    <t>Alla helgons dag</t>
  </si>
  <si>
    <t>Julafton</t>
  </si>
  <si>
    <t>Juldagen</t>
  </si>
  <si>
    <t>Annandag jul</t>
  </si>
  <si>
    <t>Nyårsafton</t>
  </si>
  <si>
    <t>Nyårsdagen</t>
  </si>
  <si>
    <t>Trettondedag jul</t>
  </si>
  <si>
    <t>http://klendr.se/helgdagar/2016</t>
  </si>
  <si>
    <t>ATK</t>
  </si>
  <si>
    <t>Källa:</t>
  </si>
  <si>
    <t>Semester</t>
  </si>
  <si>
    <t>Helger</t>
  </si>
  <si>
    <t>För alla</t>
  </si>
  <si>
    <t>Välj dag själv</t>
  </si>
  <si>
    <t>Namn:</t>
  </si>
  <si>
    <t>Vecka</t>
  </si>
  <si>
    <t>is Public</t>
  </si>
  <si>
    <t>Holiday</t>
  </si>
  <si>
    <t>weekend</t>
  </si>
  <si>
    <t>Is</t>
  </si>
  <si>
    <t>is</t>
  </si>
  <si>
    <t>vacation</t>
  </si>
  <si>
    <t>Normal</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</si>
</sst>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
    <numFmt numFmtId="165" formatCode="h:mm"/>
    <numFmt numFmtId="166" formatCode="0.0000000000"/>
    <numFmt numFmtId="167" formatCode="0_ ;[Red]\-0\ "/>
    <numFmt numFmtId="168" formatCode="#&quot; (min)&quot;"/>
    <numFmt numFmtId="169" formatCode="dddd"/>
    <numFmt numFmtId="170" formatCode="0.#&quot; (h)&quot;"/>
    <numFmt numFmtId="171" formatCode="0.0&quot; (h)&quot;"/>
    <numFmt numFmtId="172" formatCode="\V#"/>
  </numFmts>
  <fonts count="14" x14ac:knownFonts="1">
    <font>
      <sz val="10"/>
      <name val="Arial"/>
    </font>
    <font>
      <b/>
      <sz val="10"/>
      <name val="Arial"/>
      <family val="2"/>
    </font>
    <font>
      <b/>
      <sz val="12"/>
      <name val="Arial"/>
      <family val="2"/>
    </font>
    <font>
      <b/>
      <sz val="11"/>
      <name val="Arial"/>
      <family val="2"/>
    </font>
    <font>
      <sz val="11"/>
      <name val="Arial"/>
      <family val="2"/>
    </font>
    <font>
      <b/>
      <sz val="16"/>
      <name val="Arial"/>
      <family val="2"/>
    </font>
    <font>
      <b/>
      <sz val="12"/>
      <color theme="1"/>
      <name val="Arial"/>
      <family val="2"/>
    </font>
    <font>
      <b/>
      <sz val="10"/>
      <color theme="1"/>
      <name val="Arial"/>
      <family val="2"/>
    </font>
    <font>
      <sz val="10"/>
      <name val="Arial"/>
      <family val="2"/>
    </font>
    <font>
      <u/>
      <sz val="10"/>
      <color theme="10"/>
      <name val="Arial"/>
      <family val="2"/>
    </font>
    <font>
      <sz val="9"/>
      <color indexed="81"/>
      <name val="Tahoma"/>
      <family val="2"/>
    </font>
    <font>
      <b/>
      <sz val="9"/>
      <color indexed="81"/>
      <name val="Tahoma"/>
      <family val="2"/>
    </font>
    <font>
      <b/>
      <sz val="20"/>
      <name val="Arial"/>
      <family val="2"/>
    </font>
    <font>
      <sz val="12"/>
      <name val="Arial"/>
      <family val="2"/>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CC"/>
        <bgColor indexed="64"/>
      </patternFill>
    </fill>
    <fill>
      <patternFill patternType="solid">
        <fgColor rgb="FFFFFF00"/>
        <bgColor indexed="64"/>
      </patternFill>
    </fill>
    <fill>
      <patternFill patternType="solid">
        <fgColor rgb="FF92D050"/>
        <bgColor indexed="64"/>
      </patternFill>
    </fill>
  </fills>
  <borders count="31">
    <border>
      <left/>
      <right/>
      <top/>
      <bottom/>
      <diagonal/>
    </border>
    <border>
      <left style="double">
        <color indexed="64"/>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thin">
        <color indexed="64"/>
      </left>
      <right style="double">
        <color indexed="64"/>
      </right>
      <top style="double">
        <color indexed="64"/>
      </top>
      <bottom/>
      <diagonal/>
    </border>
    <border>
      <left style="thin">
        <color indexed="64"/>
      </left>
      <right style="thin">
        <color indexed="64"/>
      </right>
      <top/>
      <bottom/>
      <diagonal/>
    </border>
    <border>
      <left style="thin">
        <color indexed="64"/>
      </left>
      <right/>
      <top/>
      <bottom/>
      <diagonal/>
    </border>
    <border>
      <left style="thin">
        <color indexed="64"/>
      </left>
      <right style="double">
        <color indexed="64"/>
      </right>
      <top/>
      <bottom/>
      <diagonal/>
    </border>
    <border>
      <left style="double">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double">
        <color indexed="64"/>
      </right>
      <top/>
      <bottom style="double">
        <color indexed="64"/>
      </bottom>
      <diagonal/>
    </border>
    <border>
      <left style="dotted">
        <color indexed="64"/>
      </left>
      <right style="dotted">
        <color indexed="64"/>
      </right>
      <top style="thin">
        <color indexed="64"/>
      </top>
      <bottom style="thin">
        <color indexed="64"/>
      </bottom>
      <diagonal/>
    </border>
    <border>
      <left style="dotted">
        <color indexed="64"/>
      </left>
      <right style="double">
        <color indexed="64"/>
      </right>
      <top style="thin">
        <color indexed="64"/>
      </top>
      <bottom style="thin">
        <color indexed="64"/>
      </bottom>
      <diagonal/>
    </border>
    <border>
      <left/>
      <right/>
      <top/>
      <bottom style="hair">
        <color indexed="64"/>
      </bottom>
      <diagonal/>
    </border>
    <border>
      <left style="dotted">
        <color indexed="64"/>
      </left>
      <right/>
      <top style="thin">
        <color indexed="64"/>
      </top>
      <bottom style="thin">
        <color indexed="64"/>
      </bottom>
      <diagonal/>
    </border>
    <border>
      <left/>
      <right style="dott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ouble">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dashed">
        <color indexed="64"/>
      </right>
      <top style="thin">
        <color indexed="64"/>
      </top>
      <bottom style="thin">
        <color indexed="64"/>
      </bottom>
      <diagonal/>
    </border>
    <border>
      <left/>
      <right/>
      <top/>
      <bottom style="double">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style="double">
        <color indexed="64"/>
      </top>
      <bottom/>
      <diagonal/>
    </border>
    <border>
      <left/>
      <right/>
      <top style="thin">
        <color indexed="64"/>
      </top>
      <bottom style="thin">
        <color indexed="64"/>
      </bottom>
      <diagonal/>
    </border>
  </borders>
  <cellStyleXfs count="2">
    <xf numFmtId="0" fontId="0" fillId="0" borderId="0"/>
    <xf numFmtId="0" fontId="9" fillId="0" borderId="0" applyNumberFormat="0" applyFill="0" applyBorder="0" applyAlignment="0" applyProtection="0"/>
  </cellStyleXfs>
  <cellXfs count="96">
    <xf numFmtId="0" fontId="0" fillId="0" borderId="0" xfId="0"/>
    <xf numFmtId="0" fontId="1" fillId="0" borderId="0" xfId="0" applyFont="1" applyFill="1"/>
    <xf numFmtId="0" fontId="0" fillId="0" borderId="0" xfId="0" applyFill="1"/>
    <xf numFmtId="49" fontId="0" fillId="0" borderId="0" xfId="0" applyNumberFormat="1" applyFill="1"/>
    <xf numFmtId="0" fontId="2" fillId="0" borderId="0" xfId="0" applyFont="1" applyFill="1"/>
    <xf numFmtId="0" fontId="2" fillId="0" borderId="0" xfId="0" applyFont="1" applyFill="1" applyBorder="1" applyAlignment="1">
      <alignment horizontal="left"/>
    </xf>
    <xf numFmtId="49" fontId="2" fillId="0" borderId="0" xfId="0" applyNumberFormat="1" applyFont="1" applyFill="1" applyBorder="1" applyAlignment="1">
      <alignment horizontal="left"/>
    </xf>
    <xf numFmtId="165" fontId="0" fillId="0" borderId="0" xfId="0" applyNumberFormat="1" applyFill="1"/>
    <xf numFmtId="1" fontId="0" fillId="0" borderId="0" xfId="0" applyNumberFormat="1" applyFill="1"/>
    <xf numFmtId="0" fontId="3" fillId="0" borderId="1" xfId="0" applyFont="1" applyFill="1" applyBorder="1" applyAlignment="1">
      <alignment horizontal="center"/>
    </xf>
    <xf numFmtId="0" fontId="4" fillId="0" borderId="2" xfId="0" applyFont="1" applyFill="1" applyBorder="1" applyAlignment="1">
      <alignment horizontal="center"/>
    </xf>
    <xf numFmtId="1" fontId="4" fillId="0" borderId="2" xfId="0" applyNumberFormat="1" applyFont="1" applyFill="1" applyBorder="1" applyAlignment="1">
      <alignment horizontal="center"/>
    </xf>
    <xf numFmtId="49" fontId="4" fillId="0" borderId="4" xfId="0" applyNumberFormat="1" applyFont="1" applyFill="1" applyBorder="1" applyAlignment="1">
      <alignment horizontal="center"/>
    </xf>
    <xf numFmtId="166" fontId="0" fillId="0" borderId="0" xfId="0" applyNumberFormat="1" applyFill="1"/>
    <xf numFmtId="0" fontId="4" fillId="0" borderId="5" xfId="0" applyFont="1" applyFill="1" applyBorder="1" applyAlignment="1">
      <alignment horizontal="center"/>
    </xf>
    <xf numFmtId="1" fontId="4" fillId="0" borderId="5" xfId="0" applyNumberFormat="1" applyFont="1" applyFill="1" applyBorder="1" applyAlignment="1">
      <alignment horizontal="center"/>
    </xf>
    <xf numFmtId="49" fontId="4" fillId="0" borderId="6" xfId="0" applyNumberFormat="1" applyFont="1" applyFill="1" applyBorder="1" applyAlignment="1">
      <alignment horizontal="center"/>
    </xf>
    <xf numFmtId="49" fontId="4" fillId="0" borderId="7" xfId="0" applyNumberFormat="1" applyFont="1" applyFill="1" applyBorder="1" applyAlignment="1">
      <alignment horizontal="center"/>
    </xf>
    <xf numFmtId="0" fontId="3" fillId="0" borderId="8" xfId="0" applyFont="1" applyFill="1" applyBorder="1" applyAlignment="1">
      <alignment horizontal="center"/>
    </xf>
    <xf numFmtId="0" fontId="4" fillId="0" borderId="9" xfId="0" applyFont="1" applyFill="1" applyBorder="1" applyAlignment="1">
      <alignment horizontal="center"/>
    </xf>
    <xf numFmtId="0" fontId="4" fillId="0" borderId="10" xfId="0" applyFont="1" applyFill="1" applyBorder="1" applyAlignment="1">
      <alignment horizontal="center"/>
    </xf>
    <xf numFmtId="164" fontId="4" fillId="0" borderId="9" xfId="0" applyNumberFormat="1" applyFont="1" applyFill="1" applyBorder="1" applyAlignment="1">
      <alignment horizontal="center"/>
    </xf>
    <xf numFmtId="0" fontId="4" fillId="0" borderId="11" xfId="0" applyFont="1" applyFill="1" applyBorder="1" applyAlignment="1">
      <alignment horizontal="center"/>
    </xf>
    <xf numFmtId="1" fontId="4" fillId="0" borderId="9" xfId="0" applyNumberFormat="1" applyFont="1" applyFill="1" applyBorder="1" applyAlignment="1">
      <alignment horizontal="center"/>
    </xf>
    <xf numFmtId="167" fontId="4" fillId="0" borderId="9" xfId="0" applyNumberFormat="1" applyFont="1" applyFill="1" applyBorder="1" applyAlignment="1">
      <alignment horizontal="center"/>
    </xf>
    <xf numFmtId="49" fontId="4" fillId="0" borderId="10" xfId="0" applyNumberFormat="1" applyFont="1" applyFill="1" applyBorder="1" applyAlignment="1">
      <alignment horizontal="center"/>
    </xf>
    <xf numFmtId="49" fontId="4" fillId="0" borderId="12" xfId="0" applyNumberFormat="1" applyFont="1" applyFill="1" applyBorder="1" applyAlignment="1">
      <alignment horizontal="center"/>
    </xf>
    <xf numFmtId="49" fontId="2" fillId="0" borderId="15" xfId="0" applyNumberFormat="1" applyFont="1" applyFill="1" applyBorder="1"/>
    <xf numFmtId="2" fontId="0" fillId="0" borderId="0" xfId="0" applyNumberFormat="1" applyFill="1"/>
    <xf numFmtId="2" fontId="4" fillId="0" borderId="2" xfId="0" applyNumberFormat="1" applyFont="1" applyFill="1" applyBorder="1" applyAlignment="1">
      <alignment horizontal="center"/>
    </xf>
    <xf numFmtId="2" fontId="4" fillId="0" borderId="5" xfId="0" applyNumberFormat="1" applyFont="1" applyFill="1" applyBorder="1" applyAlignment="1">
      <alignment horizontal="center"/>
    </xf>
    <xf numFmtId="2" fontId="4" fillId="0" borderId="9" xfId="0" applyNumberFormat="1" applyFont="1" applyFill="1" applyBorder="1" applyAlignment="1">
      <alignment horizontal="center"/>
    </xf>
    <xf numFmtId="167" fontId="4" fillId="0" borderId="10" xfId="0" applyNumberFormat="1" applyFont="1" applyFill="1" applyBorder="1" applyAlignment="1">
      <alignment horizontal="center"/>
    </xf>
    <xf numFmtId="165" fontId="2" fillId="0" borderId="17" xfId="0" applyNumberFormat="1" applyFont="1" applyFill="1" applyBorder="1" applyAlignment="1">
      <alignment horizontal="center"/>
    </xf>
    <xf numFmtId="0" fontId="3" fillId="0" borderId="19" xfId="0" applyFont="1" applyFill="1" applyBorder="1" applyAlignment="1">
      <alignment horizontal="center"/>
    </xf>
    <xf numFmtId="0" fontId="4" fillId="0" borderId="20" xfId="0" applyFont="1" applyFill="1" applyBorder="1" applyAlignment="1">
      <alignment horizontal="center"/>
    </xf>
    <xf numFmtId="1" fontId="2" fillId="0" borderId="13" xfId="0" applyNumberFormat="1" applyFont="1" applyFill="1" applyBorder="1" applyAlignment="1">
      <alignment horizontal="center"/>
    </xf>
    <xf numFmtId="14" fontId="2" fillId="0" borderId="21" xfId="0" applyNumberFormat="1" applyFont="1" applyFill="1" applyBorder="1" applyAlignment="1">
      <alignment horizontal="center"/>
    </xf>
    <xf numFmtId="0" fontId="7" fillId="0" borderId="23" xfId="0" applyFont="1" applyFill="1" applyBorder="1" applyAlignment="1">
      <alignment vertical="center"/>
    </xf>
    <xf numFmtId="0" fontId="6" fillId="3" borderId="23" xfId="0" applyFont="1" applyFill="1" applyBorder="1" applyAlignment="1">
      <alignment horizontal="center" vertical="center"/>
    </xf>
    <xf numFmtId="167" fontId="6" fillId="2" borderId="23" xfId="0" applyNumberFormat="1" applyFont="1" applyFill="1" applyBorder="1" applyAlignment="1">
      <alignment horizontal="center" vertical="center"/>
    </xf>
    <xf numFmtId="20" fontId="2" fillId="4" borderId="22" xfId="0" applyNumberFormat="1" applyFont="1" applyFill="1" applyBorder="1" applyAlignment="1">
      <alignment horizontal="center"/>
    </xf>
    <xf numFmtId="20" fontId="2" fillId="4" borderId="18" xfId="0" applyNumberFormat="1" applyFont="1" applyFill="1" applyBorder="1" applyAlignment="1">
      <alignment horizontal="center"/>
    </xf>
    <xf numFmtId="164" fontId="2" fillId="4" borderId="17" xfId="0" applyNumberFormat="1" applyFont="1" applyFill="1" applyBorder="1" applyAlignment="1">
      <alignment horizontal="center"/>
    </xf>
    <xf numFmtId="164" fontId="2" fillId="4" borderId="13" xfId="0" applyNumberFormat="1" applyFont="1" applyFill="1" applyBorder="1" applyAlignment="1">
      <alignment horizontal="center"/>
    </xf>
    <xf numFmtId="164" fontId="2" fillId="4" borderId="16" xfId="0" applyNumberFormat="1" applyFont="1" applyFill="1" applyBorder="1" applyAlignment="1">
      <alignment horizontal="center"/>
    </xf>
    <xf numFmtId="0" fontId="5" fillId="0" borderId="15" xfId="0" applyFont="1" applyFill="1" applyBorder="1" applyAlignment="1">
      <alignment horizontal="left" indent="4"/>
    </xf>
    <xf numFmtId="0" fontId="0" fillId="0" borderId="15" xfId="0" applyBorder="1" applyAlignment="1">
      <alignment horizontal="left" indent="4"/>
    </xf>
    <xf numFmtId="1" fontId="2" fillId="4" borderId="16" xfId="0" applyNumberFormat="1" applyFont="1" applyFill="1" applyBorder="1" applyAlignment="1">
      <alignment horizontal="center"/>
    </xf>
    <xf numFmtId="49" fontId="3" fillId="0" borderId="6" xfId="0" applyNumberFormat="1" applyFont="1" applyFill="1" applyBorder="1" applyAlignment="1">
      <alignment horizontal="center"/>
    </xf>
    <xf numFmtId="167" fontId="3" fillId="0" borderId="5" xfId="0" applyNumberFormat="1" applyFont="1" applyFill="1" applyBorder="1" applyAlignment="1">
      <alignment horizontal="center"/>
    </xf>
    <xf numFmtId="49" fontId="6" fillId="3" borderId="23" xfId="0" applyNumberFormat="1" applyFont="1" applyFill="1" applyBorder="1" applyAlignment="1">
      <alignment horizontal="center" vertical="center"/>
    </xf>
    <xf numFmtId="0" fontId="1" fillId="0" borderId="21" xfId="0" applyFont="1" applyBorder="1"/>
    <xf numFmtId="0" fontId="1" fillId="0" borderId="0" xfId="0" applyFont="1" applyAlignment="1">
      <alignment horizontal="center"/>
    </xf>
    <xf numFmtId="0" fontId="8" fillId="0" borderId="0" xfId="0" applyFont="1"/>
    <xf numFmtId="0" fontId="1" fillId="0" borderId="0" xfId="0" applyFont="1"/>
    <xf numFmtId="0" fontId="0" fillId="0" borderId="21" xfId="0" applyBorder="1"/>
    <xf numFmtId="14" fontId="8" fillId="4" borderId="21" xfId="0" applyNumberFormat="1" applyFont="1" applyFill="1" applyBorder="1"/>
    <xf numFmtId="169" fontId="8" fillId="2" borderId="21" xfId="0" applyNumberFormat="1" applyFont="1" applyFill="1" applyBorder="1" applyAlignment="1">
      <alignment horizontal="center"/>
    </xf>
    <xf numFmtId="14" fontId="0" fillId="4" borderId="21" xfId="0" applyNumberFormat="1" applyFill="1" applyBorder="1"/>
    <xf numFmtId="0" fontId="8" fillId="3" borderId="21" xfId="0" applyFont="1" applyFill="1" applyBorder="1"/>
    <xf numFmtId="16" fontId="8" fillId="3" borderId="21" xfId="0" applyNumberFormat="1" applyFont="1" applyFill="1" applyBorder="1"/>
    <xf numFmtId="0" fontId="9" fillId="0" borderId="0" xfId="1"/>
    <xf numFmtId="0" fontId="0" fillId="3" borderId="21" xfId="0" applyFill="1" applyBorder="1"/>
    <xf numFmtId="0" fontId="0" fillId="0" borderId="0" xfId="0" applyAlignment="1">
      <alignment horizontal="center"/>
    </xf>
    <xf numFmtId="0" fontId="0" fillId="0" borderId="24" xfId="0" applyBorder="1"/>
    <xf numFmtId="14" fontId="8" fillId="4" borderId="24" xfId="0" applyNumberFormat="1" applyFont="1" applyFill="1" applyBorder="1"/>
    <xf numFmtId="169" fontId="8" fillId="2" borderId="24" xfId="0" applyNumberFormat="1" applyFont="1" applyFill="1" applyBorder="1" applyAlignment="1">
      <alignment horizontal="center"/>
    </xf>
    <xf numFmtId="0" fontId="8" fillId="3" borderId="24" xfId="0" applyFont="1" applyFill="1" applyBorder="1"/>
    <xf numFmtId="0" fontId="1" fillId="0" borderId="25" xfId="0" applyFont="1" applyBorder="1"/>
    <xf numFmtId="0" fontId="0" fillId="0" borderId="25" xfId="0" applyBorder="1"/>
    <xf numFmtId="0" fontId="1" fillId="0" borderId="26" xfId="0" applyFont="1" applyBorder="1"/>
    <xf numFmtId="0" fontId="8" fillId="4" borderId="26" xfId="0" applyFont="1" applyFill="1" applyBorder="1"/>
    <xf numFmtId="0" fontId="0" fillId="0" borderId="27" xfId="0" applyBorder="1"/>
    <xf numFmtId="0" fontId="8" fillId="0" borderId="28" xfId="0" applyFont="1" applyBorder="1"/>
    <xf numFmtId="0" fontId="12" fillId="0" borderId="0" xfId="0" applyFont="1"/>
    <xf numFmtId="0" fontId="1" fillId="3" borderId="21" xfId="0" applyFont="1" applyFill="1" applyBorder="1"/>
    <xf numFmtId="49" fontId="13" fillId="0" borderId="14" xfId="0" applyNumberFormat="1" applyFont="1" applyFill="1" applyBorder="1" applyAlignment="1">
      <alignment horizontal="left"/>
    </xf>
    <xf numFmtId="168" fontId="6" fillId="2" borderId="23" xfId="0" applyNumberFormat="1" applyFont="1" applyFill="1" applyBorder="1" applyAlignment="1">
      <alignment horizontal="center" vertical="center"/>
    </xf>
    <xf numFmtId="170" fontId="3" fillId="0" borderId="15" xfId="0" applyNumberFormat="1" applyFont="1" applyFill="1" applyBorder="1" applyAlignment="1">
      <alignment horizontal="left" indent="4"/>
    </xf>
    <xf numFmtId="171" fontId="6" fillId="3" borderId="23" xfId="0" applyNumberFormat="1" applyFont="1" applyFill="1" applyBorder="1" applyAlignment="1">
      <alignment horizontal="center" vertical="center"/>
    </xf>
    <xf numFmtId="172" fontId="2" fillId="0" borderId="0" xfId="0" applyNumberFormat="1" applyFont="1" applyFill="1"/>
    <xf numFmtId="172" fontId="7" fillId="0" borderId="23" xfId="0" applyNumberFormat="1" applyFont="1" applyFill="1" applyBorder="1" applyAlignment="1">
      <alignment vertical="center"/>
    </xf>
    <xf numFmtId="172" fontId="3" fillId="0" borderId="29" xfId="0" applyNumberFormat="1" applyFont="1" applyFill="1" applyBorder="1" applyAlignment="1">
      <alignment horizontal="center"/>
    </xf>
    <xf numFmtId="172" fontId="2" fillId="0" borderId="30" xfId="0" applyNumberFormat="1" applyFont="1" applyFill="1" applyBorder="1" applyAlignment="1">
      <alignment horizontal="center"/>
    </xf>
    <xf numFmtId="172" fontId="1" fillId="0" borderId="0" xfId="0" applyNumberFormat="1" applyFont="1" applyFill="1"/>
    <xf numFmtId="0" fontId="4" fillId="0" borderId="9" xfId="0" applyFont="1" applyFill="1" applyBorder="1" applyAlignment="1">
      <alignment horizontal="left"/>
    </xf>
    <xf numFmtId="164" fontId="4" fillId="0" borderId="11" xfId="0" applyNumberFormat="1" applyFont="1" applyFill="1" applyBorder="1" applyAlignment="1">
      <alignment horizontal="center"/>
    </xf>
    <xf numFmtId="0" fontId="2" fillId="0" borderId="17" xfId="0" applyNumberFormat="1" applyFont="1" applyFill="1" applyBorder="1" applyAlignment="1">
      <alignment horizontal="center"/>
    </xf>
    <xf numFmtId="49" fontId="4" fillId="5" borderId="2" xfId="0" applyNumberFormat="1" applyFont="1" applyFill="1" applyBorder="1" applyAlignment="1">
      <alignment horizontal="center"/>
    </xf>
    <xf numFmtId="0" fontId="4" fillId="5" borderId="2" xfId="0" applyFont="1" applyFill="1" applyBorder="1" applyAlignment="1">
      <alignment horizontal="center"/>
    </xf>
    <xf numFmtId="0" fontId="4" fillId="6" borderId="2" xfId="0" applyFont="1" applyFill="1" applyBorder="1" applyAlignment="1">
      <alignment horizontal="center"/>
    </xf>
    <xf numFmtId="49" fontId="3" fillId="6" borderId="3" xfId="0" applyNumberFormat="1" applyFont="1" applyFill="1" applyBorder="1" applyAlignment="1">
      <alignment horizontal="center"/>
    </xf>
    <xf numFmtId="0" fontId="3" fillId="6" borderId="3" xfId="0" applyFont="1" applyFill="1" applyBorder="1" applyAlignment="1">
      <alignment horizontal="center"/>
    </xf>
    <xf numFmtId="49" fontId="4" fillId="6" borderId="3" xfId="0" applyNumberFormat="1" applyFont="1" applyFill="1" applyBorder="1" applyAlignment="1">
      <alignment horizontal="center"/>
    </xf>
    <xf numFmtId="0" fontId="12" fillId="0" borderId="0" xfId="0" applyFont="1" applyAlignment="1">
      <alignment horizontal="center"/>
    </xf>
  </cellXfs>
  <cellStyles count="2">
    <cellStyle name="Hyperlink" xfId="1" builtinId="8"/>
    <cellStyle name="Normal" xfId="0" builtinId="0"/>
  </cellStyles>
  <dxfs count="22">
    <dxf>
      <font>
        <b val="0"/>
        <i val="0"/>
        <strike val="0"/>
        <condense val="0"/>
        <extend val="0"/>
        <outline val="0"/>
        <shadow val="0"/>
        <u val="none"/>
        <vertAlign val="baseline"/>
        <sz val="10"/>
        <color auto="1"/>
        <name val="Arial"/>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dddd"/>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9" formatCode="yyyy/mm/dd"/>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auto="1"/>
        <name val="Arial"/>
        <scheme val="none"/>
      </font>
      <fill>
        <patternFill patternType="solid">
          <fgColor indexed="64"/>
          <bgColor rgb="FFFFFFCC"/>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dddd"/>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9" formatCode="yyyy/mm/dd"/>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right style="thin">
          <color indexed="64"/>
        </right>
        <bottom style="thin">
          <color indexed="64"/>
        </bottom>
      </border>
    </dxf>
    <dxf>
      <font>
        <b/>
        <i val="0"/>
        <strike val="0"/>
        <condense val="0"/>
        <extend val="0"/>
        <outline val="0"/>
        <shadow val="0"/>
        <u val="none"/>
        <vertAlign val="baseline"/>
        <sz val="10"/>
        <color auto="1"/>
        <name val="Arial"/>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69" formatCode="dddd"/>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9" formatCode="yyyy/mm/dd"/>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ill>
        <patternFill>
          <bgColor rgb="FFFFFF00"/>
        </patternFill>
      </fill>
    </dxf>
    <dxf>
      <fill>
        <gradientFill degree="270">
          <stop position="0">
            <color theme="0"/>
          </stop>
          <stop position="1">
            <color rgb="FFFEDDDA"/>
          </stop>
        </gradientFill>
      </fill>
    </dxf>
    <dxf>
      <fill>
        <gradientFill degree="90">
          <stop position="0">
            <color theme="0"/>
          </stop>
          <stop position="1">
            <color rgb="FFFEDDDA"/>
          </stop>
        </gradientFill>
      </fill>
    </dxf>
    <dxf>
      <font>
        <color auto="1"/>
      </font>
      <fill>
        <patternFill>
          <bgColor rgb="FFFF0000"/>
        </patternFill>
      </fill>
    </dxf>
    <dxf>
      <fill>
        <gradientFill degree="90">
          <stop position="0">
            <color theme="0"/>
          </stop>
          <stop position="1">
            <color rgb="FFCDACE6"/>
          </stop>
        </gradientFill>
      </fill>
    </dxf>
    <dxf>
      <fill>
        <gradientFill degree="90">
          <stop position="0">
            <color theme="0"/>
          </stop>
          <stop position="1">
            <color rgb="FF92D050"/>
          </stop>
        </gradientFill>
      </fill>
    </dxf>
  </dxfs>
  <tableStyles count="0" defaultTableStyle="TableStyleMedium2" defaultPivotStyle="PivotStyleLight16"/>
  <colors>
    <mruColors>
      <color rgb="FFFFFFCC"/>
      <color rgb="FFCDACE6"/>
      <color rgb="FFFEDDDA"/>
      <color rgb="FFEC3D20"/>
      <color rgb="FFCC3300"/>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13" Type="http://schemas.openxmlformats.org/officeDocument/2006/relationships/customXml" Target="../customXml/item7.xml"/><Relationship Id="rId3" Type="http://schemas.openxmlformats.org/officeDocument/2006/relationships/theme" Target="theme/theme1.xml"/><Relationship Id="rId7" Type="http://schemas.openxmlformats.org/officeDocument/2006/relationships/customXml" Target="../customXml/item1.xml"/><Relationship Id="rId12" Type="http://schemas.openxmlformats.org/officeDocument/2006/relationships/customXml" Target="../customXml/item6.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openxmlformats.org/officeDocument/2006/relationships/customXml" Target="../customXml/item5.xml"/><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 Id="rId14" Type="http://schemas.microsoft.com/office/2006/relationships/vbaProject" Target="vbaProject.bin"/></Relationships>
</file>

<file path=xl/ctrlProps/ctrlProp1.xml><?xml version="1.0" encoding="utf-8"?>
<formControlPr xmlns="http://schemas.microsoft.com/office/spreadsheetml/2009/9/main" objectType="Spin" dx="16" fmlaLink="$A$4" max="12" min="1" page="10" val="7"/>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25</xdr:col>
      <xdr:colOff>112060</xdr:colOff>
      <xdr:row>0</xdr:row>
      <xdr:rowOff>1060358</xdr:rowOff>
    </xdr:from>
    <xdr:to>
      <xdr:col>25</xdr:col>
      <xdr:colOff>1815353</xdr:colOff>
      <xdr:row>0</xdr:row>
      <xdr:rowOff>1983442</xdr:rowOff>
    </xdr:to>
    <xdr:sp macro="" textlink="">
      <xdr:nvSpPr>
        <xdr:cNvPr id="2" name="TextBox 1"/>
        <xdr:cNvSpPr txBox="1"/>
      </xdr:nvSpPr>
      <xdr:spPr>
        <a:xfrm>
          <a:off x="13536707" y="1060358"/>
          <a:ext cx="1703293" cy="923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Excel tips:</a:t>
          </a:r>
        </a:p>
        <a:p>
          <a:r>
            <a:rPr lang="en-US" sz="1100" b="1"/>
            <a:t>Go to end </a:t>
          </a:r>
          <a:r>
            <a:rPr lang="en-US" sz="1100"/>
            <a:t>: Markera</a:t>
          </a:r>
          <a:r>
            <a:rPr lang="en-US" sz="1100" baseline="0"/>
            <a:t> </a:t>
          </a:r>
          <a:r>
            <a:rPr lang="en-US" sz="1100"/>
            <a:t>"A6" </a:t>
          </a:r>
          <a:r>
            <a:rPr lang="en-US" sz="1100" baseline="0"/>
            <a:t>  </a:t>
          </a:r>
          <a:r>
            <a:rPr lang="en-US" sz="1100"/>
            <a:t>"</a:t>
          </a:r>
          <a:r>
            <a:rPr lang="en-US" sz="1100" b="1"/>
            <a:t>Shift + ctrl pil ner</a:t>
          </a:r>
          <a:r>
            <a:rPr lang="en-US" sz="1100"/>
            <a:t>"</a:t>
          </a:r>
        </a:p>
        <a:p>
          <a:r>
            <a:rPr lang="en-US" sz="1100"/>
            <a:t>Time : "</a:t>
          </a:r>
          <a:r>
            <a:rPr lang="en-US" sz="1100" b="1"/>
            <a:t>shift + ctrl</a:t>
          </a:r>
          <a:r>
            <a:rPr lang="en-US" sz="1100" b="1" baseline="0"/>
            <a:t> + .</a:t>
          </a:r>
          <a:r>
            <a:rPr lang="en-US" sz="1100" baseline="0"/>
            <a:t>"</a:t>
          </a:r>
          <a:endParaRPr lang="en-US" sz="1100"/>
        </a:p>
        <a:p>
          <a:endParaRPr lang="en-US" sz="1100"/>
        </a:p>
        <a:p>
          <a:endParaRPr lang="en-US" sz="1100"/>
        </a:p>
      </xdr:txBody>
    </xdr:sp>
    <xdr:clientData/>
  </xdr:twoCellAnchor>
  <xdr:twoCellAnchor>
    <xdr:from>
      <xdr:col>19</xdr:col>
      <xdr:colOff>560794</xdr:colOff>
      <xdr:row>0</xdr:row>
      <xdr:rowOff>0</xdr:rowOff>
    </xdr:from>
    <xdr:to>
      <xdr:col>23</xdr:col>
      <xdr:colOff>235323</xdr:colOff>
      <xdr:row>0</xdr:row>
      <xdr:rowOff>1920408</xdr:rowOff>
    </xdr:to>
    <xdr:sp macro="" textlink="">
      <xdr:nvSpPr>
        <xdr:cNvPr id="3" name="TextBox 2"/>
        <xdr:cNvSpPr txBox="1"/>
      </xdr:nvSpPr>
      <xdr:spPr>
        <a:xfrm>
          <a:off x="10085794" y="0"/>
          <a:ext cx="2274294" cy="19204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latin typeface="Tahoma" panose="020B0604030504040204" pitchFamily="34" charset="0"/>
              <a:ea typeface="Tahoma" panose="020B0604030504040204" pitchFamily="34" charset="0"/>
              <a:cs typeface="Tahoma" panose="020B0604030504040204" pitchFamily="34" charset="0"/>
            </a:rPr>
            <a:t>1) Filtrera aktuell </a:t>
          </a:r>
          <a:r>
            <a:rPr lang="en-US" sz="1100" b="0">
              <a:latin typeface="Tahoma" panose="020B0604030504040204" pitchFamily="34" charset="0"/>
              <a:ea typeface="Tahoma" panose="020B0604030504040204" pitchFamily="34" charset="0"/>
              <a:cs typeface="Tahoma" panose="020B0604030504040204" pitchFamily="34" charset="0"/>
            </a:rPr>
            <a:t>månad</a:t>
          </a:r>
          <a:br>
            <a:rPr lang="en-US" sz="1100" b="0">
              <a:latin typeface="Tahoma" panose="020B0604030504040204" pitchFamily="34" charset="0"/>
              <a:ea typeface="Tahoma" panose="020B0604030504040204" pitchFamily="34" charset="0"/>
              <a:cs typeface="Tahoma" panose="020B0604030504040204" pitchFamily="34" charset="0"/>
            </a:rPr>
          </a:br>
          <a:endParaRPr lang="en-US" sz="1100" b="0">
            <a:latin typeface="Tahoma" panose="020B0604030504040204" pitchFamily="34" charset="0"/>
            <a:ea typeface="Tahoma" panose="020B0604030504040204" pitchFamily="34" charset="0"/>
            <a:cs typeface="Tahom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i Hogia Personal BM:</a:t>
          </a:r>
          <a:endParaRPr lang="sv-SE" b="1">
            <a:effectLst/>
          </a:endParaRPr>
        </a:p>
        <a:p>
          <a:r>
            <a:rPr lang="en-US" sz="1100">
              <a:latin typeface="Tahoma" panose="020B0604030504040204" pitchFamily="34" charset="0"/>
              <a:ea typeface="Tahoma" panose="020B0604030504040204" pitchFamily="34" charset="0"/>
              <a:cs typeface="Tahoma" panose="020B0604030504040204" pitchFamily="34" charset="0"/>
            </a:rPr>
            <a:t>2) Lägg in </a:t>
          </a:r>
          <a:r>
            <a:rPr lang="en-US" sz="1100" b="1">
              <a:latin typeface="Tahoma" panose="020B0604030504040204" pitchFamily="34" charset="0"/>
              <a:ea typeface="Tahoma" panose="020B0604030504040204" pitchFamily="34" charset="0"/>
              <a:cs typeface="Tahoma" panose="020B0604030504040204" pitchFamily="34" charset="0"/>
            </a:rPr>
            <a:t>Flex</a:t>
          </a:r>
          <a:r>
            <a:rPr lang="en-US" sz="1100">
              <a:latin typeface="Tahoma" panose="020B0604030504040204" pitchFamily="34" charset="0"/>
              <a:ea typeface="Tahoma" panose="020B0604030504040204" pitchFamily="34" charset="0"/>
              <a:cs typeface="Tahoma" panose="020B0604030504040204" pitchFamily="34" charset="0"/>
            </a:rPr>
            <a:t> (L) sista kalenderdagen i månaden För dagar med: </a:t>
          </a:r>
        </a:p>
        <a:p>
          <a:r>
            <a:rPr lang="en-US" sz="1100">
              <a:latin typeface="Tahoma" panose="020B0604030504040204" pitchFamily="34" charset="0"/>
              <a:ea typeface="Tahoma" panose="020B0604030504040204" pitchFamily="34" charset="0"/>
              <a:cs typeface="Tahoma" panose="020B0604030504040204" pitchFamily="34" charset="0"/>
            </a:rPr>
            <a:t>3) Uttag komp (M) -&gt; </a:t>
          </a:r>
          <a:r>
            <a:rPr lang="en-US" sz="1100" b="1">
              <a:latin typeface="Tahoma" panose="020B0604030504040204" pitchFamily="34" charset="0"/>
              <a:ea typeface="Tahoma" panose="020B0604030504040204" pitchFamily="34" charset="0"/>
              <a:cs typeface="Tahoma" panose="020B0604030504040204" pitchFamily="34" charset="0"/>
            </a:rPr>
            <a:t>790</a:t>
          </a:r>
        </a:p>
        <a:p>
          <a:r>
            <a:rPr lang="en-US" sz="1100">
              <a:latin typeface="Tahoma" panose="020B0604030504040204" pitchFamily="34" charset="0"/>
              <a:ea typeface="Tahoma" panose="020B0604030504040204" pitchFamily="34" charset="0"/>
              <a:cs typeface="Tahoma" panose="020B0604030504040204" pitchFamily="34" charset="0"/>
            </a:rPr>
            <a:t>4) Sem (N) -&gt; </a:t>
          </a:r>
          <a:r>
            <a:rPr lang="en-US" sz="1100" b="1">
              <a:latin typeface="Tahoma" panose="020B0604030504040204" pitchFamily="34" charset="0"/>
              <a:ea typeface="Tahoma" panose="020B0604030504040204" pitchFamily="34" charset="0"/>
              <a:cs typeface="Tahoma" panose="020B0604030504040204" pitchFamily="34" charset="0"/>
            </a:rPr>
            <a:t>300</a:t>
          </a:r>
          <a:r>
            <a:rPr lang="en-US" sz="1100">
              <a:latin typeface="Tahoma" panose="020B0604030504040204" pitchFamily="34" charset="0"/>
              <a:ea typeface="Tahoma" panose="020B0604030504040204" pitchFamily="34" charset="0"/>
              <a:cs typeface="Tahoma" panose="020B0604030504040204" pitchFamily="34" charset="0"/>
            </a:rPr>
            <a:t> (Från första till sista arbetsdagen för perioden)</a:t>
          </a:r>
        </a:p>
        <a:p>
          <a:endParaRPr lang="en-US" sz="1100"/>
        </a:p>
      </xdr:txBody>
    </xdr:sp>
    <xdr:clientData/>
  </xdr:twoCellAnchor>
  <xdr:twoCellAnchor>
    <xdr:from>
      <xdr:col>25</xdr:col>
      <xdr:colOff>104551</xdr:colOff>
      <xdr:row>0</xdr:row>
      <xdr:rowOff>74240</xdr:rowOff>
    </xdr:from>
    <xdr:to>
      <xdr:col>25</xdr:col>
      <xdr:colOff>2846293</xdr:colOff>
      <xdr:row>0</xdr:row>
      <xdr:rowOff>1075765</xdr:rowOff>
    </xdr:to>
    <xdr:sp macro="" textlink="">
      <xdr:nvSpPr>
        <xdr:cNvPr id="4" name="TextBox 3"/>
        <xdr:cNvSpPr txBox="1"/>
      </xdr:nvSpPr>
      <xdr:spPr>
        <a:xfrm>
          <a:off x="13529198" y="74240"/>
          <a:ext cx="2741742" cy="100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ahoma" panose="020B0604030504040204" pitchFamily="34" charset="0"/>
              <a:ea typeface="Tahoma" panose="020B0604030504040204" pitchFamily="34" charset="0"/>
              <a:cs typeface="Tahoma" panose="020B0604030504040204" pitchFamily="34" charset="0"/>
            </a:rPr>
            <a:t>5) Sjuk (O) -&gt; </a:t>
          </a:r>
          <a:r>
            <a:rPr lang="en-US" sz="1100" b="1">
              <a:latin typeface="Tahoma" panose="020B0604030504040204" pitchFamily="34" charset="0"/>
              <a:ea typeface="Tahoma" panose="020B0604030504040204" pitchFamily="34" charset="0"/>
              <a:cs typeface="Tahoma" panose="020B0604030504040204" pitchFamily="34" charset="0"/>
            </a:rPr>
            <a:t>301</a:t>
          </a:r>
        </a:p>
        <a:p>
          <a:r>
            <a:rPr lang="en-US" sz="1100">
              <a:latin typeface="Tahoma" panose="020B0604030504040204" pitchFamily="34" charset="0"/>
              <a:ea typeface="Tahoma" panose="020B0604030504040204" pitchFamily="34" charset="0"/>
              <a:cs typeface="Tahoma" panose="020B0604030504040204" pitchFamily="34" charset="0"/>
            </a:rPr>
            <a:t>6) Vård av barn (P) -&gt; </a:t>
          </a:r>
          <a:r>
            <a:rPr lang="en-US" sz="1100" b="1">
              <a:latin typeface="Tahoma" panose="020B0604030504040204" pitchFamily="34" charset="0"/>
              <a:ea typeface="Tahoma" panose="020B0604030504040204" pitchFamily="34" charset="0"/>
              <a:cs typeface="Tahoma" panose="020B0604030504040204" pitchFamily="34" charset="0"/>
            </a:rPr>
            <a:t>655</a:t>
          </a:r>
        </a:p>
        <a:p>
          <a:r>
            <a:rPr lang="en-US" sz="1100">
              <a:latin typeface="Tahoma" panose="020B0604030504040204" pitchFamily="34" charset="0"/>
              <a:ea typeface="Tahoma" panose="020B0604030504040204" pitchFamily="34" charset="0"/>
              <a:cs typeface="Tahoma" panose="020B0604030504040204" pitchFamily="34" charset="0"/>
            </a:rPr>
            <a:t>7) Föräldraledig (Q) -&gt; </a:t>
          </a:r>
          <a:r>
            <a:rPr lang="en-US" sz="1100" b="1">
              <a:latin typeface="Tahoma" panose="020B0604030504040204" pitchFamily="34" charset="0"/>
              <a:ea typeface="Tahoma" panose="020B0604030504040204" pitchFamily="34" charset="0"/>
              <a:cs typeface="Tahoma" panose="020B0604030504040204" pitchFamily="34" charset="0"/>
            </a:rPr>
            <a:t>303</a:t>
          </a:r>
          <a:r>
            <a:rPr lang="en-US" sz="1100">
              <a:latin typeface="Tahoma" panose="020B0604030504040204" pitchFamily="34" charset="0"/>
              <a:ea typeface="Tahoma" panose="020B0604030504040204" pitchFamily="34" charset="0"/>
              <a:cs typeface="Tahoma" panose="020B0604030504040204" pitchFamily="34" charset="0"/>
            </a:rPr>
            <a:t> eller </a:t>
          </a:r>
          <a:r>
            <a:rPr lang="en-US" sz="1100" b="1">
              <a:latin typeface="Tahoma" panose="020B0604030504040204" pitchFamily="34" charset="0"/>
              <a:ea typeface="Tahoma" panose="020B0604030504040204" pitchFamily="34" charset="0"/>
              <a:cs typeface="Tahoma" panose="020B0604030504040204" pitchFamily="34" charset="0"/>
            </a:rPr>
            <a:t>659</a:t>
          </a:r>
        </a:p>
        <a:p>
          <a:r>
            <a:rPr lang="en-US" sz="1100">
              <a:latin typeface="Tahoma" panose="020B0604030504040204" pitchFamily="34" charset="0"/>
              <a:ea typeface="Tahoma" panose="020B0604030504040204" pitchFamily="34" charset="0"/>
              <a:cs typeface="Tahoma" panose="020B0604030504040204" pitchFamily="34" charset="0"/>
            </a:rPr>
            <a:t>8) RAPPORT KLAR  från och till sista kalenderdagen i månaden</a:t>
          </a:r>
        </a:p>
      </xdr:txBody>
    </xdr:sp>
    <xdr:clientData/>
  </xdr:twoCellAnchor>
  <xdr:twoCellAnchor editAs="oneCell">
    <xdr:from>
      <xdr:col>2</xdr:col>
      <xdr:colOff>229699</xdr:colOff>
      <xdr:row>0</xdr:row>
      <xdr:rowOff>22413</xdr:rowOff>
    </xdr:from>
    <xdr:to>
      <xdr:col>5</xdr:col>
      <xdr:colOff>628559</xdr:colOff>
      <xdr:row>0</xdr:row>
      <xdr:rowOff>1299883</xdr:rowOff>
    </xdr:to>
    <xdr:pic>
      <xdr:nvPicPr>
        <xdr:cNvPr id="5" name="Picture 4"/>
        <xdr:cNvPicPr>
          <a:picLocks noChangeAspect="1"/>
        </xdr:cNvPicPr>
      </xdr:nvPicPr>
      <xdr:blipFill>
        <a:blip xmlns:r="http://schemas.openxmlformats.org/officeDocument/2006/relationships" r:embed="rId1"/>
        <a:stretch>
          <a:fillRect/>
        </a:stretch>
      </xdr:blipFill>
      <xdr:spPr>
        <a:xfrm>
          <a:off x="1215817" y="22413"/>
          <a:ext cx="2348683" cy="1277470"/>
        </a:xfrm>
        <a:prstGeom prst="rect">
          <a:avLst/>
        </a:prstGeom>
      </xdr:spPr>
    </xdr:pic>
    <xdr:clientData/>
  </xdr:twoCellAnchor>
  <xdr:twoCellAnchor>
    <xdr:from>
      <xdr:col>10</xdr:col>
      <xdr:colOff>571500</xdr:colOff>
      <xdr:row>0</xdr:row>
      <xdr:rowOff>168088</xdr:rowOff>
    </xdr:from>
    <xdr:to>
      <xdr:col>18</xdr:col>
      <xdr:colOff>78441</xdr:colOff>
      <xdr:row>0</xdr:row>
      <xdr:rowOff>1860176</xdr:rowOff>
    </xdr:to>
    <xdr:sp macro="" textlink="">
      <xdr:nvSpPr>
        <xdr:cNvPr id="6" name="TextBox 5"/>
        <xdr:cNvSpPr txBox="1"/>
      </xdr:nvSpPr>
      <xdr:spPr>
        <a:xfrm>
          <a:off x="4807324" y="168088"/>
          <a:ext cx="5311588" cy="16920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200">
              <a:solidFill>
                <a:srgbClr val="0070C0"/>
              </a:solidFill>
            </a:rPr>
            <a:t>Nyheter</a:t>
          </a:r>
          <a:r>
            <a:rPr lang="sv-SE" sz="1200" baseline="0">
              <a:solidFill>
                <a:srgbClr val="0070C0"/>
              </a:solidFill>
            </a:rPr>
            <a:t> i version </a:t>
          </a:r>
          <a:r>
            <a:rPr lang="sv-SE" sz="1200">
              <a:solidFill>
                <a:srgbClr val="0070C0"/>
              </a:solidFill>
            </a:rPr>
            <a:t>2016 -01-01:</a:t>
          </a:r>
        </a:p>
        <a:p>
          <a:r>
            <a:rPr lang="sv-SE" sz="1200" b="1" baseline="0">
              <a:solidFill>
                <a:srgbClr val="0070C0"/>
              </a:solidFill>
            </a:rPr>
            <a:t>Macro för att fylla i tid via högerklick</a:t>
          </a:r>
        </a:p>
        <a:p>
          <a:r>
            <a:rPr lang="sv-SE" sz="1200" b="1" baseline="0">
              <a:solidFill>
                <a:srgbClr val="0070C0"/>
              </a:solidFill>
            </a:rPr>
            <a:t>Aktuell månad  filtreras och  dagen datum markeras vi dstart av filen</a:t>
          </a:r>
        </a:p>
        <a:p>
          <a:r>
            <a:rPr lang="sv-SE" sz="1200" b="1" baseline="0">
              <a:solidFill>
                <a:srgbClr val="0070C0"/>
              </a:solidFill>
            </a:rPr>
            <a:t>Spinn för att byta månad.</a:t>
          </a:r>
        </a:p>
        <a:p>
          <a:endParaRPr lang="sv-SE" sz="1200" b="1" baseline="0">
            <a:solidFill>
              <a:srgbClr val="0070C0"/>
            </a:solidFill>
          </a:endParaRPr>
        </a:p>
        <a:p>
          <a:r>
            <a:rPr lang="sv-SE" sz="1200" b="1" baseline="0">
              <a:solidFill>
                <a:srgbClr val="0070C0"/>
              </a:solidFill>
            </a:rPr>
            <a:t>/Björn J.</a:t>
          </a:r>
        </a:p>
        <a:p>
          <a:endParaRPr lang="sv-SE" sz="1100" b="1"/>
        </a:p>
      </xdr:txBody>
    </xdr:sp>
    <xdr:clientData/>
  </xdr:twoCellAnchor>
  <mc:AlternateContent xmlns:mc="http://schemas.openxmlformats.org/markup-compatibility/2006">
    <mc:Choice xmlns:a14="http://schemas.microsoft.com/office/drawing/2010/main" Requires="a14">
      <xdr:twoCellAnchor editAs="absolute">
        <xdr:from>
          <xdr:col>0</xdr:col>
          <xdr:colOff>238125</xdr:colOff>
          <xdr:row>0</xdr:row>
          <xdr:rowOff>685800</xdr:rowOff>
        </xdr:from>
        <xdr:to>
          <xdr:col>0</xdr:col>
          <xdr:colOff>781050</xdr:colOff>
          <xdr:row>0</xdr:row>
          <xdr:rowOff>1447800</xdr:rowOff>
        </xdr:to>
        <xdr:sp macro="" textlink="">
          <xdr:nvSpPr>
            <xdr:cNvPr id="1025" name="Spinner 1"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xdr:twoCellAnchor editAs="oneCell">
    <xdr:from>
      <xdr:col>14</xdr:col>
      <xdr:colOff>134471</xdr:colOff>
      <xdr:row>0</xdr:row>
      <xdr:rowOff>347382</xdr:rowOff>
    </xdr:from>
    <xdr:to>
      <xdr:col>15</xdr:col>
      <xdr:colOff>465742</xdr:colOff>
      <xdr:row>0</xdr:row>
      <xdr:rowOff>1452436</xdr:rowOff>
    </xdr:to>
    <xdr:pic>
      <xdr:nvPicPr>
        <xdr:cNvPr id="7" name="Picture 6"/>
        <xdr:cNvPicPr>
          <a:picLocks noChangeAspect="1"/>
        </xdr:cNvPicPr>
      </xdr:nvPicPr>
      <xdr:blipFill>
        <a:blip xmlns:r="http://schemas.openxmlformats.org/officeDocument/2006/relationships" r:embed="rId2"/>
        <a:stretch>
          <a:fillRect/>
        </a:stretch>
      </xdr:blipFill>
      <xdr:spPr>
        <a:xfrm>
          <a:off x="9906000" y="347382"/>
          <a:ext cx="981212" cy="1105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333375</xdr:colOff>
      <xdr:row>1</xdr:row>
      <xdr:rowOff>57150</xdr:rowOff>
    </xdr:from>
    <xdr:to>
      <xdr:col>14</xdr:col>
      <xdr:colOff>143700</xdr:colOff>
      <xdr:row>16</xdr:row>
      <xdr:rowOff>105174</xdr:rowOff>
    </xdr:to>
    <xdr:pic>
      <xdr:nvPicPr>
        <xdr:cNvPr id="3" name="Picture 2"/>
        <xdr:cNvPicPr>
          <a:picLocks noChangeAspect="1"/>
        </xdr:cNvPicPr>
      </xdr:nvPicPr>
      <xdr:blipFill>
        <a:blip xmlns:r="http://schemas.openxmlformats.org/officeDocument/2006/relationships" r:embed="rId1"/>
        <a:stretch>
          <a:fillRect/>
        </a:stretch>
      </xdr:blipFill>
      <xdr:spPr>
        <a:xfrm>
          <a:off x="6048375" y="781050"/>
          <a:ext cx="5906325" cy="2857899"/>
        </a:xfrm>
        <a:prstGeom prst="rect">
          <a:avLst/>
        </a:prstGeom>
      </xdr:spPr>
    </xdr:pic>
    <xdr:clientData/>
  </xdr:twoCellAnchor>
  <xdr:twoCellAnchor editAs="oneCell">
    <xdr:from>
      <xdr:col>4</xdr:col>
      <xdr:colOff>447675</xdr:colOff>
      <xdr:row>17</xdr:row>
      <xdr:rowOff>38100</xdr:rowOff>
    </xdr:from>
    <xdr:to>
      <xdr:col>10</xdr:col>
      <xdr:colOff>410080</xdr:colOff>
      <xdr:row>38</xdr:row>
      <xdr:rowOff>152891</xdr:rowOff>
    </xdr:to>
    <xdr:pic>
      <xdr:nvPicPr>
        <xdr:cNvPr id="4" name="Picture 3"/>
        <xdr:cNvPicPr>
          <a:picLocks noChangeAspect="1"/>
        </xdr:cNvPicPr>
      </xdr:nvPicPr>
      <xdr:blipFill>
        <a:blip xmlns:r="http://schemas.openxmlformats.org/officeDocument/2006/relationships" r:embed="rId2"/>
        <a:stretch>
          <a:fillRect/>
        </a:stretch>
      </xdr:blipFill>
      <xdr:spPr>
        <a:xfrm>
          <a:off x="6162675" y="3733800"/>
          <a:ext cx="3620005" cy="3515216"/>
        </a:xfrm>
        <a:prstGeom prst="rect">
          <a:avLst/>
        </a:prstGeom>
      </xdr:spPr>
    </xdr:pic>
    <xdr:clientData/>
  </xdr:twoCellAnchor>
</xdr:wsDr>
</file>

<file path=xl/tables/table1.xml><?xml version="1.0" encoding="utf-8"?>
<table xmlns="http://schemas.openxmlformats.org/spreadsheetml/2006/main" id="1" name="Helg" displayName="Helg" ref="A15:D35" totalsRowShown="0" tableBorderDxfId="15">
  <autoFilter ref="A15:D35"/>
  <tableColumns count="4">
    <tableColumn id="1" name="#" dataDxfId="14"/>
    <tableColumn id="2" name="Datum" dataDxfId="13"/>
    <tableColumn id="3" name="Veckodag" dataDxfId="12">
      <calculatedColumnFormula>IF(B16&lt;&gt;"",B16,"")</calculatedColumnFormula>
    </tableColumn>
    <tableColumn id="4" name="Helgdag och afton" dataDxfId="11"/>
  </tableColumns>
  <tableStyleInfo name="TableStyleMedium2" showFirstColumn="0" showLastColumn="0" showRowStripes="1" showColumnStripes="0"/>
</table>
</file>

<file path=xl/tables/table2.xml><?xml version="1.0" encoding="utf-8"?>
<table xmlns="http://schemas.openxmlformats.org/spreadsheetml/2006/main" id="2" name="ATK" displayName="ATK" ref="A2:D8" totalsRowShown="0" headerRowDxfId="10" tableBorderDxfId="9">
  <autoFilter ref="A2:D8"/>
  <tableColumns count="4">
    <tableColumn id="1" name="#" dataDxfId="8"/>
    <tableColumn id="2" name="Datum" dataDxfId="7"/>
    <tableColumn id="3" name="Veckodag" dataDxfId="6"/>
    <tableColumn id="4" name="Kommentar" dataDxfId="5"/>
  </tableColumns>
  <tableStyleInfo name="TableStyleMedium2" showFirstColumn="0" showLastColumn="0" showRowStripes="1" showColumnStripes="0"/>
</table>
</file>

<file path=xl/tables/table3.xml><?xml version="1.0" encoding="utf-8"?>
<table xmlns="http://schemas.openxmlformats.org/spreadsheetml/2006/main" id="3" name="Semester" displayName="Semester" ref="A45:D75" totalsRowShown="0" tableBorderDxfId="4">
  <autoFilter ref="A45:D75"/>
  <tableColumns count="4">
    <tableColumn id="1" name="#" dataDxfId="3"/>
    <tableColumn id="2" name="Datum" dataDxfId="2"/>
    <tableColumn id="3" name="Veckodag" dataDxfId="1">
      <calculatedColumnFormula>IF(B46&lt;&gt;"",B46,"")</calculatedColumnFormula>
    </tableColumn>
    <tableColumn id="4" name="Kommenta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3.xml"/><Relationship Id="rId2" Type="http://schemas.openxmlformats.org/officeDocument/2006/relationships/hyperlink" Target="http://klendr.se/helgdagar/2016" TargetMode="External"/><Relationship Id="rId1" Type="http://schemas.openxmlformats.org/officeDocument/2006/relationships/hyperlink" Target="http://veckonr.se/kalender"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Time" filterMode="1"/>
  <dimension ref="A1:AC371"/>
  <sheetViews>
    <sheetView showZeros="0" tabSelected="1" zoomScale="85" zoomScaleNormal="85" workbookViewId="0">
      <pane xSplit="1" ySplit="5" topLeftCell="B6" activePane="bottomRight" state="frozen"/>
      <selection pane="topRight" activeCell="B1" sqref="B1"/>
      <selection pane="bottomLeft" activeCell="A6" sqref="A6"/>
      <selection pane="bottomRight" activeCell="C188" sqref="C188"/>
    </sheetView>
  </sheetViews>
  <sheetFormatPr defaultRowHeight="12.75" outlineLevelCol="1" x14ac:dyDescent="0.2"/>
  <cols>
    <col min="1" max="1" width="14.7109375" style="1" customWidth="1"/>
    <col min="2" max="2" width="6.7109375" style="85" bestFit="1" customWidth="1"/>
    <col min="3" max="5" width="9.7109375" style="2" customWidth="1"/>
    <col min="6" max="6" width="12.7109375" style="2" customWidth="1"/>
    <col min="7" max="10" width="10.7109375" style="2" hidden="1" customWidth="1" outlineLevel="1"/>
    <col min="11" max="11" width="10.7109375" style="2" customWidth="1" collapsed="1"/>
    <col min="12" max="12" width="9.7109375" style="2" customWidth="1"/>
    <col min="13" max="13" width="9.7109375" style="2" customWidth="1" outlineLevel="1"/>
    <col min="14" max="14" width="9.7109375" style="8" customWidth="1" outlineLevel="1"/>
    <col min="15" max="15" width="9.7109375" style="28" customWidth="1" outlineLevel="1"/>
    <col min="16" max="16" width="9.7109375" style="8" customWidth="1" outlineLevel="1"/>
    <col min="17" max="17" width="9.7109375" style="2" customWidth="1" outlineLevel="1"/>
    <col min="18" max="18" width="17.85546875" style="3" customWidth="1"/>
    <col min="19" max="19" width="9.7109375" style="3" customWidth="1" outlineLevel="1"/>
    <col min="20" max="20" width="9.7109375" style="8" customWidth="1"/>
    <col min="21" max="23" width="9.7109375" style="3" customWidth="1"/>
    <col min="24" max="25" width="9.7109375" style="3" customWidth="1" outlineLevel="1"/>
    <col min="26" max="26" width="93" style="3" bestFit="1" customWidth="1"/>
    <col min="27" max="27" width="17.7109375" style="2" customWidth="1"/>
    <col min="28" max="28" width="9.140625" style="2"/>
    <col min="29" max="29" width="12.5703125" style="2" bestFit="1" customWidth="1"/>
    <col min="30" max="16384" width="9.140625" style="2"/>
  </cols>
  <sheetData>
    <row r="1" spans="1:29" s="1" customFormat="1" ht="159" customHeight="1" x14ac:dyDescent="0.3">
      <c r="A1" s="4" t="s">
        <v>68</v>
      </c>
      <c r="B1" s="81"/>
      <c r="C1" s="46"/>
      <c r="D1" s="46"/>
      <c r="E1" s="47"/>
      <c r="F1" s="47"/>
      <c r="G1" s="47"/>
      <c r="H1" s="47"/>
      <c r="I1" s="47"/>
      <c r="J1" s="47"/>
      <c r="K1" s="47"/>
      <c r="L1" s="47"/>
      <c r="M1" s="47"/>
      <c r="N1" s="47"/>
      <c r="O1" s="47"/>
      <c r="P1" s="47"/>
      <c r="Q1" s="47"/>
      <c r="R1" s="79">
        <f>R2/60</f>
        <v>0</v>
      </c>
      <c r="S1" s="5"/>
      <c r="T1" s="5"/>
      <c r="W1" s="4"/>
      <c r="X1" s="4"/>
      <c r="Y1" s="6"/>
      <c r="Z1" s="27"/>
    </row>
    <row r="2" spans="1:29" ht="32.25" customHeight="1" thickBot="1" x14ac:dyDescent="0.25">
      <c r="A2" s="38" t="s">
        <v>27</v>
      </c>
      <c r="B2" s="82"/>
      <c r="C2" s="39"/>
      <c r="D2" s="39"/>
      <c r="E2" s="39"/>
      <c r="F2" s="80">
        <f>SUBTOTAL(109,F6:F99672)*24</f>
        <v>0</v>
      </c>
      <c r="G2" s="80"/>
      <c r="H2" s="80"/>
      <c r="I2" s="80"/>
      <c r="J2" s="80"/>
      <c r="K2" s="80"/>
      <c r="L2" s="40">
        <f t="shared" ref="L2:Y2" si="0">SUBTOTAL(109,L6:L99672)</f>
        <v>0</v>
      </c>
      <c r="M2" s="40">
        <f t="shared" si="0"/>
        <v>0</v>
      </c>
      <c r="N2" s="40">
        <f t="shared" si="0"/>
        <v>0</v>
      </c>
      <c r="O2" s="40">
        <f t="shared" si="0"/>
        <v>0</v>
      </c>
      <c r="P2" s="40">
        <f t="shared" si="0"/>
        <v>0</v>
      </c>
      <c r="Q2" s="40">
        <f t="shared" si="0"/>
        <v>0</v>
      </c>
      <c r="R2" s="78">
        <f t="shared" si="0"/>
        <v>0</v>
      </c>
      <c r="S2" s="40">
        <f t="shared" si="0"/>
        <v>0</v>
      </c>
      <c r="T2" s="40">
        <f t="shared" si="0"/>
        <v>0</v>
      </c>
      <c r="U2" s="40">
        <f t="shared" si="0"/>
        <v>0</v>
      </c>
      <c r="V2" s="40">
        <f t="shared" si="0"/>
        <v>0</v>
      </c>
      <c r="W2" s="40">
        <f t="shared" si="0"/>
        <v>0</v>
      </c>
      <c r="X2" s="40">
        <f t="shared" si="0"/>
        <v>0</v>
      </c>
      <c r="Y2" s="40">
        <f t="shared" si="0"/>
        <v>0</v>
      </c>
      <c r="Z2" s="51"/>
      <c r="AB2" s="7"/>
    </row>
    <row r="3" spans="1:29" ht="17.100000000000001" customHeight="1" thickTop="1" x14ac:dyDescent="0.25">
      <c r="A3" s="9"/>
      <c r="B3" s="83"/>
      <c r="C3" s="10" t="s">
        <v>1</v>
      </c>
      <c r="D3" s="10" t="s">
        <v>35</v>
      </c>
      <c r="E3" s="10" t="s">
        <v>2</v>
      </c>
      <c r="F3" s="10" t="s">
        <v>3</v>
      </c>
      <c r="G3" s="90" t="s">
        <v>73</v>
      </c>
      <c r="H3" s="90" t="s">
        <v>74</v>
      </c>
      <c r="I3" s="90" t="s">
        <v>74</v>
      </c>
      <c r="J3" s="90" t="s">
        <v>70</v>
      </c>
      <c r="K3" s="90" t="s">
        <v>76</v>
      </c>
      <c r="L3" s="91" t="s">
        <v>14</v>
      </c>
      <c r="M3" s="10" t="s">
        <v>4</v>
      </c>
      <c r="N3" s="11" t="s">
        <v>4</v>
      </c>
      <c r="O3" s="29" t="s">
        <v>12</v>
      </c>
      <c r="P3" s="11" t="s">
        <v>12</v>
      </c>
      <c r="Q3" s="10" t="s">
        <v>5</v>
      </c>
      <c r="R3" s="89" t="s">
        <v>6</v>
      </c>
      <c r="S3" s="92" t="s">
        <v>34</v>
      </c>
      <c r="T3" s="93" t="s">
        <v>7</v>
      </c>
      <c r="U3" s="92" t="s">
        <v>8</v>
      </c>
      <c r="V3" s="92" t="s">
        <v>29</v>
      </c>
      <c r="W3" s="92" t="s">
        <v>32</v>
      </c>
      <c r="X3" s="94" t="s">
        <v>22</v>
      </c>
      <c r="Y3" s="94" t="s">
        <v>23</v>
      </c>
      <c r="Z3" s="12" t="s">
        <v>9</v>
      </c>
      <c r="AB3" s="7"/>
      <c r="AC3" s="13"/>
    </row>
    <row r="4" spans="1:29" ht="17.100000000000001" customHeight="1" x14ac:dyDescent="0.25">
      <c r="A4" s="34">
        <v>7</v>
      </c>
      <c r="B4" s="14" t="s">
        <v>69</v>
      </c>
      <c r="C4" s="14" t="s">
        <v>10</v>
      </c>
      <c r="D4" s="14" t="s">
        <v>37</v>
      </c>
      <c r="E4" s="14" t="s">
        <v>10</v>
      </c>
      <c r="F4" s="14"/>
      <c r="G4" s="35" t="s">
        <v>72</v>
      </c>
      <c r="H4" s="35" t="s">
        <v>75</v>
      </c>
      <c r="I4" s="35" t="s">
        <v>62</v>
      </c>
      <c r="J4" s="35" t="s">
        <v>71</v>
      </c>
      <c r="K4" s="35" t="s">
        <v>3</v>
      </c>
      <c r="L4" s="35" t="s">
        <v>15</v>
      </c>
      <c r="M4" s="14">
        <v>1.5</v>
      </c>
      <c r="N4" s="15">
        <v>2</v>
      </c>
      <c r="O4" s="30">
        <v>1.5</v>
      </c>
      <c r="P4" s="15">
        <v>2</v>
      </c>
      <c r="Q4" s="14" t="s">
        <v>19</v>
      </c>
      <c r="R4" s="50"/>
      <c r="S4" s="49">
        <v>790</v>
      </c>
      <c r="T4" s="49" t="s">
        <v>30</v>
      </c>
      <c r="U4" s="49" t="s">
        <v>28</v>
      </c>
      <c r="V4" s="49" t="s">
        <v>31</v>
      </c>
      <c r="W4" s="49" t="s">
        <v>33</v>
      </c>
      <c r="X4" s="16" t="s">
        <v>21</v>
      </c>
      <c r="Y4" s="16" t="s">
        <v>24</v>
      </c>
      <c r="Z4" s="17" t="s">
        <v>25</v>
      </c>
      <c r="AB4" s="7"/>
      <c r="AC4" s="13"/>
    </row>
    <row r="5" spans="1:29" ht="17.100000000000001" customHeight="1" thickBot="1" x14ac:dyDescent="0.3">
      <c r="A5" s="18" t="s">
        <v>0</v>
      </c>
      <c r="B5" s="86" t="s">
        <v>38</v>
      </c>
      <c r="C5" s="19" t="s">
        <v>11</v>
      </c>
      <c r="D5" s="20" t="s">
        <v>36</v>
      </c>
      <c r="E5" s="20" t="s">
        <v>11</v>
      </c>
      <c r="F5" s="21" t="s">
        <v>11</v>
      </c>
      <c r="G5" s="87"/>
      <c r="H5" s="87"/>
      <c r="I5" s="87"/>
      <c r="J5" s="87"/>
      <c r="K5" s="87"/>
      <c r="L5" s="22" t="s">
        <v>16</v>
      </c>
      <c r="M5" s="22" t="s">
        <v>17</v>
      </c>
      <c r="N5" s="23" t="s">
        <v>17</v>
      </c>
      <c r="O5" s="31" t="s">
        <v>17</v>
      </c>
      <c r="P5" s="23" t="s">
        <v>17</v>
      </c>
      <c r="Q5" s="19" t="s">
        <v>18</v>
      </c>
      <c r="R5" s="24" t="s">
        <v>13</v>
      </c>
      <c r="S5" s="32" t="s">
        <v>17</v>
      </c>
      <c r="T5" s="20" t="s">
        <v>20</v>
      </c>
      <c r="U5" s="25" t="s">
        <v>17</v>
      </c>
      <c r="V5" s="25" t="s">
        <v>17</v>
      </c>
      <c r="W5" s="25" t="s">
        <v>17</v>
      </c>
      <c r="X5" s="25" t="s">
        <v>17</v>
      </c>
      <c r="Y5" s="25" t="s">
        <v>17</v>
      </c>
      <c r="Z5" s="26" t="s">
        <v>26</v>
      </c>
      <c r="AB5" s="7"/>
      <c r="AC5" s="13"/>
    </row>
    <row r="6" spans="1:29" ht="16.5" hidden="1" thickTop="1" x14ac:dyDescent="0.25">
      <c r="A6" s="37">
        <v>42370</v>
      </c>
      <c r="B6" s="84">
        <f>IsoWeekNumber(A6)</f>
        <v>53</v>
      </c>
      <c r="C6" s="41"/>
      <c r="D6" s="41"/>
      <c r="E6" s="42"/>
      <c r="F6" s="33" t="str">
        <f t="shared" ref="F6:F53" si="1">IF(E6-C6&lt;=0,"--",E6-D6-C6)</f>
        <v>--</v>
      </c>
      <c r="G6" s="88" t="b">
        <f>IF(WEEKDAY(A6,2)&gt;5,TRUE)</f>
        <v>0</v>
      </c>
      <c r="H6" s="33" t="b">
        <f t="shared" ref="H6:H69" si="2">ISNUMBER(MATCH($A6,rSemester,0))</f>
        <v>0</v>
      </c>
      <c r="I6" s="33" t="b">
        <f t="shared" ref="I6:I69" si="3">ISNUMBER(MATCH($A6,rATK,0))</f>
        <v>0</v>
      </c>
      <c r="J6" s="33" t="b">
        <f t="shared" ref="J6:J69" si="4">ISNUMBER(MATCH($A6,rHelger,0))</f>
        <v>1</v>
      </c>
      <c r="K6" s="33">
        <f>IF(OR(G6,H6,I6,J6),0,8/24)</f>
        <v>0</v>
      </c>
      <c r="L6" s="43"/>
      <c r="M6" s="43"/>
      <c r="N6" s="44"/>
      <c r="O6" s="44"/>
      <c r="P6" s="44"/>
      <c r="Q6" s="44"/>
      <c r="R6" s="36" t="str">
        <f t="shared" ref="R6:R69" si="5">IF(F6="--","--",IF(F6&lt;=0,"--",60*((F6-K6)*24-L6+S6+T6*8+U6+V6+Y6+W6+X6)))</f>
        <v>--</v>
      </c>
      <c r="S6" s="45"/>
      <c r="T6" s="48"/>
      <c r="U6" s="45"/>
      <c r="V6" s="45"/>
      <c r="W6" s="45"/>
      <c r="X6" s="45"/>
      <c r="Y6" s="45"/>
      <c r="Z6" s="77"/>
    </row>
    <row r="7" spans="1:29" ht="16.5" hidden="1" thickTop="1" x14ac:dyDescent="0.25">
      <c r="A7" s="37">
        <v>42371</v>
      </c>
      <c r="B7" s="84">
        <f t="shared" ref="B7:B70" si="6">IsoWeekNumber(A7)</f>
        <v>53</v>
      </c>
      <c r="C7" s="41"/>
      <c r="D7" s="41"/>
      <c r="E7" s="42"/>
      <c r="F7" s="33" t="str">
        <f t="shared" si="1"/>
        <v>--</v>
      </c>
      <c r="G7" s="88" t="b">
        <f t="shared" ref="G7:G70" si="7">IF(WEEKDAY(A7,2)&gt;5,TRUE)</f>
        <v>1</v>
      </c>
      <c r="H7" s="33" t="b">
        <f t="shared" si="2"/>
        <v>0</v>
      </c>
      <c r="I7" s="33" t="b">
        <f t="shared" si="3"/>
        <v>0</v>
      </c>
      <c r="J7" s="33" t="b">
        <f t="shared" si="4"/>
        <v>0</v>
      </c>
      <c r="K7" s="33">
        <f t="shared" ref="K7:K70" si="8">IF(OR(G7,H7,I7,J7),0,8/24)</f>
        <v>0</v>
      </c>
      <c r="L7" s="43"/>
      <c r="M7" s="43"/>
      <c r="N7" s="44"/>
      <c r="O7" s="44"/>
      <c r="P7" s="44"/>
      <c r="Q7" s="44"/>
      <c r="R7" s="36" t="str">
        <f t="shared" si="5"/>
        <v>--</v>
      </c>
      <c r="S7" s="45"/>
      <c r="T7" s="48"/>
      <c r="U7" s="45"/>
      <c r="V7" s="45"/>
      <c r="W7" s="45"/>
      <c r="X7" s="45"/>
      <c r="Y7" s="45"/>
      <c r="Z7" s="77"/>
    </row>
    <row r="8" spans="1:29" ht="16.5" hidden="1" thickTop="1" x14ac:dyDescent="0.25">
      <c r="A8" s="37">
        <v>42372</v>
      </c>
      <c r="B8" s="84">
        <f t="shared" si="6"/>
        <v>53</v>
      </c>
      <c r="C8" s="41"/>
      <c r="D8" s="41"/>
      <c r="E8" s="42"/>
      <c r="F8" s="33" t="str">
        <f t="shared" si="1"/>
        <v>--</v>
      </c>
      <c r="G8" s="88" t="b">
        <f t="shared" si="7"/>
        <v>1</v>
      </c>
      <c r="H8" s="33" t="b">
        <f t="shared" si="2"/>
        <v>0</v>
      </c>
      <c r="I8" s="33" t="b">
        <f t="shared" si="3"/>
        <v>0</v>
      </c>
      <c r="J8" s="33" t="b">
        <f t="shared" si="4"/>
        <v>0</v>
      </c>
      <c r="K8" s="33">
        <f t="shared" si="8"/>
        <v>0</v>
      </c>
      <c r="L8" s="43"/>
      <c r="M8" s="43"/>
      <c r="N8" s="44"/>
      <c r="O8" s="44"/>
      <c r="P8" s="44"/>
      <c r="Q8" s="44"/>
      <c r="R8" s="36" t="str">
        <f t="shared" si="5"/>
        <v>--</v>
      </c>
      <c r="S8" s="45"/>
      <c r="T8" s="48"/>
      <c r="U8" s="45"/>
      <c r="V8" s="45"/>
      <c r="W8" s="45"/>
      <c r="X8" s="45"/>
      <c r="Y8" s="45"/>
      <c r="Z8" s="77"/>
    </row>
    <row r="9" spans="1:29" ht="16.5" hidden="1" thickTop="1" x14ac:dyDescent="0.25">
      <c r="A9" s="37">
        <v>42373</v>
      </c>
      <c r="B9" s="84">
        <f t="shared" si="6"/>
        <v>1</v>
      </c>
      <c r="C9" s="41"/>
      <c r="D9" s="41"/>
      <c r="E9" s="42"/>
      <c r="F9" s="33" t="str">
        <f t="shared" si="1"/>
        <v>--</v>
      </c>
      <c r="G9" s="88" t="b">
        <f t="shared" si="7"/>
        <v>0</v>
      </c>
      <c r="H9" s="33" t="b">
        <f t="shared" si="2"/>
        <v>0</v>
      </c>
      <c r="I9" s="33" t="b">
        <f t="shared" si="3"/>
        <v>1</v>
      </c>
      <c r="J9" s="33" t="b">
        <f t="shared" si="4"/>
        <v>0</v>
      </c>
      <c r="K9" s="33">
        <f t="shared" si="8"/>
        <v>0</v>
      </c>
      <c r="L9" s="43"/>
      <c r="M9" s="43"/>
      <c r="N9" s="44"/>
      <c r="O9" s="44"/>
      <c r="P9" s="44"/>
      <c r="Q9" s="44"/>
      <c r="R9" s="36" t="str">
        <f t="shared" si="5"/>
        <v>--</v>
      </c>
      <c r="S9" s="45"/>
      <c r="T9" s="48"/>
      <c r="U9" s="45"/>
      <c r="V9" s="45"/>
      <c r="W9" s="45"/>
      <c r="X9" s="45"/>
      <c r="Y9" s="45"/>
      <c r="Z9" s="77"/>
    </row>
    <row r="10" spans="1:29" ht="16.5" hidden="1" thickTop="1" x14ac:dyDescent="0.25">
      <c r="A10" s="37">
        <v>42374</v>
      </c>
      <c r="B10" s="84">
        <f t="shared" si="6"/>
        <v>1</v>
      </c>
      <c r="C10" s="41"/>
      <c r="D10" s="41"/>
      <c r="E10" s="42"/>
      <c r="F10" s="33" t="str">
        <f t="shared" si="1"/>
        <v>--</v>
      </c>
      <c r="G10" s="88" t="b">
        <f t="shared" si="7"/>
        <v>0</v>
      </c>
      <c r="H10" s="33" t="b">
        <f t="shared" si="2"/>
        <v>0</v>
      </c>
      <c r="I10" s="33" t="b">
        <f t="shared" si="3"/>
        <v>1</v>
      </c>
      <c r="J10" s="33" t="b">
        <f t="shared" si="4"/>
        <v>0</v>
      </c>
      <c r="K10" s="33">
        <f t="shared" si="8"/>
        <v>0</v>
      </c>
      <c r="L10" s="43"/>
      <c r="M10" s="43"/>
      <c r="N10" s="44"/>
      <c r="O10" s="44"/>
      <c r="P10" s="44"/>
      <c r="Q10" s="44"/>
      <c r="R10" s="36" t="str">
        <f t="shared" si="5"/>
        <v>--</v>
      </c>
      <c r="S10" s="45"/>
      <c r="T10" s="48"/>
      <c r="U10" s="45"/>
      <c r="V10" s="45"/>
      <c r="W10" s="45"/>
      <c r="X10" s="45"/>
      <c r="Y10" s="45"/>
      <c r="Z10" s="77"/>
    </row>
    <row r="11" spans="1:29" ht="16.5" hidden="1" thickTop="1" x14ac:dyDescent="0.25">
      <c r="A11" s="37">
        <v>42375</v>
      </c>
      <c r="B11" s="84">
        <f t="shared" si="6"/>
        <v>1</v>
      </c>
      <c r="C11" s="41"/>
      <c r="D11" s="41"/>
      <c r="E11" s="42"/>
      <c r="F11" s="33" t="str">
        <f t="shared" si="1"/>
        <v>--</v>
      </c>
      <c r="G11" s="88" t="b">
        <f t="shared" si="7"/>
        <v>0</v>
      </c>
      <c r="H11" s="33" t="b">
        <f t="shared" si="2"/>
        <v>0</v>
      </c>
      <c r="I11" s="33" t="b">
        <f t="shared" si="3"/>
        <v>0</v>
      </c>
      <c r="J11" s="33" t="b">
        <f t="shared" si="4"/>
        <v>1</v>
      </c>
      <c r="K11" s="33">
        <f t="shared" si="8"/>
        <v>0</v>
      </c>
      <c r="L11" s="43"/>
      <c r="M11" s="43"/>
      <c r="N11" s="44"/>
      <c r="O11" s="44"/>
      <c r="P11" s="44"/>
      <c r="Q11" s="44"/>
      <c r="R11" s="36" t="str">
        <f t="shared" si="5"/>
        <v>--</v>
      </c>
      <c r="S11" s="45"/>
      <c r="T11" s="48"/>
      <c r="U11" s="45"/>
      <c r="V11" s="45"/>
      <c r="W11" s="45"/>
      <c r="X11" s="45"/>
      <c r="Y11" s="45"/>
      <c r="Z11" s="77"/>
    </row>
    <row r="12" spans="1:29" ht="16.5" hidden="1" thickTop="1" x14ac:dyDescent="0.25">
      <c r="A12" s="37">
        <v>42376</v>
      </c>
      <c r="B12" s="84">
        <f t="shared" si="6"/>
        <v>1</v>
      </c>
      <c r="C12" s="41"/>
      <c r="D12" s="41"/>
      <c r="E12" s="42"/>
      <c r="F12" s="33" t="str">
        <f t="shared" si="1"/>
        <v>--</v>
      </c>
      <c r="G12" s="88" t="b">
        <f t="shared" si="7"/>
        <v>0</v>
      </c>
      <c r="H12" s="33" t="b">
        <f t="shared" si="2"/>
        <v>0</v>
      </c>
      <c r="I12" s="33" t="b">
        <f t="shared" si="3"/>
        <v>0</v>
      </c>
      <c r="J12" s="33" t="b">
        <f t="shared" si="4"/>
        <v>0</v>
      </c>
      <c r="K12" s="33">
        <f t="shared" si="8"/>
        <v>0.33333333333333331</v>
      </c>
      <c r="L12" s="43"/>
      <c r="M12" s="43"/>
      <c r="N12" s="44"/>
      <c r="O12" s="44"/>
      <c r="P12" s="44"/>
      <c r="Q12" s="44"/>
      <c r="R12" s="36" t="str">
        <f t="shared" si="5"/>
        <v>--</v>
      </c>
      <c r="S12" s="45"/>
      <c r="T12" s="48"/>
      <c r="U12" s="45"/>
      <c r="V12" s="45"/>
      <c r="W12" s="45"/>
      <c r="X12" s="45"/>
      <c r="Y12" s="45"/>
      <c r="Z12" s="77"/>
    </row>
    <row r="13" spans="1:29" ht="16.5" hidden="1" thickTop="1" x14ac:dyDescent="0.25">
      <c r="A13" s="37">
        <v>42377</v>
      </c>
      <c r="B13" s="84">
        <f t="shared" si="6"/>
        <v>1</v>
      </c>
      <c r="C13" s="41"/>
      <c r="D13" s="41"/>
      <c r="E13" s="42"/>
      <c r="F13" s="33" t="str">
        <f t="shared" si="1"/>
        <v>--</v>
      </c>
      <c r="G13" s="88" t="b">
        <f t="shared" si="7"/>
        <v>0</v>
      </c>
      <c r="H13" s="33" t="b">
        <f t="shared" si="2"/>
        <v>0</v>
      </c>
      <c r="I13" s="33" t="b">
        <f t="shared" si="3"/>
        <v>0</v>
      </c>
      <c r="J13" s="33" t="b">
        <f t="shared" si="4"/>
        <v>0</v>
      </c>
      <c r="K13" s="33">
        <f t="shared" si="8"/>
        <v>0.33333333333333331</v>
      </c>
      <c r="L13" s="43"/>
      <c r="M13" s="43"/>
      <c r="N13" s="44"/>
      <c r="O13" s="44"/>
      <c r="P13" s="44"/>
      <c r="Q13" s="44"/>
      <c r="R13" s="36" t="str">
        <f t="shared" si="5"/>
        <v>--</v>
      </c>
      <c r="S13" s="45"/>
      <c r="T13" s="48"/>
      <c r="U13" s="45"/>
      <c r="V13" s="45"/>
      <c r="W13" s="45"/>
      <c r="X13" s="45"/>
      <c r="Y13" s="45"/>
      <c r="Z13" s="77"/>
    </row>
    <row r="14" spans="1:29" ht="16.5" hidden="1" thickTop="1" x14ac:dyDescent="0.25">
      <c r="A14" s="37">
        <v>42378</v>
      </c>
      <c r="B14" s="84">
        <f t="shared" si="6"/>
        <v>1</v>
      </c>
      <c r="C14" s="41"/>
      <c r="D14" s="41"/>
      <c r="E14" s="42"/>
      <c r="F14" s="33" t="str">
        <f t="shared" si="1"/>
        <v>--</v>
      </c>
      <c r="G14" s="88" t="b">
        <f t="shared" si="7"/>
        <v>1</v>
      </c>
      <c r="H14" s="33" t="b">
        <f t="shared" si="2"/>
        <v>0</v>
      </c>
      <c r="I14" s="33" t="b">
        <f t="shared" si="3"/>
        <v>0</v>
      </c>
      <c r="J14" s="33" t="b">
        <f t="shared" si="4"/>
        <v>0</v>
      </c>
      <c r="K14" s="33">
        <f t="shared" si="8"/>
        <v>0</v>
      </c>
      <c r="L14" s="43"/>
      <c r="M14" s="43"/>
      <c r="N14" s="44"/>
      <c r="O14" s="44"/>
      <c r="P14" s="44"/>
      <c r="Q14" s="44"/>
      <c r="R14" s="36" t="str">
        <f t="shared" si="5"/>
        <v>--</v>
      </c>
      <c r="S14" s="45"/>
      <c r="T14" s="48"/>
      <c r="U14" s="45"/>
      <c r="V14" s="45"/>
      <c r="W14" s="45"/>
      <c r="X14" s="45"/>
      <c r="Y14" s="45"/>
      <c r="Z14" s="77"/>
    </row>
    <row r="15" spans="1:29" ht="16.5" hidden="1" thickTop="1" x14ac:dyDescent="0.25">
      <c r="A15" s="37">
        <v>42379</v>
      </c>
      <c r="B15" s="84">
        <f t="shared" si="6"/>
        <v>1</v>
      </c>
      <c r="C15" s="41"/>
      <c r="D15" s="41"/>
      <c r="E15" s="42"/>
      <c r="F15" s="33" t="str">
        <f t="shared" si="1"/>
        <v>--</v>
      </c>
      <c r="G15" s="88" t="b">
        <f t="shared" si="7"/>
        <v>1</v>
      </c>
      <c r="H15" s="33" t="b">
        <f t="shared" si="2"/>
        <v>0</v>
      </c>
      <c r="I15" s="33" t="b">
        <f t="shared" si="3"/>
        <v>0</v>
      </c>
      <c r="J15" s="33" t="b">
        <f t="shared" si="4"/>
        <v>0</v>
      </c>
      <c r="K15" s="33">
        <f t="shared" si="8"/>
        <v>0</v>
      </c>
      <c r="L15" s="43"/>
      <c r="M15" s="43"/>
      <c r="N15" s="44"/>
      <c r="O15" s="44"/>
      <c r="P15" s="44"/>
      <c r="Q15" s="44"/>
      <c r="R15" s="36" t="str">
        <f t="shared" si="5"/>
        <v>--</v>
      </c>
      <c r="S15" s="45"/>
      <c r="T15" s="48"/>
      <c r="U15" s="45"/>
      <c r="V15" s="45"/>
      <c r="W15" s="45"/>
      <c r="X15" s="45"/>
      <c r="Y15" s="45"/>
      <c r="Z15" s="77"/>
    </row>
    <row r="16" spans="1:29" ht="16.5" hidden="1" thickTop="1" x14ac:dyDescent="0.25">
      <c r="A16" s="37">
        <v>42380</v>
      </c>
      <c r="B16" s="84">
        <f t="shared" si="6"/>
        <v>2</v>
      </c>
      <c r="C16" s="41"/>
      <c r="D16" s="41">
        <v>3.125E-2</v>
      </c>
      <c r="E16" s="42"/>
      <c r="F16" s="33" t="str">
        <f t="shared" si="1"/>
        <v>--</v>
      </c>
      <c r="G16" s="88" t="b">
        <f>IF(WEEKDAY(A16,2)&gt;5,TRUE)</f>
        <v>0</v>
      </c>
      <c r="H16" s="33" t="b">
        <f t="shared" si="2"/>
        <v>0</v>
      </c>
      <c r="I16" s="33" t="b">
        <f t="shared" si="3"/>
        <v>0</v>
      </c>
      <c r="J16" s="33" t="b">
        <f t="shared" si="4"/>
        <v>0</v>
      </c>
      <c r="K16" s="33">
        <f t="shared" si="8"/>
        <v>0.33333333333333331</v>
      </c>
      <c r="L16" s="43"/>
      <c r="M16" s="43"/>
      <c r="N16" s="44"/>
      <c r="O16" s="44"/>
      <c r="P16" s="44"/>
      <c r="Q16" s="44"/>
      <c r="R16" s="36" t="str">
        <f t="shared" si="5"/>
        <v>--</v>
      </c>
      <c r="S16" s="45"/>
      <c r="T16" s="48"/>
      <c r="U16" s="45"/>
      <c r="V16" s="45"/>
      <c r="W16" s="45"/>
      <c r="X16" s="45"/>
      <c r="Y16" s="45"/>
      <c r="Z16" s="77"/>
    </row>
    <row r="17" spans="1:26" ht="16.5" hidden="1" thickTop="1" x14ac:dyDescent="0.25">
      <c r="A17" s="37">
        <v>42381</v>
      </c>
      <c r="B17" s="84">
        <f t="shared" si="6"/>
        <v>2</v>
      </c>
      <c r="C17" s="41"/>
      <c r="D17" s="41">
        <v>3.125E-2</v>
      </c>
      <c r="E17" s="42"/>
      <c r="F17" s="33" t="str">
        <f t="shared" si="1"/>
        <v>--</v>
      </c>
      <c r="G17" s="88" t="b">
        <f t="shared" si="7"/>
        <v>0</v>
      </c>
      <c r="H17" s="33" t="b">
        <f t="shared" si="2"/>
        <v>0</v>
      </c>
      <c r="I17" s="33" t="b">
        <f t="shared" si="3"/>
        <v>0</v>
      </c>
      <c r="J17" s="33" t="b">
        <f t="shared" si="4"/>
        <v>0</v>
      </c>
      <c r="K17" s="33">
        <f t="shared" si="8"/>
        <v>0.33333333333333331</v>
      </c>
      <c r="L17" s="43"/>
      <c r="M17" s="43"/>
      <c r="N17" s="44"/>
      <c r="O17" s="44"/>
      <c r="P17" s="44"/>
      <c r="Q17" s="44"/>
      <c r="R17" s="36" t="str">
        <f t="shared" si="5"/>
        <v>--</v>
      </c>
      <c r="S17" s="45"/>
      <c r="T17" s="48"/>
      <c r="U17" s="45"/>
      <c r="V17" s="45"/>
      <c r="W17" s="45"/>
      <c r="X17" s="45"/>
      <c r="Y17" s="45"/>
      <c r="Z17" s="77"/>
    </row>
    <row r="18" spans="1:26" ht="16.5" hidden="1" thickTop="1" x14ac:dyDescent="0.25">
      <c r="A18" s="37">
        <v>42382</v>
      </c>
      <c r="B18" s="84">
        <f t="shared" si="6"/>
        <v>2</v>
      </c>
      <c r="C18" s="41"/>
      <c r="D18" s="41">
        <v>3.125E-2</v>
      </c>
      <c r="E18" s="42"/>
      <c r="F18" s="33" t="str">
        <f t="shared" si="1"/>
        <v>--</v>
      </c>
      <c r="G18" s="88" t="b">
        <f t="shared" si="7"/>
        <v>0</v>
      </c>
      <c r="H18" s="33" t="b">
        <f t="shared" si="2"/>
        <v>0</v>
      </c>
      <c r="I18" s="33" t="b">
        <f t="shared" si="3"/>
        <v>0</v>
      </c>
      <c r="J18" s="33" t="b">
        <f t="shared" si="4"/>
        <v>0</v>
      </c>
      <c r="K18" s="33">
        <f t="shared" si="8"/>
        <v>0.33333333333333331</v>
      </c>
      <c r="L18" s="43"/>
      <c r="M18" s="43"/>
      <c r="N18" s="44"/>
      <c r="O18" s="44"/>
      <c r="P18" s="44"/>
      <c r="Q18" s="44"/>
      <c r="R18" s="36" t="str">
        <f t="shared" si="5"/>
        <v>--</v>
      </c>
      <c r="S18" s="45"/>
      <c r="T18" s="48"/>
      <c r="U18" s="45"/>
      <c r="V18" s="45"/>
      <c r="W18" s="45"/>
      <c r="X18" s="45"/>
      <c r="Y18" s="45"/>
      <c r="Z18" s="77"/>
    </row>
    <row r="19" spans="1:26" ht="16.5" hidden="1" thickTop="1" x14ac:dyDescent="0.25">
      <c r="A19" s="37">
        <v>42383</v>
      </c>
      <c r="B19" s="84">
        <f t="shared" si="6"/>
        <v>2</v>
      </c>
      <c r="C19" s="41"/>
      <c r="D19" s="41">
        <v>3.125E-2</v>
      </c>
      <c r="E19" s="42"/>
      <c r="F19" s="33" t="str">
        <f t="shared" si="1"/>
        <v>--</v>
      </c>
      <c r="G19" s="88" t="b">
        <f t="shared" si="7"/>
        <v>0</v>
      </c>
      <c r="H19" s="33" t="b">
        <f t="shared" si="2"/>
        <v>0</v>
      </c>
      <c r="I19" s="33" t="b">
        <f t="shared" si="3"/>
        <v>0</v>
      </c>
      <c r="J19" s="33" t="b">
        <f t="shared" si="4"/>
        <v>0</v>
      </c>
      <c r="K19" s="33">
        <f t="shared" si="8"/>
        <v>0.33333333333333331</v>
      </c>
      <c r="L19" s="43"/>
      <c r="M19" s="43"/>
      <c r="N19" s="44"/>
      <c r="O19" s="44"/>
      <c r="P19" s="44"/>
      <c r="Q19" s="44"/>
      <c r="R19" s="36" t="str">
        <f t="shared" si="5"/>
        <v>--</v>
      </c>
      <c r="S19" s="45"/>
      <c r="T19" s="48"/>
      <c r="U19" s="45"/>
      <c r="V19" s="45"/>
      <c r="W19" s="45"/>
      <c r="X19" s="45"/>
      <c r="Y19" s="45"/>
      <c r="Z19" s="77"/>
    </row>
    <row r="20" spans="1:26" ht="16.5" hidden="1" thickTop="1" x14ac:dyDescent="0.25">
      <c r="A20" s="37">
        <v>42384</v>
      </c>
      <c r="B20" s="84">
        <f t="shared" si="6"/>
        <v>2</v>
      </c>
      <c r="C20" s="41"/>
      <c r="D20" s="41">
        <v>3.125E-2</v>
      </c>
      <c r="E20" s="42"/>
      <c r="F20" s="33" t="str">
        <f t="shared" si="1"/>
        <v>--</v>
      </c>
      <c r="G20" s="88" t="b">
        <f t="shared" si="7"/>
        <v>0</v>
      </c>
      <c r="H20" s="33" t="b">
        <f t="shared" si="2"/>
        <v>0</v>
      </c>
      <c r="I20" s="33" t="b">
        <f t="shared" si="3"/>
        <v>0</v>
      </c>
      <c r="J20" s="33" t="b">
        <f t="shared" si="4"/>
        <v>0</v>
      </c>
      <c r="K20" s="33">
        <f t="shared" si="8"/>
        <v>0.33333333333333331</v>
      </c>
      <c r="L20" s="43"/>
      <c r="M20" s="43"/>
      <c r="N20" s="44"/>
      <c r="O20" s="44"/>
      <c r="P20" s="44"/>
      <c r="Q20" s="44"/>
      <c r="R20" s="36" t="str">
        <f t="shared" si="5"/>
        <v>--</v>
      </c>
      <c r="S20" s="45"/>
      <c r="T20" s="48"/>
      <c r="U20" s="45"/>
      <c r="V20" s="45"/>
      <c r="W20" s="45"/>
      <c r="X20" s="45"/>
      <c r="Y20" s="45"/>
      <c r="Z20" s="77"/>
    </row>
    <row r="21" spans="1:26" ht="16.5" hidden="1" thickTop="1" x14ac:dyDescent="0.25">
      <c r="A21" s="37">
        <v>42385</v>
      </c>
      <c r="B21" s="84">
        <f t="shared" si="6"/>
        <v>2</v>
      </c>
      <c r="C21" s="41"/>
      <c r="D21" s="41"/>
      <c r="E21" s="42"/>
      <c r="F21" s="33" t="str">
        <f t="shared" si="1"/>
        <v>--</v>
      </c>
      <c r="G21" s="88" t="b">
        <f t="shared" si="7"/>
        <v>1</v>
      </c>
      <c r="H21" s="33" t="b">
        <f t="shared" si="2"/>
        <v>0</v>
      </c>
      <c r="I21" s="33" t="b">
        <f t="shared" si="3"/>
        <v>0</v>
      </c>
      <c r="J21" s="33" t="b">
        <f t="shared" si="4"/>
        <v>0</v>
      </c>
      <c r="K21" s="33">
        <f t="shared" si="8"/>
        <v>0</v>
      </c>
      <c r="L21" s="43"/>
      <c r="M21" s="43"/>
      <c r="N21" s="44"/>
      <c r="O21" s="44"/>
      <c r="P21" s="44"/>
      <c r="Q21" s="44"/>
      <c r="R21" s="36" t="str">
        <f t="shared" si="5"/>
        <v>--</v>
      </c>
      <c r="S21" s="45"/>
      <c r="T21" s="48"/>
      <c r="U21" s="45"/>
      <c r="V21" s="45"/>
      <c r="W21" s="45"/>
      <c r="X21" s="45"/>
      <c r="Y21" s="45"/>
      <c r="Z21" s="77"/>
    </row>
    <row r="22" spans="1:26" ht="16.5" hidden="1" thickTop="1" x14ac:dyDescent="0.25">
      <c r="A22" s="37">
        <v>42386</v>
      </c>
      <c r="B22" s="84">
        <f t="shared" si="6"/>
        <v>2</v>
      </c>
      <c r="C22" s="41"/>
      <c r="D22" s="41"/>
      <c r="E22" s="42"/>
      <c r="F22" s="33" t="str">
        <f t="shared" si="1"/>
        <v>--</v>
      </c>
      <c r="G22" s="88" t="b">
        <f t="shared" si="7"/>
        <v>1</v>
      </c>
      <c r="H22" s="33" t="b">
        <f t="shared" si="2"/>
        <v>0</v>
      </c>
      <c r="I22" s="33" t="b">
        <f t="shared" si="3"/>
        <v>0</v>
      </c>
      <c r="J22" s="33" t="b">
        <f t="shared" si="4"/>
        <v>0</v>
      </c>
      <c r="K22" s="33">
        <f t="shared" si="8"/>
        <v>0</v>
      </c>
      <c r="L22" s="43"/>
      <c r="M22" s="43"/>
      <c r="N22" s="44"/>
      <c r="O22" s="44"/>
      <c r="P22" s="44"/>
      <c r="Q22" s="44"/>
      <c r="R22" s="36" t="str">
        <f t="shared" si="5"/>
        <v>--</v>
      </c>
      <c r="S22" s="45"/>
      <c r="T22" s="48"/>
      <c r="U22" s="45"/>
      <c r="V22" s="45"/>
      <c r="W22" s="45"/>
      <c r="X22" s="45"/>
      <c r="Y22" s="45"/>
      <c r="Z22" s="77"/>
    </row>
    <row r="23" spans="1:26" ht="16.5" hidden="1" thickTop="1" x14ac:dyDescent="0.25">
      <c r="A23" s="37">
        <v>42387</v>
      </c>
      <c r="B23" s="84">
        <f t="shared" si="6"/>
        <v>3</v>
      </c>
      <c r="C23" s="41"/>
      <c r="D23" s="41">
        <v>3.125E-2</v>
      </c>
      <c r="E23" s="42"/>
      <c r="F23" s="33" t="str">
        <f t="shared" si="1"/>
        <v>--</v>
      </c>
      <c r="G23" s="88" t="b">
        <f t="shared" si="7"/>
        <v>0</v>
      </c>
      <c r="H23" s="33" t="b">
        <f t="shared" si="2"/>
        <v>0</v>
      </c>
      <c r="I23" s="33" t="b">
        <f t="shared" si="3"/>
        <v>0</v>
      </c>
      <c r="J23" s="33" t="b">
        <f t="shared" si="4"/>
        <v>0</v>
      </c>
      <c r="K23" s="33">
        <f t="shared" si="8"/>
        <v>0.33333333333333331</v>
      </c>
      <c r="L23" s="43"/>
      <c r="M23" s="43"/>
      <c r="N23" s="44"/>
      <c r="O23" s="44"/>
      <c r="P23" s="44"/>
      <c r="Q23" s="44"/>
      <c r="R23" s="36" t="str">
        <f t="shared" si="5"/>
        <v>--</v>
      </c>
      <c r="S23" s="45"/>
      <c r="T23" s="48"/>
      <c r="U23" s="45"/>
      <c r="V23" s="45"/>
      <c r="W23" s="45"/>
      <c r="X23" s="45"/>
      <c r="Y23" s="45"/>
      <c r="Z23" s="77"/>
    </row>
    <row r="24" spans="1:26" ht="16.5" hidden="1" thickTop="1" x14ac:dyDescent="0.25">
      <c r="A24" s="37">
        <v>42388</v>
      </c>
      <c r="B24" s="84">
        <f t="shared" si="6"/>
        <v>3</v>
      </c>
      <c r="C24" s="41"/>
      <c r="D24" s="41">
        <v>3.125E-2</v>
      </c>
      <c r="E24" s="42"/>
      <c r="F24" s="33" t="str">
        <f t="shared" si="1"/>
        <v>--</v>
      </c>
      <c r="G24" s="88" t="b">
        <f t="shared" si="7"/>
        <v>0</v>
      </c>
      <c r="H24" s="33" t="b">
        <f t="shared" si="2"/>
        <v>0</v>
      </c>
      <c r="I24" s="33" t="b">
        <f t="shared" si="3"/>
        <v>0</v>
      </c>
      <c r="J24" s="33" t="b">
        <f t="shared" si="4"/>
        <v>0</v>
      </c>
      <c r="K24" s="33">
        <f t="shared" si="8"/>
        <v>0.33333333333333331</v>
      </c>
      <c r="L24" s="43"/>
      <c r="M24" s="43"/>
      <c r="N24" s="44"/>
      <c r="O24" s="44"/>
      <c r="P24" s="44"/>
      <c r="Q24" s="44"/>
      <c r="R24" s="36" t="str">
        <f t="shared" si="5"/>
        <v>--</v>
      </c>
      <c r="S24" s="45"/>
      <c r="T24" s="48"/>
      <c r="U24" s="45"/>
      <c r="V24" s="45"/>
      <c r="W24" s="45"/>
      <c r="X24" s="45"/>
      <c r="Y24" s="45"/>
      <c r="Z24" s="77"/>
    </row>
    <row r="25" spans="1:26" ht="16.5" hidden="1" thickTop="1" x14ac:dyDescent="0.25">
      <c r="A25" s="37">
        <v>42389</v>
      </c>
      <c r="B25" s="84">
        <f t="shared" si="6"/>
        <v>3</v>
      </c>
      <c r="C25" s="41"/>
      <c r="D25" s="41">
        <v>3.125E-2</v>
      </c>
      <c r="E25" s="42"/>
      <c r="F25" s="33" t="str">
        <f t="shared" si="1"/>
        <v>--</v>
      </c>
      <c r="G25" s="88" t="b">
        <f t="shared" si="7"/>
        <v>0</v>
      </c>
      <c r="H25" s="33" t="b">
        <f t="shared" si="2"/>
        <v>0</v>
      </c>
      <c r="I25" s="33" t="b">
        <f t="shared" si="3"/>
        <v>0</v>
      </c>
      <c r="J25" s="33" t="b">
        <f t="shared" si="4"/>
        <v>0</v>
      </c>
      <c r="K25" s="33">
        <f t="shared" si="8"/>
        <v>0.33333333333333331</v>
      </c>
      <c r="L25" s="43"/>
      <c r="M25" s="43"/>
      <c r="N25" s="44"/>
      <c r="O25" s="44"/>
      <c r="P25" s="44"/>
      <c r="Q25" s="44"/>
      <c r="R25" s="36" t="str">
        <f t="shared" si="5"/>
        <v>--</v>
      </c>
      <c r="S25" s="45"/>
      <c r="T25" s="48"/>
      <c r="U25" s="45"/>
      <c r="V25" s="45"/>
      <c r="W25" s="45"/>
      <c r="X25" s="45"/>
      <c r="Y25" s="45"/>
      <c r="Z25" s="77"/>
    </row>
    <row r="26" spans="1:26" ht="16.5" hidden="1" thickTop="1" x14ac:dyDescent="0.25">
      <c r="A26" s="37">
        <v>42390</v>
      </c>
      <c r="B26" s="84">
        <f t="shared" si="6"/>
        <v>3</v>
      </c>
      <c r="C26" s="41"/>
      <c r="D26" s="41">
        <v>3.125E-2</v>
      </c>
      <c r="E26" s="42"/>
      <c r="F26" s="33" t="str">
        <f t="shared" si="1"/>
        <v>--</v>
      </c>
      <c r="G26" s="88" t="b">
        <f t="shared" si="7"/>
        <v>0</v>
      </c>
      <c r="H26" s="33" t="b">
        <f t="shared" si="2"/>
        <v>0</v>
      </c>
      <c r="I26" s="33" t="b">
        <f t="shared" si="3"/>
        <v>0</v>
      </c>
      <c r="J26" s="33" t="b">
        <f t="shared" si="4"/>
        <v>0</v>
      </c>
      <c r="K26" s="33">
        <f t="shared" si="8"/>
        <v>0.33333333333333331</v>
      </c>
      <c r="L26" s="43"/>
      <c r="M26" s="43"/>
      <c r="N26" s="44"/>
      <c r="O26" s="44"/>
      <c r="P26" s="44"/>
      <c r="Q26" s="44"/>
      <c r="R26" s="36" t="str">
        <f t="shared" si="5"/>
        <v>--</v>
      </c>
      <c r="S26" s="45"/>
      <c r="T26" s="48"/>
      <c r="U26" s="45"/>
      <c r="V26" s="45"/>
      <c r="W26" s="45"/>
      <c r="X26" s="45"/>
      <c r="Y26" s="45"/>
      <c r="Z26" s="77"/>
    </row>
    <row r="27" spans="1:26" ht="16.5" hidden="1" thickTop="1" x14ac:dyDescent="0.25">
      <c r="A27" s="37">
        <v>42391</v>
      </c>
      <c r="B27" s="84">
        <f t="shared" si="6"/>
        <v>3</v>
      </c>
      <c r="C27" s="41"/>
      <c r="D27" s="41">
        <v>3.125E-2</v>
      </c>
      <c r="E27" s="42"/>
      <c r="F27" s="33" t="str">
        <f t="shared" si="1"/>
        <v>--</v>
      </c>
      <c r="G27" s="88" t="b">
        <f t="shared" si="7"/>
        <v>0</v>
      </c>
      <c r="H27" s="33" t="b">
        <f t="shared" si="2"/>
        <v>0</v>
      </c>
      <c r="I27" s="33" t="b">
        <f t="shared" si="3"/>
        <v>0</v>
      </c>
      <c r="J27" s="33" t="b">
        <f t="shared" si="4"/>
        <v>0</v>
      </c>
      <c r="K27" s="33">
        <f t="shared" si="8"/>
        <v>0.33333333333333331</v>
      </c>
      <c r="L27" s="43"/>
      <c r="M27" s="43"/>
      <c r="N27" s="44"/>
      <c r="O27" s="44"/>
      <c r="P27" s="44"/>
      <c r="Q27" s="44"/>
      <c r="R27" s="36" t="str">
        <f t="shared" si="5"/>
        <v>--</v>
      </c>
      <c r="S27" s="45"/>
      <c r="T27" s="48"/>
      <c r="U27" s="45"/>
      <c r="V27" s="45"/>
      <c r="W27" s="45"/>
      <c r="X27" s="45"/>
      <c r="Y27" s="45"/>
      <c r="Z27" s="77"/>
    </row>
    <row r="28" spans="1:26" ht="16.5" hidden="1" thickTop="1" x14ac:dyDescent="0.25">
      <c r="A28" s="37">
        <v>42392</v>
      </c>
      <c r="B28" s="84">
        <f t="shared" si="6"/>
        <v>3</v>
      </c>
      <c r="C28" s="41"/>
      <c r="D28" s="41"/>
      <c r="E28" s="42"/>
      <c r="F28" s="33" t="str">
        <f t="shared" si="1"/>
        <v>--</v>
      </c>
      <c r="G28" s="88" t="b">
        <f t="shared" si="7"/>
        <v>1</v>
      </c>
      <c r="H28" s="33" t="b">
        <f t="shared" si="2"/>
        <v>0</v>
      </c>
      <c r="I28" s="33" t="b">
        <f t="shared" si="3"/>
        <v>0</v>
      </c>
      <c r="J28" s="33" t="b">
        <f t="shared" si="4"/>
        <v>0</v>
      </c>
      <c r="K28" s="33">
        <f t="shared" si="8"/>
        <v>0</v>
      </c>
      <c r="L28" s="43"/>
      <c r="M28" s="43"/>
      <c r="N28" s="44"/>
      <c r="O28" s="44"/>
      <c r="P28" s="44"/>
      <c r="Q28" s="44"/>
      <c r="R28" s="36" t="str">
        <f t="shared" si="5"/>
        <v>--</v>
      </c>
      <c r="S28" s="45"/>
      <c r="T28" s="48"/>
      <c r="U28" s="45"/>
      <c r="V28" s="45"/>
      <c r="W28" s="45"/>
      <c r="X28" s="45"/>
      <c r="Y28" s="45"/>
      <c r="Z28" s="77"/>
    </row>
    <row r="29" spans="1:26" ht="16.5" hidden="1" thickTop="1" x14ac:dyDescent="0.25">
      <c r="A29" s="37">
        <v>42393</v>
      </c>
      <c r="B29" s="84">
        <f t="shared" si="6"/>
        <v>3</v>
      </c>
      <c r="C29" s="41"/>
      <c r="D29" s="41"/>
      <c r="E29" s="42"/>
      <c r="F29" s="33" t="str">
        <f t="shared" si="1"/>
        <v>--</v>
      </c>
      <c r="G29" s="88" t="b">
        <f t="shared" si="7"/>
        <v>1</v>
      </c>
      <c r="H29" s="33" t="b">
        <f t="shared" si="2"/>
        <v>0</v>
      </c>
      <c r="I29" s="33" t="b">
        <f t="shared" si="3"/>
        <v>0</v>
      </c>
      <c r="J29" s="33" t="b">
        <f t="shared" si="4"/>
        <v>0</v>
      </c>
      <c r="K29" s="33">
        <f t="shared" si="8"/>
        <v>0</v>
      </c>
      <c r="L29" s="43"/>
      <c r="M29" s="43"/>
      <c r="N29" s="44"/>
      <c r="O29" s="44"/>
      <c r="P29" s="44"/>
      <c r="Q29" s="44"/>
      <c r="R29" s="36" t="str">
        <f t="shared" si="5"/>
        <v>--</v>
      </c>
      <c r="S29" s="45"/>
      <c r="T29" s="48"/>
      <c r="U29" s="45"/>
      <c r="V29" s="45"/>
      <c r="W29" s="45"/>
      <c r="X29" s="45"/>
      <c r="Y29" s="45"/>
      <c r="Z29" s="77"/>
    </row>
    <row r="30" spans="1:26" ht="16.5" hidden="1" thickTop="1" x14ac:dyDescent="0.25">
      <c r="A30" s="37">
        <v>42394</v>
      </c>
      <c r="B30" s="84">
        <f t="shared" si="6"/>
        <v>4</v>
      </c>
      <c r="C30" s="41"/>
      <c r="D30" s="41">
        <v>3.125E-2</v>
      </c>
      <c r="E30" s="42"/>
      <c r="F30" s="33" t="str">
        <f t="shared" si="1"/>
        <v>--</v>
      </c>
      <c r="G30" s="88" t="b">
        <f t="shared" si="7"/>
        <v>0</v>
      </c>
      <c r="H30" s="33" t="b">
        <f t="shared" si="2"/>
        <v>0</v>
      </c>
      <c r="I30" s="33" t="b">
        <f t="shared" si="3"/>
        <v>0</v>
      </c>
      <c r="J30" s="33" t="b">
        <f t="shared" si="4"/>
        <v>0</v>
      </c>
      <c r="K30" s="33">
        <f t="shared" si="8"/>
        <v>0.33333333333333331</v>
      </c>
      <c r="L30" s="43"/>
      <c r="M30" s="43"/>
      <c r="N30" s="44"/>
      <c r="O30" s="44"/>
      <c r="P30" s="44"/>
      <c r="Q30" s="44"/>
      <c r="R30" s="36" t="str">
        <f t="shared" si="5"/>
        <v>--</v>
      </c>
      <c r="S30" s="45"/>
      <c r="T30" s="48"/>
      <c r="U30" s="45"/>
      <c r="V30" s="45"/>
      <c r="W30" s="45"/>
      <c r="X30" s="45"/>
      <c r="Y30" s="45"/>
      <c r="Z30" s="77"/>
    </row>
    <row r="31" spans="1:26" ht="16.5" hidden="1" thickTop="1" x14ac:dyDescent="0.25">
      <c r="A31" s="37">
        <v>42395</v>
      </c>
      <c r="B31" s="84">
        <f t="shared" si="6"/>
        <v>4</v>
      </c>
      <c r="C31" s="41"/>
      <c r="D31" s="41">
        <v>3.125E-2</v>
      </c>
      <c r="E31" s="42"/>
      <c r="F31" s="33" t="str">
        <f t="shared" si="1"/>
        <v>--</v>
      </c>
      <c r="G31" s="88" t="b">
        <f t="shared" si="7"/>
        <v>0</v>
      </c>
      <c r="H31" s="33" t="b">
        <f t="shared" si="2"/>
        <v>0</v>
      </c>
      <c r="I31" s="33" t="b">
        <f t="shared" si="3"/>
        <v>0</v>
      </c>
      <c r="J31" s="33" t="b">
        <f t="shared" si="4"/>
        <v>0</v>
      </c>
      <c r="K31" s="33">
        <f t="shared" si="8"/>
        <v>0.33333333333333331</v>
      </c>
      <c r="L31" s="43"/>
      <c r="M31" s="43"/>
      <c r="N31" s="44"/>
      <c r="O31" s="44"/>
      <c r="P31" s="44"/>
      <c r="Q31" s="44"/>
      <c r="R31" s="36" t="str">
        <f t="shared" si="5"/>
        <v>--</v>
      </c>
      <c r="S31" s="45"/>
      <c r="T31" s="48"/>
      <c r="U31" s="45"/>
      <c r="V31" s="45"/>
      <c r="W31" s="45"/>
      <c r="X31" s="45"/>
      <c r="Y31" s="45"/>
      <c r="Z31" s="77"/>
    </row>
    <row r="32" spans="1:26" ht="16.5" hidden="1" thickTop="1" x14ac:dyDescent="0.25">
      <c r="A32" s="37">
        <v>42396</v>
      </c>
      <c r="B32" s="84">
        <f t="shared" si="6"/>
        <v>4</v>
      </c>
      <c r="C32" s="41"/>
      <c r="D32" s="41">
        <v>3.125E-2</v>
      </c>
      <c r="E32" s="42"/>
      <c r="F32" s="33" t="str">
        <f t="shared" si="1"/>
        <v>--</v>
      </c>
      <c r="G32" s="88" t="b">
        <f t="shared" si="7"/>
        <v>0</v>
      </c>
      <c r="H32" s="33" t="b">
        <f t="shared" si="2"/>
        <v>0</v>
      </c>
      <c r="I32" s="33" t="b">
        <f t="shared" si="3"/>
        <v>0</v>
      </c>
      <c r="J32" s="33" t="b">
        <f t="shared" si="4"/>
        <v>0</v>
      </c>
      <c r="K32" s="33">
        <f t="shared" si="8"/>
        <v>0.33333333333333331</v>
      </c>
      <c r="L32" s="43"/>
      <c r="M32" s="43"/>
      <c r="N32" s="44"/>
      <c r="O32" s="44"/>
      <c r="P32" s="44"/>
      <c r="Q32" s="44"/>
      <c r="R32" s="36" t="str">
        <f t="shared" si="5"/>
        <v>--</v>
      </c>
      <c r="S32" s="45"/>
      <c r="T32" s="48"/>
      <c r="U32" s="45"/>
      <c r="V32" s="45"/>
      <c r="W32" s="45"/>
      <c r="X32" s="45"/>
      <c r="Y32" s="45"/>
      <c r="Z32" s="77"/>
    </row>
    <row r="33" spans="1:26" ht="16.5" hidden="1" thickTop="1" x14ac:dyDescent="0.25">
      <c r="A33" s="37">
        <v>42397</v>
      </c>
      <c r="B33" s="84">
        <f t="shared" si="6"/>
        <v>4</v>
      </c>
      <c r="C33" s="41"/>
      <c r="D33" s="41">
        <v>3.125E-2</v>
      </c>
      <c r="E33" s="42"/>
      <c r="F33" s="33" t="str">
        <f t="shared" si="1"/>
        <v>--</v>
      </c>
      <c r="G33" s="88" t="b">
        <f t="shared" si="7"/>
        <v>0</v>
      </c>
      <c r="H33" s="33" t="b">
        <f t="shared" si="2"/>
        <v>0</v>
      </c>
      <c r="I33" s="33" t="b">
        <f t="shared" si="3"/>
        <v>0</v>
      </c>
      <c r="J33" s="33" t="b">
        <f t="shared" si="4"/>
        <v>0</v>
      </c>
      <c r="K33" s="33">
        <f t="shared" si="8"/>
        <v>0.33333333333333331</v>
      </c>
      <c r="L33" s="43"/>
      <c r="M33" s="43"/>
      <c r="N33" s="44"/>
      <c r="O33" s="44"/>
      <c r="P33" s="44"/>
      <c r="Q33" s="44"/>
      <c r="R33" s="36" t="str">
        <f t="shared" si="5"/>
        <v>--</v>
      </c>
      <c r="S33" s="45"/>
      <c r="T33" s="48"/>
      <c r="U33" s="45"/>
      <c r="V33" s="45"/>
      <c r="W33" s="45"/>
      <c r="X33" s="45"/>
      <c r="Y33" s="45"/>
      <c r="Z33" s="77"/>
    </row>
    <row r="34" spans="1:26" ht="16.5" hidden="1" thickTop="1" x14ac:dyDescent="0.25">
      <c r="A34" s="37">
        <v>42398</v>
      </c>
      <c r="B34" s="84">
        <f t="shared" si="6"/>
        <v>4</v>
      </c>
      <c r="C34" s="41"/>
      <c r="D34" s="41">
        <v>3.125E-2</v>
      </c>
      <c r="E34" s="42"/>
      <c r="F34" s="33" t="str">
        <f t="shared" si="1"/>
        <v>--</v>
      </c>
      <c r="G34" s="88" t="b">
        <f t="shared" si="7"/>
        <v>0</v>
      </c>
      <c r="H34" s="33" t="b">
        <f t="shared" si="2"/>
        <v>0</v>
      </c>
      <c r="I34" s="33" t="b">
        <f t="shared" si="3"/>
        <v>0</v>
      </c>
      <c r="J34" s="33" t="b">
        <f t="shared" si="4"/>
        <v>0</v>
      </c>
      <c r="K34" s="33">
        <f t="shared" si="8"/>
        <v>0.33333333333333331</v>
      </c>
      <c r="L34" s="43"/>
      <c r="M34" s="43"/>
      <c r="N34" s="44"/>
      <c r="O34" s="44"/>
      <c r="P34" s="44"/>
      <c r="Q34" s="44"/>
      <c r="R34" s="36" t="str">
        <f t="shared" si="5"/>
        <v>--</v>
      </c>
      <c r="S34" s="45"/>
      <c r="T34" s="48"/>
      <c r="U34" s="45"/>
      <c r="V34" s="45"/>
      <c r="W34" s="45"/>
      <c r="X34" s="45"/>
      <c r="Y34" s="45"/>
      <c r="Z34" s="77"/>
    </row>
    <row r="35" spans="1:26" ht="16.5" hidden="1" thickTop="1" x14ac:dyDescent="0.25">
      <c r="A35" s="37">
        <v>42399</v>
      </c>
      <c r="B35" s="84">
        <f t="shared" si="6"/>
        <v>4</v>
      </c>
      <c r="C35" s="41"/>
      <c r="D35" s="41"/>
      <c r="E35" s="42"/>
      <c r="F35" s="33" t="str">
        <f t="shared" si="1"/>
        <v>--</v>
      </c>
      <c r="G35" s="88" t="b">
        <f t="shared" si="7"/>
        <v>1</v>
      </c>
      <c r="H35" s="33" t="b">
        <f t="shared" si="2"/>
        <v>0</v>
      </c>
      <c r="I35" s="33" t="b">
        <f t="shared" si="3"/>
        <v>0</v>
      </c>
      <c r="J35" s="33" t="b">
        <f t="shared" si="4"/>
        <v>0</v>
      </c>
      <c r="K35" s="33">
        <f t="shared" si="8"/>
        <v>0</v>
      </c>
      <c r="L35" s="43"/>
      <c r="M35" s="43"/>
      <c r="N35" s="44"/>
      <c r="O35" s="44"/>
      <c r="P35" s="44"/>
      <c r="Q35" s="44"/>
      <c r="R35" s="36" t="str">
        <f t="shared" si="5"/>
        <v>--</v>
      </c>
      <c r="S35" s="45"/>
      <c r="T35" s="48"/>
      <c r="U35" s="45"/>
      <c r="V35" s="45"/>
      <c r="W35" s="45"/>
      <c r="X35" s="45"/>
      <c r="Y35" s="45"/>
      <c r="Z35" s="77"/>
    </row>
    <row r="36" spans="1:26" ht="16.5" hidden="1" thickTop="1" x14ac:dyDescent="0.25">
      <c r="A36" s="37">
        <v>42400</v>
      </c>
      <c r="B36" s="84">
        <f t="shared" si="6"/>
        <v>4</v>
      </c>
      <c r="C36" s="41"/>
      <c r="D36" s="41"/>
      <c r="E36" s="42"/>
      <c r="F36" s="33" t="str">
        <f t="shared" si="1"/>
        <v>--</v>
      </c>
      <c r="G36" s="88" t="b">
        <f t="shared" si="7"/>
        <v>1</v>
      </c>
      <c r="H36" s="33" t="b">
        <f t="shared" si="2"/>
        <v>0</v>
      </c>
      <c r="I36" s="33" t="b">
        <f t="shared" si="3"/>
        <v>0</v>
      </c>
      <c r="J36" s="33" t="b">
        <f t="shared" si="4"/>
        <v>0</v>
      </c>
      <c r="K36" s="33">
        <f t="shared" si="8"/>
        <v>0</v>
      </c>
      <c r="L36" s="43"/>
      <c r="M36" s="43"/>
      <c r="N36" s="44"/>
      <c r="O36" s="44"/>
      <c r="P36" s="44"/>
      <c r="Q36" s="44"/>
      <c r="R36" s="36" t="str">
        <f t="shared" si="5"/>
        <v>--</v>
      </c>
      <c r="S36" s="45"/>
      <c r="T36" s="48"/>
      <c r="U36" s="45"/>
      <c r="V36" s="45"/>
      <c r="W36" s="45"/>
      <c r="X36" s="45"/>
      <c r="Y36" s="45"/>
      <c r="Z36" s="77"/>
    </row>
    <row r="37" spans="1:26" ht="16.5" hidden="1" thickTop="1" x14ac:dyDescent="0.25">
      <c r="A37" s="37">
        <v>42401</v>
      </c>
      <c r="B37" s="84">
        <f t="shared" si="6"/>
        <v>5</v>
      </c>
      <c r="C37" s="41"/>
      <c r="D37" s="41">
        <v>3.125E-2</v>
      </c>
      <c r="E37" s="42"/>
      <c r="F37" s="33" t="str">
        <f t="shared" si="1"/>
        <v>--</v>
      </c>
      <c r="G37" s="88" t="b">
        <f t="shared" si="7"/>
        <v>0</v>
      </c>
      <c r="H37" s="33" t="b">
        <f t="shared" si="2"/>
        <v>0</v>
      </c>
      <c r="I37" s="33" t="b">
        <f t="shared" si="3"/>
        <v>0</v>
      </c>
      <c r="J37" s="33" t="b">
        <f t="shared" si="4"/>
        <v>0</v>
      </c>
      <c r="K37" s="33">
        <f t="shared" si="8"/>
        <v>0.33333333333333331</v>
      </c>
      <c r="L37" s="43"/>
      <c r="M37" s="43"/>
      <c r="N37" s="44"/>
      <c r="O37" s="44"/>
      <c r="P37" s="44"/>
      <c r="Q37" s="44"/>
      <c r="R37" s="36" t="str">
        <f t="shared" si="5"/>
        <v>--</v>
      </c>
      <c r="S37" s="45"/>
      <c r="T37" s="48"/>
      <c r="U37" s="45"/>
      <c r="V37" s="45"/>
      <c r="W37" s="45"/>
      <c r="X37" s="45"/>
      <c r="Y37" s="45"/>
      <c r="Z37" s="77"/>
    </row>
    <row r="38" spans="1:26" ht="16.5" hidden="1" thickTop="1" x14ac:dyDescent="0.25">
      <c r="A38" s="37">
        <v>42402</v>
      </c>
      <c r="B38" s="84">
        <f t="shared" si="6"/>
        <v>5</v>
      </c>
      <c r="C38" s="41"/>
      <c r="D38" s="41">
        <v>3.125E-2</v>
      </c>
      <c r="E38" s="42"/>
      <c r="F38" s="33" t="str">
        <f t="shared" si="1"/>
        <v>--</v>
      </c>
      <c r="G38" s="88" t="b">
        <f t="shared" si="7"/>
        <v>0</v>
      </c>
      <c r="H38" s="33" t="b">
        <f t="shared" si="2"/>
        <v>0</v>
      </c>
      <c r="I38" s="33" t="b">
        <f t="shared" si="3"/>
        <v>0</v>
      </c>
      <c r="J38" s="33" t="b">
        <f t="shared" si="4"/>
        <v>0</v>
      </c>
      <c r="K38" s="33">
        <f t="shared" si="8"/>
        <v>0.33333333333333331</v>
      </c>
      <c r="L38" s="43"/>
      <c r="M38" s="43"/>
      <c r="N38" s="44"/>
      <c r="O38" s="44"/>
      <c r="P38" s="44"/>
      <c r="Q38" s="44"/>
      <c r="R38" s="36" t="str">
        <f t="shared" si="5"/>
        <v>--</v>
      </c>
      <c r="S38" s="45"/>
      <c r="T38" s="48"/>
      <c r="U38" s="45"/>
      <c r="V38" s="45"/>
      <c r="W38" s="45"/>
      <c r="X38" s="45"/>
      <c r="Y38" s="45"/>
      <c r="Z38" s="77"/>
    </row>
    <row r="39" spans="1:26" ht="16.5" hidden="1" thickTop="1" x14ac:dyDescent="0.25">
      <c r="A39" s="37">
        <v>42403</v>
      </c>
      <c r="B39" s="84">
        <f t="shared" si="6"/>
        <v>5</v>
      </c>
      <c r="C39" s="41"/>
      <c r="D39" s="41">
        <v>3.125E-2</v>
      </c>
      <c r="E39" s="42"/>
      <c r="F39" s="33" t="str">
        <f t="shared" si="1"/>
        <v>--</v>
      </c>
      <c r="G39" s="88" t="b">
        <f t="shared" si="7"/>
        <v>0</v>
      </c>
      <c r="H39" s="33" t="b">
        <f t="shared" si="2"/>
        <v>0</v>
      </c>
      <c r="I39" s="33" t="b">
        <f t="shared" si="3"/>
        <v>0</v>
      </c>
      <c r="J39" s="33" t="b">
        <f t="shared" si="4"/>
        <v>0</v>
      </c>
      <c r="K39" s="33">
        <f t="shared" si="8"/>
        <v>0.33333333333333331</v>
      </c>
      <c r="L39" s="43"/>
      <c r="M39" s="43"/>
      <c r="N39" s="44"/>
      <c r="O39" s="44"/>
      <c r="P39" s="44"/>
      <c r="Q39" s="44"/>
      <c r="R39" s="36" t="str">
        <f t="shared" si="5"/>
        <v>--</v>
      </c>
      <c r="S39" s="45"/>
      <c r="T39" s="48"/>
      <c r="U39" s="45"/>
      <c r="V39" s="45"/>
      <c r="W39" s="45"/>
      <c r="X39" s="45"/>
      <c r="Y39" s="45"/>
      <c r="Z39" s="77"/>
    </row>
    <row r="40" spans="1:26" ht="16.5" hidden="1" thickTop="1" x14ac:dyDescent="0.25">
      <c r="A40" s="37">
        <v>42404</v>
      </c>
      <c r="B40" s="84">
        <f t="shared" si="6"/>
        <v>5</v>
      </c>
      <c r="C40" s="41"/>
      <c r="D40" s="41">
        <v>3.125E-2</v>
      </c>
      <c r="E40" s="42"/>
      <c r="F40" s="33" t="str">
        <f t="shared" si="1"/>
        <v>--</v>
      </c>
      <c r="G40" s="88" t="b">
        <f t="shared" si="7"/>
        <v>0</v>
      </c>
      <c r="H40" s="33" t="b">
        <f t="shared" si="2"/>
        <v>0</v>
      </c>
      <c r="I40" s="33" t="b">
        <f t="shared" si="3"/>
        <v>0</v>
      </c>
      <c r="J40" s="33" t="b">
        <f t="shared" si="4"/>
        <v>0</v>
      </c>
      <c r="K40" s="33">
        <f t="shared" si="8"/>
        <v>0.33333333333333331</v>
      </c>
      <c r="L40" s="43"/>
      <c r="M40" s="43"/>
      <c r="N40" s="44"/>
      <c r="O40" s="44"/>
      <c r="P40" s="44"/>
      <c r="Q40" s="44"/>
      <c r="R40" s="36" t="str">
        <f t="shared" si="5"/>
        <v>--</v>
      </c>
      <c r="S40" s="45"/>
      <c r="T40" s="48"/>
      <c r="U40" s="45"/>
      <c r="V40" s="45"/>
      <c r="W40" s="45"/>
      <c r="X40" s="45"/>
      <c r="Y40" s="45"/>
      <c r="Z40" s="77"/>
    </row>
    <row r="41" spans="1:26" ht="16.5" hidden="1" thickTop="1" x14ac:dyDescent="0.25">
      <c r="A41" s="37">
        <v>42405</v>
      </c>
      <c r="B41" s="84">
        <f t="shared" si="6"/>
        <v>5</v>
      </c>
      <c r="C41" s="41"/>
      <c r="D41" s="41">
        <v>3.125E-2</v>
      </c>
      <c r="E41" s="42"/>
      <c r="F41" s="33" t="str">
        <f t="shared" si="1"/>
        <v>--</v>
      </c>
      <c r="G41" s="88" t="b">
        <f t="shared" si="7"/>
        <v>0</v>
      </c>
      <c r="H41" s="33" t="b">
        <f t="shared" si="2"/>
        <v>0</v>
      </c>
      <c r="I41" s="33" t="b">
        <f t="shared" si="3"/>
        <v>0</v>
      </c>
      <c r="J41" s="33" t="b">
        <f t="shared" si="4"/>
        <v>0</v>
      </c>
      <c r="K41" s="33">
        <f t="shared" si="8"/>
        <v>0.33333333333333331</v>
      </c>
      <c r="L41" s="43"/>
      <c r="M41" s="43"/>
      <c r="N41" s="44"/>
      <c r="O41" s="44"/>
      <c r="P41" s="44"/>
      <c r="Q41" s="44"/>
      <c r="R41" s="36" t="str">
        <f t="shared" si="5"/>
        <v>--</v>
      </c>
      <c r="S41" s="45"/>
      <c r="T41" s="48"/>
      <c r="U41" s="45"/>
      <c r="V41" s="45"/>
      <c r="W41" s="45"/>
      <c r="X41" s="45"/>
      <c r="Y41" s="45"/>
      <c r="Z41" s="77"/>
    </row>
    <row r="42" spans="1:26" ht="16.5" hidden="1" thickTop="1" x14ac:dyDescent="0.25">
      <c r="A42" s="37">
        <v>42406</v>
      </c>
      <c r="B42" s="84">
        <f t="shared" si="6"/>
        <v>5</v>
      </c>
      <c r="C42" s="41"/>
      <c r="D42" s="41"/>
      <c r="E42" s="42"/>
      <c r="F42" s="33" t="str">
        <f t="shared" si="1"/>
        <v>--</v>
      </c>
      <c r="G42" s="88" t="b">
        <f t="shared" si="7"/>
        <v>1</v>
      </c>
      <c r="H42" s="33" t="b">
        <f t="shared" si="2"/>
        <v>0</v>
      </c>
      <c r="I42" s="33" t="b">
        <f t="shared" si="3"/>
        <v>0</v>
      </c>
      <c r="J42" s="33" t="b">
        <f t="shared" si="4"/>
        <v>0</v>
      </c>
      <c r="K42" s="33">
        <f t="shared" si="8"/>
        <v>0</v>
      </c>
      <c r="L42" s="43"/>
      <c r="M42" s="43"/>
      <c r="N42" s="44"/>
      <c r="O42" s="44"/>
      <c r="P42" s="44"/>
      <c r="Q42" s="44"/>
      <c r="R42" s="36" t="str">
        <f t="shared" si="5"/>
        <v>--</v>
      </c>
      <c r="S42" s="45"/>
      <c r="T42" s="48"/>
      <c r="U42" s="45"/>
      <c r="V42" s="45"/>
      <c r="W42" s="45"/>
      <c r="X42" s="45"/>
      <c r="Y42" s="45"/>
      <c r="Z42" s="77"/>
    </row>
    <row r="43" spans="1:26" ht="16.5" hidden="1" thickTop="1" x14ac:dyDescent="0.25">
      <c r="A43" s="37">
        <v>42407</v>
      </c>
      <c r="B43" s="84">
        <f t="shared" si="6"/>
        <v>5</v>
      </c>
      <c r="C43" s="41"/>
      <c r="D43" s="41"/>
      <c r="E43" s="42"/>
      <c r="F43" s="33" t="str">
        <f t="shared" si="1"/>
        <v>--</v>
      </c>
      <c r="G43" s="88" t="b">
        <f t="shared" si="7"/>
        <v>1</v>
      </c>
      <c r="H43" s="33" t="b">
        <f t="shared" si="2"/>
        <v>0</v>
      </c>
      <c r="I43" s="33" t="b">
        <f t="shared" si="3"/>
        <v>0</v>
      </c>
      <c r="J43" s="33" t="b">
        <f t="shared" si="4"/>
        <v>0</v>
      </c>
      <c r="K43" s="33">
        <f t="shared" si="8"/>
        <v>0</v>
      </c>
      <c r="L43" s="43"/>
      <c r="M43" s="43"/>
      <c r="N43" s="44"/>
      <c r="O43" s="44"/>
      <c r="P43" s="44"/>
      <c r="Q43" s="44"/>
      <c r="R43" s="36" t="str">
        <f t="shared" si="5"/>
        <v>--</v>
      </c>
      <c r="S43" s="45"/>
      <c r="T43" s="48"/>
      <c r="U43" s="45"/>
      <c r="V43" s="45"/>
      <c r="W43" s="45"/>
      <c r="X43" s="45"/>
      <c r="Y43" s="45"/>
      <c r="Z43" s="77"/>
    </row>
    <row r="44" spans="1:26" ht="16.5" hidden="1" thickTop="1" x14ac:dyDescent="0.25">
      <c r="A44" s="37">
        <v>42408</v>
      </c>
      <c r="B44" s="84">
        <f t="shared" si="6"/>
        <v>6</v>
      </c>
      <c r="C44" s="41"/>
      <c r="D44" s="41">
        <v>3.125E-2</v>
      </c>
      <c r="E44" s="42"/>
      <c r="F44" s="33" t="str">
        <f t="shared" si="1"/>
        <v>--</v>
      </c>
      <c r="G44" s="88" t="b">
        <f t="shared" si="7"/>
        <v>0</v>
      </c>
      <c r="H44" s="33" t="b">
        <f t="shared" si="2"/>
        <v>0</v>
      </c>
      <c r="I44" s="33" t="b">
        <f t="shared" si="3"/>
        <v>0</v>
      </c>
      <c r="J44" s="33" t="b">
        <f t="shared" si="4"/>
        <v>0</v>
      </c>
      <c r="K44" s="33">
        <f t="shared" si="8"/>
        <v>0.33333333333333331</v>
      </c>
      <c r="L44" s="43"/>
      <c r="M44" s="43"/>
      <c r="N44" s="44"/>
      <c r="O44" s="44"/>
      <c r="P44" s="44"/>
      <c r="Q44" s="44"/>
      <c r="R44" s="36" t="str">
        <f t="shared" si="5"/>
        <v>--</v>
      </c>
      <c r="S44" s="45"/>
      <c r="T44" s="48"/>
      <c r="U44" s="45"/>
      <c r="V44" s="45"/>
      <c r="W44" s="45"/>
      <c r="X44" s="45"/>
      <c r="Y44" s="45"/>
      <c r="Z44" s="77"/>
    </row>
    <row r="45" spans="1:26" ht="16.5" hidden="1" thickTop="1" x14ac:dyDescent="0.25">
      <c r="A45" s="37">
        <v>42409</v>
      </c>
      <c r="B45" s="84">
        <f t="shared" si="6"/>
        <v>6</v>
      </c>
      <c r="C45" s="41"/>
      <c r="D45" s="41">
        <v>3.125E-2</v>
      </c>
      <c r="E45" s="42"/>
      <c r="F45" s="33" t="str">
        <f t="shared" si="1"/>
        <v>--</v>
      </c>
      <c r="G45" s="88" t="b">
        <f t="shared" si="7"/>
        <v>0</v>
      </c>
      <c r="H45" s="33" t="b">
        <f t="shared" si="2"/>
        <v>0</v>
      </c>
      <c r="I45" s="33" t="b">
        <f t="shared" si="3"/>
        <v>0</v>
      </c>
      <c r="J45" s="33" t="b">
        <f t="shared" si="4"/>
        <v>0</v>
      </c>
      <c r="K45" s="33">
        <f t="shared" si="8"/>
        <v>0.33333333333333331</v>
      </c>
      <c r="L45" s="43"/>
      <c r="M45" s="43"/>
      <c r="N45" s="44"/>
      <c r="O45" s="44"/>
      <c r="P45" s="44"/>
      <c r="Q45" s="44"/>
      <c r="R45" s="36" t="str">
        <f t="shared" si="5"/>
        <v>--</v>
      </c>
      <c r="S45" s="45"/>
      <c r="T45" s="48"/>
      <c r="U45" s="45"/>
      <c r="V45" s="45"/>
      <c r="W45" s="45"/>
      <c r="X45" s="45"/>
      <c r="Y45" s="45"/>
      <c r="Z45" s="77"/>
    </row>
    <row r="46" spans="1:26" ht="16.5" hidden="1" thickTop="1" x14ac:dyDescent="0.25">
      <c r="A46" s="37">
        <v>42410</v>
      </c>
      <c r="B46" s="84">
        <f t="shared" si="6"/>
        <v>6</v>
      </c>
      <c r="C46" s="41"/>
      <c r="D46" s="41">
        <v>3.125E-2</v>
      </c>
      <c r="E46" s="42"/>
      <c r="F46" s="33" t="str">
        <f t="shared" si="1"/>
        <v>--</v>
      </c>
      <c r="G46" s="88" t="b">
        <f t="shared" si="7"/>
        <v>0</v>
      </c>
      <c r="H46" s="33" t="b">
        <f t="shared" si="2"/>
        <v>0</v>
      </c>
      <c r="I46" s="33" t="b">
        <f t="shared" si="3"/>
        <v>0</v>
      </c>
      <c r="J46" s="33" t="b">
        <f t="shared" si="4"/>
        <v>0</v>
      </c>
      <c r="K46" s="33">
        <f t="shared" si="8"/>
        <v>0.33333333333333331</v>
      </c>
      <c r="L46" s="43"/>
      <c r="M46" s="43"/>
      <c r="N46" s="44"/>
      <c r="O46" s="44"/>
      <c r="P46" s="44"/>
      <c r="Q46" s="44"/>
      <c r="R46" s="36" t="str">
        <f t="shared" si="5"/>
        <v>--</v>
      </c>
      <c r="S46" s="45"/>
      <c r="T46" s="48"/>
      <c r="U46" s="45"/>
      <c r="V46" s="45"/>
      <c r="W46" s="45"/>
      <c r="X46" s="45"/>
      <c r="Y46" s="45"/>
      <c r="Z46" s="77"/>
    </row>
    <row r="47" spans="1:26" ht="16.5" hidden="1" thickTop="1" x14ac:dyDescent="0.25">
      <c r="A47" s="37">
        <v>42411</v>
      </c>
      <c r="B47" s="84">
        <f t="shared" si="6"/>
        <v>6</v>
      </c>
      <c r="C47" s="41"/>
      <c r="D47" s="41">
        <v>3.125E-2</v>
      </c>
      <c r="E47" s="42"/>
      <c r="F47" s="33" t="str">
        <f t="shared" si="1"/>
        <v>--</v>
      </c>
      <c r="G47" s="88" t="b">
        <f t="shared" si="7"/>
        <v>0</v>
      </c>
      <c r="H47" s="33" t="b">
        <f t="shared" si="2"/>
        <v>0</v>
      </c>
      <c r="I47" s="33" t="b">
        <f t="shared" si="3"/>
        <v>0</v>
      </c>
      <c r="J47" s="33" t="b">
        <f t="shared" si="4"/>
        <v>0</v>
      </c>
      <c r="K47" s="33">
        <f t="shared" si="8"/>
        <v>0.33333333333333331</v>
      </c>
      <c r="L47" s="43"/>
      <c r="M47" s="43"/>
      <c r="N47" s="44"/>
      <c r="O47" s="44"/>
      <c r="P47" s="44"/>
      <c r="Q47" s="44"/>
      <c r="R47" s="36" t="str">
        <f t="shared" si="5"/>
        <v>--</v>
      </c>
      <c r="S47" s="45"/>
      <c r="T47" s="48"/>
      <c r="U47" s="45"/>
      <c r="V47" s="45"/>
      <c r="W47" s="45"/>
      <c r="X47" s="45"/>
      <c r="Y47" s="45"/>
      <c r="Z47" s="77"/>
    </row>
    <row r="48" spans="1:26" ht="16.5" hidden="1" thickTop="1" x14ac:dyDescent="0.25">
      <c r="A48" s="37">
        <v>42412</v>
      </c>
      <c r="B48" s="84">
        <f t="shared" si="6"/>
        <v>6</v>
      </c>
      <c r="C48" s="41"/>
      <c r="D48" s="41">
        <v>3.125E-2</v>
      </c>
      <c r="E48" s="42"/>
      <c r="F48" s="33" t="str">
        <f t="shared" si="1"/>
        <v>--</v>
      </c>
      <c r="G48" s="88" t="b">
        <f t="shared" si="7"/>
        <v>0</v>
      </c>
      <c r="H48" s="33" t="b">
        <f t="shared" si="2"/>
        <v>0</v>
      </c>
      <c r="I48" s="33" t="b">
        <f t="shared" si="3"/>
        <v>0</v>
      </c>
      <c r="J48" s="33" t="b">
        <f t="shared" si="4"/>
        <v>0</v>
      </c>
      <c r="K48" s="33">
        <f t="shared" si="8"/>
        <v>0.33333333333333331</v>
      </c>
      <c r="L48" s="43"/>
      <c r="M48" s="43"/>
      <c r="N48" s="44"/>
      <c r="O48" s="44"/>
      <c r="P48" s="44"/>
      <c r="Q48" s="44"/>
      <c r="R48" s="36" t="str">
        <f t="shared" si="5"/>
        <v>--</v>
      </c>
      <c r="S48" s="45"/>
      <c r="T48" s="48"/>
      <c r="U48" s="45"/>
      <c r="V48" s="45"/>
      <c r="W48" s="45"/>
      <c r="X48" s="45"/>
      <c r="Y48" s="45"/>
      <c r="Z48" s="77"/>
    </row>
    <row r="49" spans="1:26" ht="16.5" hidden="1" thickTop="1" x14ac:dyDescent="0.25">
      <c r="A49" s="37">
        <v>42413</v>
      </c>
      <c r="B49" s="84">
        <f t="shared" si="6"/>
        <v>6</v>
      </c>
      <c r="C49" s="41"/>
      <c r="D49" s="41"/>
      <c r="E49" s="42"/>
      <c r="F49" s="33" t="str">
        <f t="shared" si="1"/>
        <v>--</v>
      </c>
      <c r="G49" s="88" t="b">
        <f t="shared" si="7"/>
        <v>1</v>
      </c>
      <c r="H49" s="33" t="b">
        <f t="shared" si="2"/>
        <v>0</v>
      </c>
      <c r="I49" s="33" t="b">
        <f t="shared" si="3"/>
        <v>0</v>
      </c>
      <c r="J49" s="33" t="b">
        <f t="shared" si="4"/>
        <v>0</v>
      </c>
      <c r="K49" s="33">
        <f t="shared" si="8"/>
        <v>0</v>
      </c>
      <c r="L49" s="43"/>
      <c r="M49" s="43"/>
      <c r="N49" s="44"/>
      <c r="O49" s="44"/>
      <c r="P49" s="44"/>
      <c r="Q49" s="44"/>
      <c r="R49" s="36" t="str">
        <f t="shared" si="5"/>
        <v>--</v>
      </c>
      <c r="S49" s="45"/>
      <c r="T49" s="48"/>
      <c r="U49" s="45"/>
      <c r="V49" s="45"/>
      <c r="W49" s="45"/>
      <c r="X49" s="45"/>
      <c r="Y49" s="45"/>
      <c r="Z49" s="77"/>
    </row>
    <row r="50" spans="1:26" ht="16.5" hidden="1" thickTop="1" x14ac:dyDescent="0.25">
      <c r="A50" s="37">
        <v>42414</v>
      </c>
      <c r="B50" s="84">
        <f t="shared" si="6"/>
        <v>6</v>
      </c>
      <c r="C50" s="41"/>
      <c r="D50" s="41"/>
      <c r="E50" s="42"/>
      <c r="F50" s="33" t="str">
        <f t="shared" si="1"/>
        <v>--</v>
      </c>
      <c r="G50" s="88" t="b">
        <f t="shared" si="7"/>
        <v>1</v>
      </c>
      <c r="H50" s="33" t="b">
        <f t="shared" si="2"/>
        <v>0</v>
      </c>
      <c r="I50" s="33" t="b">
        <f t="shared" si="3"/>
        <v>0</v>
      </c>
      <c r="J50" s="33" t="b">
        <f t="shared" si="4"/>
        <v>0</v>
      </c>
      <c r="K50" s="33">
        <f t="shared" si="8"/>
        <v>0</v>
      </c>
      <c r="L50" s="43"/>
      <c r="M50" s="43"/>
      <c r="N50" s="44"/>
      <c r="O50" s="44"/>
      <c r="P50" s="44"/>
      <c r="Q50" s="44"/>
      <c r="R50" s="36" t="str">
        <f t="shared" si="5"/>
        <v>--</v>
      </c>
      <c r="S50" s="45"/>
      <c r="T50" s="48"/>
      <c r="U50" s="45"/>
      <c r="V50" s="45"/>
      <c r="W50" s="45"/>
      <c r="X50" s="45"/>
      <c r="Y50" s="45"/>
      <c r="Z50" s="77"/>
    </row>
    <row r="51" spans="1:26" ht="16.5" hidden="1" thickTop="1" x14ac:dyDescent="0.25">
      <c r="A51" s="37">
        <v>42415</v>
      </c>
      <c r="B51" s="84">
        <f t="shared" si="6"/>
        <v>7</v>
      </c>
      <c r="C51" s="41"/>
      <c r="D51" s="41">
        <v>3.125E-2</v>
      </c>
      <c r="E51" s="42"/>
      <c r="F51" s="33" t="str">
        <f t="shared" si="1"/>
        <v>--</v>
      </c>
      <c r="G51" s="88" t="b">
        <f t="shared" si="7"/>
        <v>0</v>
      </c>
      <c r="H51" s="33" t="b">
        <f t="shared" si="2"/>
        <v>0</v>
      </c>
      <c r="I51" s="33" t="b">
        <f t="shared" si="3"/>
        <v>0</v>
      </c>
      <c r="J51" s="33" t="b">
        <f t="shared" si="4"/>
        <v>0</v>
      </c>
      <c r="K51" s="33">
        <f t="shared" si="8"/>
        <v>0.33333333333333331</v>
      </c>
      <c r="L51" s="43"/>
      <c r="M51" s="43"/>
      <c r="N51" s="44"/>
      <c r="O51" s="44"/>
      <c r="P51" s="44"/>
      <c r="Q51" s="44"/>
      <c r="R51" s="36" t="str">
        <f t="shared" si="5"/>
        <v>--</v>
      </c>
      <c r="S51" s="45"/>
      <c r="T51" s="48"/>
      <c r="U51" s="45"/>
      <c r="V51" s="45"/>
      <c r="W51" s="45"/>
      <c r="X51" s="45"/>
      <c r="Y51" s="45"/>
      <c r="Z51" s="77"/>
    </row>
    <row r="52" spans="1:26" ht="16.5" hidden="1" thickTop="1" x14ac:dyDescent="0.25">
      <c r="A52" s="37">
        <v>42416</v>
      </c>
      <c r="B52" s="84">
        <f t="shared" si="6"/>
        <v>7</v>
      </c>
      <c r="C52" s="41"/>
      <c r="D52" s="41">
        <v>3.125E-2</v>
      </c>
      <c r="E52" s="42"/>
      <c r="F52" s="33" t="str">
        <f t="shared" si="1"/>
        <v>--</v>
      </c>
      <c r="G52" s="88" t="b">
        <f t="shared" si="7"/>
        <v>0</v>
      </c>
      <c r="H52" s="33" t="b">
        <f t="shared" si="2"/>
        <v>0</v>
      </c>
      <c r="I52" s="33" t="b">
        <f t="shared" si="3"/>
        <v>0</v>
      </c>
      <c r="J52" s="33" t="b">
        <f t="shared" si="4"/>
        <v>0</v>
      </c>
      <c r="K52" s="33">
        <f t="shared" si="8"/>
        <v>0.33333333333333331</v>
      </c>
      <c r="L52" s="43"/>
      <c r="M52" s="43"/>
      <c r="N52" s="44"/>
      <c r="O52" s="44"/>
      <c r="P52" s="44"/>
      <c r="Q52" s="44"/>
      <c r="R52" s="36" t="str">
        <f t="shared" si="5"/>
        <v>--</v>
      </c>
      <c r="S52" s="45"/>
      <c r="T52" s="48"/>
      <c r="U52" s="45"/>
      <c r="V52" s="45"/>
      <c r="W52" s="45"/>
      <c r="X52" s="45"/>
      <c r="Y52" s="45"/>
      <c r="Z52" s="77"/>
    </row>
    <row r="53" spans="1:26" ht="16.5" hidden="1" thickTop="1" x14ac:dyDescent="0.25">
      <c r="A53" s="37">
        <v>42417</v>
      </c>
      <c r="B53" s="84">
        <f t="shared" si="6"/>
        <v>7</v>
      </c>
      <c r="C53" s="41"/>
      <c r="D53" s="41">
        <v>3.125E-2</v>
      </c>
      <c r="E53" s="42"/>
      <c r="F53" s="33" t="str">
        <f t="shared" si="1"/>
        <v>--</v>
      </c>
      <c r="G53" s="88" t="b">
        <f t="shared" si="7"/>
        <v>0</v>
      </c>
      <c r="H53" s="33" t="b">
        <f t="shared" si="2"/>
        <v>0</v>
      </c>
      <c r="I53" s="33" t="b">
        <f t="shared" si="3"/>
        <v>0</v>
      </c>
      <c r="J53" s="33" t="b">
        <f t="shared" si="4"/>
        <v>0</v>
      </c>
      <c r="K53" s="33">
        <f t="shared" si="8"/>
        <v>0.33333333333333331</v>
      </c>
      <c r="L53" s="43"/>
      <c r="M53" s="43"/>
      <c r="N53" s="44"/>
      <c r="O53" s="44"/>
      <c r="P53" s="44"/>
      <c r="Q53" s="44"/>
      <c r="R53" s="36" t="str">
        <f t="shared" si="5"/>
        <v>--</v>
      </c>
      <c r="S53" s="45"/>
      <c r="T53" s="48"/>
      <c r="U53" s="45"/>
      <c r="V53" s="45"/>
      <c r="W53" s="45"/>
      <c r="X53" s="45"/>
      <c r="Y53" s="45"/>
      <c r="Z53" s="77"/>
    </row>
    <row r="54" spans="1:26" ht="16.5" hidden="1" thickTop="1" x14ac:dyDescent="0.25">
      <c r="A54" s="37">
        <v>42418</v>
      </c>
      <c r="B54" s="84">
        <f t="shared" si="6"/>
        <v>7</v>
      </c>
      <c r="C54" s="41"/>
      <c r="D54" s="41">
        <v>3.125E-2</v>
      </c>
      <c r="E54" s="42"/>
      <c r="F54" s="33" t="str">
        <f t="shared" ref="F54:F64" si="9">IF(E54-C54&lt;=0,"--",E54-D54-C54)</f>
        <v>--</v>
      </c>
      <c r="G54" s="88" t="b">
        <f t="shared" si="7"/>
        <v>0</v>
      </c>
      <c r="H54" s="33" t="b">
        <f t="shared" si="2"/>
        <v>0</v>
      </c>
      <c r="I54" s="33" t="b">
        <f t="shared" si="3"/>
        <v>0</v>
      </c>
      <c r="J54" s="33" t="b">
        <f t="shared" si="4"/>
        <v>0</v>
      </c>
      <c r="K54" s="33">
        <f t="shared" si="8"/>
        <v>0.33333333333333331</v>
      </c>
      <c r="L54" s="43"/>
      <c r="M54" s="43"/>
      <c r="N54" s="44"/>
      <c r="O54" s="44"/>
      <c r="P54" s="44"/>
      <c r="Q54" s="44"/>
      <c r="R54" s="36" t="str">
        <f t="shared" si="5"/>
        <v>--</v>
      </c>
      <c r="S54" s="45"/>
      <c r="T54" s="48"/>
      <c r="U54" s="45"/>
      <c r="V54" s="45"/>
      <c r="W54" s="45"/>
      <c r="X54" s="45"/>
      <c r="Y54" s="45"/>
      <c r="Z54" s="77"/>
    </row>
    <row r="55" spans="1:26" ht="16.5" hidden="1" thickTop="1" x14ac:dyDescent="0.25">
      <c r="A55" s="37">
        <v>42419</v>
      </c>
      <c r="B55" s="84">
        <f t="shared" si="6"/>
        <v>7</v>
      </c>
      <c r="C55" s="41"/>
      <c r="D55" s="41">
        <v>3.125E-2</v>
      </c>
      <c r="E55" s="42"/>
      <c r="F55" s="33" t="str">
        <f t="shared" si="9"/>
        <v>--</v>
      </c>
      <c r="G55" s="88" t="b">
        <f t="shared" si="7"/>
        <v>0</v>
      </c>
      <c r="H55" s="33" t="b">
        <f t="shared" si="2"/>
        <v>0</v>
      </c>
      <c r="I55" s="33" t="b">
        <f t="shared" si="3"/>
        <v>0</v>
      </c>
      <c r="J55" s="33" t="b">
        <f t="shared" si="4"/>
        <v>0</v>
      </c>
      <c r="K55" s="33">
        <f t="shared" si="8"/>
        <v>0.33333333333333331</v>
      </c>
      <c r="L55" s="43"/>
      <c r="M55" s="43"/>
      <c r="N55" s="44"/>
      <c r="O55" s="44"/>
      <c r="P55" s="44"/>
      <c r="Q55" s="44"/>
      <c r="R55" s="36" t="str">
        <f t="shared" si="5"/>
        <v>--</v>
      </c>
      <c r="S55" s="45"/>
      <c r="T55" s="48"/>
      <c r="U55" s="45"/>
      <c r="V55" s="45"/>
      <c r="W55" s="45"/>
      <c r="X55" s="45"/>
      <c r="Y55" s="45"/>
      <c r="Z55" s="77"/>
    </row>
    <row r="56" spans="1:26" ht="16.5" hidden="1" thickTop="1" x14ac:dyDescent="0.25">
      <c r="A56" s="37">
        <v>42420</v>
      </c>
      <c r="B56" s="84">
        <f t="shared" si="6"/>
        <v>7</v>
      </c>
      <c r="C56" s="41"/>
      <c r="D56" s="41"/>
      <c r="E56" s="42"/>
      <c r="F56" s="33" t="str">
        <f t="shared" si="9"/>
        <v>--</v>
      </c>
      <c r="G56" s="88" t="b">
        <f t="shared" si="7"/>
        <v>1</v>
      </c>
      <c r="H56" s="33" t="b">
        <f t="shared" si="2"/>
        <v>0</v>
      </c>
      <c r="I56" s="33" t="b">
        <f t="shared" si="3"/>
        <v>0</v>
      </c>
      <c r="J56" s="33" t="b">
        <f t="shared" si="4"/>
        <v>0</v>
      </c>
      <c r="K56" s="33">
        <f t="shared" si="8"/>
        <v>0</v>
      </c>
      <c r="L56" s="43"/>
      <c r="M56" s="43"/>
      <c r="N56" s="44"/>
      <c r="O56" s="44"/>
      <c r="P56" s="44"/>
      <c r="Q56" s="44"/>
      <c r="R56" s="36" t="str">
        <f t="shared" si="5"/>
        <v>--</v>
      </c>
      <c r="S56" s="45"/>
      <c r="T56" s="48"/>
      <c r="U56" s="45"/>
      <c r="V56" s="45"/>
      <c r="W56" s="45"/>
      <c r="X56" s="45"/>
      <c r="Y56" s="45"/>
      <c r="Z56" s="77"/>
    </row>
    <row r="57" spans="1:26" ht="16.5" hidden="1" thickTop="1" x14ac:dyDescent="0.25">
      <c r="A57" s="37">
        <v>42421</v>
      </c>
      <c r="B57" s="84">
        <f t="shared" si="6"/>
        <v>7</v>
      </c>
      <c r="C57" s="41"/>
      <c r="D57" s="41"/>
      <c r="E57" s="42"/>
      <c r="F57" s="33" t="str">
        <f t="shared" si="9"/>
        <v>--</v>
      </c>
      <c r="G57" s="88" t="b">
        <f t="shared" si="7"/>
        <v>1</v>
      </c>
      <c r="H57" s="33" t="b">
        <f t="shared" si="2"/>
        <v>0</v>
      </c>
      <c r="I57" s="33" t="b">
        <f t="shared" si="3"/>
        <v>0</v>
      </c>
      <c r="J57" s="33" t="b">
        <f t="shared" si="4"/>
        <v>0</v>
      </c>
      <c r="K57" s="33">
        <f t="shared" si="8"/>
        <v>0</v>
      </c>
      <c r="L57" s="43"/>
      <c r="M57" s="43"/>
      <c r="N57" s="44"/>
      <c r="O57" s="44"/>
      <c r="P57" s="44"/>
      <c r="Q57" s="44"/>
      <c r="R57" s="36" t="str">
        <f t="shared" si="5"/>
        <v>--</v>
      </c>
      <c r="S57" s="45"/>
      <c r="T57" s="48"/>
      <c r="U57" s="45"/>
      <c r="V57" s="45"/>
      <c r="W57" s="45"/>
      <c r="X57" s="45"/>
      <c r="Y57" s="45"/>
      <c r="Z57" s="77"/>
    </row>
    <row r="58" spans="1:26" ht="16.5" hidden="1" thickTop="1" x14ac:dyDescent="0.25">
      <c r="A58" s="37">
        <v>42422</v>
      </c>
      <c r="B58" s="84">
        <f t="shared" si="6"/>
        <v>8</v>
      </c>
      <c r="C58" s="41"/>
      <c r="D58" s="41">
        <v>3.125E-2</v>
      </c>
      <c r="E58" s="42"/>
      <c r="F58" s="33" t="str">
        <f t="shared" si="9"/>
        <v>--</v>
      </c>
      <c r="G58" s="88" t="b">
        <f t="shared" si="7"/>
        <v>0</v>
      </c>
      <c r="H58" s="33" t="b">
        <f t="shared" si="2"/>
        <v>0</v>
      </c>
      <c r="I58" s="33" t="b">
        <f t="shared" si="3"/>
        <v>0</v>
      </c>
      <c r="J58" s="33" t="b">
        <f t="shared" si="4"/>
        <v>0</v>
      </c>
      <c r="K58" s="33">
        <f t="shared" si="8"/>
        <v>0.33333333333333331</v>
      </c>
      <c r="L58" s="43"/>
      <c r="M58" s="43"/>
      <c r="N58" s="44"/>
      <c r="O58" s="44"/>
      <c r="P58" s="44"/>
      <c r="Q58" s="44"/>
      <c r="R58" s="36" t="str">
        <f t="shared" si="5"/>
        <v>--</v>
      </c>
      <c r="S58" s="45"/>
      <c r="T58" s="48"/>
      <c r="U58" s="45"/>
      <c r="V58" s="45"/>
      <c r="W58" s="45"/>
      <c r="X58" s="45"/>
      <c r="Y58" s="45"/>
      <c r="Z58" s="77"/>
    </row>
    <row r="59" spans="1:26" ht="16.5" hidden="1" thickTop="1" x14ac:dyDescent="0.25">
      <c r="A59" s="37">
        <v>42423</v>
      </c>
      <c r="B59" s="84">
        <f t="shared" si="6"/>
        <v>8</v>
      </c>
      <c r="C59" s="41"/>
      <c r="D59" s="41">
        <v>3.125E-2</v>
      </c>
      <c r="E59" s="42"/>
      <c r="F59" s="33" t="str">
        <f t="shared" si="9"/>
        <v>--</v>
      </c>
      <c r="G59" s="88" t="b">
        <f t="shared" si="7"/>
        <v>0</v>
      </c>
      <c r="H59" s="33" t="b">
        <f t="shared" si="2"/>
        <v>0</v>
      </c>
      <c r="I59" s="33" t="b">
        <f t="shared" si="3"/>
        <v>0</v>
      </c>
      <c r="J59" s="33" t="b">
        <f t="shared" si="4"/>
        <v>0</v>
      </c>
      <c r="K59" s="33">
        <f t="shared" si="8"/>
        <v>0.33333333333333331</v>
      </c>
      <c r="L59" s="43"/>
      <c r="M59" s="43"/>
      <c r="N59" s="44"/>
      <c r="O59" s="44"/>
      <c r="P59" s="44"/>
      <c r="Q59" s="44"/>
      <c r="R59" s="36" t="str">
        <f t="shared" si="5"/>
        <v>--</v>
      </c>
      <c r="S59" s="45"/>
      <c r="T59" s="48"/>
      <c r="U59" s="45"/>
      <c r="V59" s="45"/>
      <c r="W59" s="45"/>
      <c r="X59" s="45"/>
      <c r="Y59" s="45"/>
      <c r="Z59" s="77"/>
    </row>
    <row r="60" spans="1:26" ht="16.5" hidden="1" thickTop="1" x14ac:dyDescent="0.25">
      <c r="A60" s="37">
        <v>42424</v>
      </c>
      <c r="B60" s="84">
        <f t="shared" si="6"/>
        <v>8</v>
      </c>
      <c r="C60" s="41"/>
      <c r="D60" s="41">
        <v>3.125E-2</v>
      </c>
      <c r="E60" s="42"/>
      <c r="F60" s="33" t="str">
        <f t="shared" si="9"/>
        <v>--</v>
      </c>
      <c r="G60" s="88" t="b">
        <f t="shared" si="7"/>
        <v>0</v>
      </c>
      <c r="H60" s="33" t="b">
        <f t="shared" si="2"/>
        <v>0</v>
      </c>
      <c r="I60" s="33" t="b">
        <f t="shared" si="3"/>
        <v>0</v>
      </c>
      <c r="J60" s="33" t="b">
        <f t="shared" si="4"/>
        <v>0</v>
      </c>
      <c r="K60" s="33">
        <f t="shared" si="8"/>
        <v>0.33333333333333331</v>
      </c>
      <c r="L60" s="43"/>
      <c r="M60" s="43"/>
      <c r="N60" s="44"/>
      <c r="O60" s="44"/>
      <c r="P60" s="44"/>
      <c r="Q60" s="44"/>
      <c r="R60" s="36" t="str">
        <f t="shared" si="5"/>
        <v>--</v>
      </c>
      <c r="S60" s="45"/>
      <c r="T60" s="48"/>
      <c r="U60" s="45"/>
      <c r="V60" s="45"/>
      <c r="W60" s="45"/>
      <c r="X60" s="45"/>
      <c r="Y60" s="45"/>
      <c r="Z60" s="77"/>
    </row>
    <row r="61" spans="1:26" ht="16.5" hidden="1" thickTop="1" x14ac:dyDescent="0.25">
      <c r="A61" s="37">
        <v>42425</v>
      </c>
      <c r="B61" s="84">
        <f t="shared" si="6"/>
        <v>8</v>
      </c>
      <c r="C61" s="41"/>
      <c r="D61" s="41">
        <v>3.125E-2</v>
      </c>
      <c r="E61" s="42"/>
      <c r="F61" s="33" t="str">
        <f t="shared" si="9"/>
        <v>--</v>
      </c>
      <c r="G61" s="88" t="b">
        <f t="shared" si="7"/>
        <v>0</v>
      </c>
      <c r="H61" s="33" t="b">
        <f t="shared" si="2"/>
        <v>0</v>
      </c>
      <c r="I61" s="33" t="b">
        <f t="shared" si="3"/>
        <v>0</v>
      </c>
      <c r="J61" s="33" t="b">
        <f t="shared" si="4"/>
        <v>0</v>
      </c>
      <c r="K61" s="33">
        <f t="shared" si="8"/>
        <v>0.33333333333333331</v>
      </c>
      <c r="L61" s="43"/>
      <c r="M61" s="43"/>
      <c r="N61" s="44"/>
      <c r="O61" s="44"/>
      <c r="P61" s="44"/>
      <c r="Q61" s="44"/>
      <c r="R61" s="36" t="str">
        <f t="shared" si="5"/>
        <v>--</v>
      </c>
      <c r="S61" s="45"/>
      <c r="T61" s="48"/>
      <c r="U61" s="45"/>
      <c r="V61" s="45"/>
      <c r="W61" s="45"/>
      <c r="X61" s="45"/>
      <c r="Y61" s="45"/>
      <c r="Z61" s="77"/>
    </row>
    <row r="62" spans="1:26" ht="16.5" hidden="1" thickTop="1" x14ac:dyDescent="0.25">
      <c r="A62" s="37">
        <v>42426</v>
      </c>
      <c r="B62" s="84">
        <f t="shared" si="6"/>
        <v>8</v>
      </c>
      <c r="C62" s="41"/>
      <c r="D62" s="41">
        <v>3.125E-2</v>
      </c>
      <c r="E62" s="42"/>
      <c r="F62" s="33" t="str">
        <f t="shared" si="9"/>
        <v>--</v>
      </c>
      <c r="G62" s="88" t="b">
        <f t="shared" si="7"/>
        <v>0</v>
      </c>
      <c r="H62" s="33" t="b">
        <f t="shared" si="2"/>
        <v>0</v>
      </c>
      <c r="I62" s="33" t="b">
        <f t="shared" si="3"/>
        <v>0</v>
      </c>
      <c r="J62" s="33" t="b">
        <f t="shared" si="4"/>
        <v>0</v>
      </c>
      <c r="K62" s="33">
        <f t="shared" si="8"/>
        <v>0.33333333333333331</v>
      </c>
      <c r="L62" s="43"/>
      <c r="M62" s="43"/>
      <c r="N62" s="44"/>
      <c r="O62" s="44"/>
      <c r="P62" s="44"/>
      <c r="Q62" s="44"/>
      <c r="R62" s="36" t="str">
        <f t="shared" si="5"/>
        <v>--</v>
      </c>
      <c r="S62" s="45"/>
      <c r="T62" s="48"/>
      <c r="U62" s="45"/>
      <c r="V62" s="45"/>
      <c r="W62" s="45"/>
      <c r="X62" s="45"/>
      <c r="Y62" s="45"/>
      <c r="Z62" s="77"/>
    </row>
    <row r="63" spans="1:26" ht="16.5" hidden="1" thickTop="1" x14ac:dyDescent="0.25">
      <c r="A63" s="37">
        <v>42427</v>
      </c>
      <c r="B63" s="84">
        <f t="shared" si="6"/>
        <v>8</v>
      </c>
      <c r="C63" s="41"/>
      <c r="D63" s="41"/>
      <c r="E63" s="42"/>
      <c r="F63" s="33" t="str">
        <f t="shared" si="9"/>
        <v>--</v>
      </c>
      <c r="G63" s="88" t="b">
        <f t="shared" si="7"/>
        <v>1</v>
      </c>
      <c r="H63" s="33" t="b">
        <f t="shared" si="2"/>
        <v>0</v>
      </c>
      <c r="I63" s="33" t="b">
        <f t="shared" si="3"/>
        <v>0</v>
      </c>
      <c r="J63" s="33" t="b">
        <f t="shared" si="4"/>
        <v>0</v>
      </c>
      <c r="K63" s="33">
        <f t="shared" si="8"/>
        <v>0</v>
      </c>
      <c r="L63" s="43"/>
      <c r="M63" s="43"/>
      <c r="N63" s="44"/>
      <c r="O63" s="44"/>
      <c r="P63" s="44"/>
      <c r="Q63" s="44"/>
      <c r="R63" s="36" t="str">
        <f t="shared" si="5"/>
        <v>--</v>
      </c>
      <c r="S63" s="45"/>
      <c r="T63" s="48"/>
      <c r="U63" s="45"/>
      <c r="V63" s="45"/>
      <c r="W63" s="45"/>
      <c r="X63" s="45"/>
      <c r="Y63" s="45"/>
      <c r="Z63" s="77"/>
    </row>
    <row r="64" spans="1:26" ht="16.5" hidden="1" thickTop="1" x14ac:dyDescent="0.25">
      <c r="A64" s="37">
        <v>42428</v>
      </c>
      <c r="B64" s="84">
        <f t="shared" si="6"/>
        <v>8</v>
      </c>
      <c r="C64" s="41"/>
      <c r="D64" s="41"/>
      <c r="E64" s="42"/>
      <c r="F64" s="33" t="str">
        <f t="shared" si="9"/>
        <v>--</v>
      </c>
      <c r="G64" s="88" t="b">
        <f t="shared" si="7"/>
        <v>1</v>
      </c>
      <c r="H64" s="33" t="b">
        <f t="shared" si="2"/>
        <v>0</v>
      </c>
      <c r="I64" s="33" t="b">
        <f t="shared" si="3"/>
        <v>0</v>
      </c>
      <c r="J64" s="33" t="b">
        <f t="shared" si="4"/>
        <v>0</v>
      </c>
      <c r="K64" s="33">
        <f t="shared" si="8"/>
        <v>0</v>
      </c>
      <c r="L64" s="43"/>
      <c r="M64" s="43"/>
      <c r="N64" s="44"/>
      <c r="O64" s="44"/>
      <c r="P64" s="44"/>
      <c r="Q64" s="44"/>
      <c r="R64" s="36" t="str">
        <f t="shared" si="5"/>
        <v>--</v>
      </c>
      <c r="S64" s="45"/>
      <c r="T64" s="48"/>
      <c r="U64" s="45"/>
      <c r="V64" s="45"/>
      <c r="W64" s="45"/>
      <c r="X64" s="45"/>
      <c r="Y64" s="45"/>
      <c r="Z64" s="77"/>
    </row>
    <row r="65" spans="1:26" ht="16.5" hidden="1" thickTop="1" x14ac:dyDescent="0.25">
      <c r="A65" s="37">
        <v>42429</v>
      </c>
      <c r="B65" s="84">
        <f t="shared" si="6"/>
        <v>9</v>
      </c>
      <c r="C65" s="41"/>
      <c r="D65" s="41">
        <v>3.125E-2</v>
      </c>
      <c r="E65" s="42"/>
      <c r="F65" s="33" t="str">
        <f t="shared" ref="F65:F69" si="10">IF(E65-C65&lt;=0,"--",E65-D65-C65)</f>
        <v>--</v>
      </c>
      <c r="G65" s="88" t="b">
        <f t="shared" si="7"/>
        <v>0</v>
      </c>
      <c r="H65" s="33" t="b">
        <f t="shared" si="2"/>
        <v>0</v>
      </c>
      <c r="I65" s="33" t="b">
        <f t="shared" si="3"/>
        <v>0</v>
      </c>
      <c r="J65" s="33" t="b">
        <f t="shared" si="4"/>
        <v>0</v>
      </c>
      <c r="K65" s="33">
        <f t="shared" si="8"/>
        <v>0.33333333333333331</v>
      </c>
      <c r="L65" s="43"/>
      <c r="M65" s="43"/>
      <c r="N65" s="44"/>
      <c r="O65" s="44"/>
      <c r="P65" s="44"/>
      <c r="Q65" s="44"/>
      <c r="R65" s="36" t="str">
        <f t="shared" si="5"/>
        <v>--</v>
      </c>
      <c r="S65" s="45"/>
      <c r="T65" s="48"/>
      <c r="U65" s="45"/>
      <c r="V65" s="45"/>
      <c r="W65" s="45"/>
      <c r="X65" s="45"/>
      <c r="Y65" s="45"/>
      <c r="Z65" s="77"/>
    </row>
    <row r="66" spans="1:26" ht="16.5" hidden="1" thickTop="1" x14ac:dyDescent="0.25">
      <c r="A66" s="37">
        <v>42430</v>
      </c>
      <c r="B66" s="84">
        <f t="shared" si="6"/>
        <v>9</v>
      </c>
      <c r="C66" s="41"/>
      <c r="D66" s="41">
        <v>3.125E-2</v>
      </c>
      <c r="E66" s="42"/>
      <c r="F66" s="33" t="str">
        <f t="shared" si="10"/>
        <v>--</v>
      </c>
      <c r="G66" s="88" t="b">
        <f t="shared" si="7"/>
        <v>0</v>
      </c>
      <c r="H66" s="33" t="b">
        <f t="shared" si="2"/>
        <v>0</v>
      </c>
      <c r="I66" s="33" t="b">
        <f t="shared" si="3"/>
        <v>0</v>
      </c>
      <c r="J66" s="33" t="b">
        <f t="shared" si="4"/>
        <v>0</v>
      </c>
      <c r="K66" s="33">
        <f t="shared" si="8"/>
        <v>0.33333333333333331</v>
      </c>
      <c r="L66" s="43"/>
      <c r="M66" s="43"/>
      <c r="N66" s="44"/>
      <c r="O66" s="44"/>
      <c r="P66" s="44"/>
      <c r="Q66" s="44"/>
      <c r="R66" s="36" t="str">
        <f t="shared" si="5"/>
        <v>--</v>
      </c>
      <c r="S66" s="45"/>
      <c r="T66" s="48"/>
      <c r="U66" s="45"/>
      <c r="V66" s="45"/>
      <c r="W66" s="45"/>
      <c r="X66" s="45"/>
      <c r="Y66" s="45"/>
      <c r="Z66" s="77"/>
    </row>
    <row r="67" spans="1:26" ht="16.5" hidden="1" thickTop="1" x14ac:dyDescent="0.25">
      <c r="A67" s="37">
        <v>42431</v>
      </c>
      <c r="B67" s="84">
        <f t="shared" si="6"/>
        <v>9</v>
      </c>
      <c r="C67" s="41"/>
      <c r="D67" s="41">
        <v>3.125E-2</v>
      </c>
      <c r="E67" s="42"/>
      <c r="F67" s="33" t="str">
        <f t="shared" si="10"/>
        <v>--</v>
      </c>
      <c r="G67" s="88" t="b">
        <f t="shared" si="7"/>
        <v>0</v>
      </c>
      <c r="H67" s="33" t="b">
        <f t="shared" si="2"/>
        <v>0</v>
      </c>
      <c r="I67" s="33" t="b">
        <f t="shared" si="3"/>
        <v>0</v>
      </c>
      <c r="J67" s="33" t="b">
        <f t="shared" si="4"/>
        <v>0</v>
      </c>
      <c r="K67" s="33">
        <f t="shared" si="8"/>
        <v>0.33333333333333331</v>
      </c>
      <c r="L67" s="43"/>
      <c r="M67" s="43"/>
      <c r="N67" s="44"/>
      <c r="O67" s="44"/>
      <c r="P67" s="44"/>
      <c r="Q67" s="44"/>
      <c r="R67" s="36" t="str">
        <f t="shared" si="5"/>
        <v>--</v>
      </c>
      <c r="S67" s="45"/>
      <c r="T67" s="48"/>
      <c r="U67" s="45"/>
      <c r="V67" s="45"/>
      <c r="W67" s="45"/>
      <c r="X67" s="45"/>
      <c r="Y67" s="45"/>
      <c r="Z67" s="77"/>
    </row>
    <row r="68" spans="1:26" ht="16.5" hidden="1" thickTop="1" x14ac:dyDescent="0.25">
      <c r="A68" s="37">
        <v>42432</v>
      </c>
      <c r="B68" s="84">
        <f t="shared" si="6"/>
        <v>9</v>
      </c>
      <c r="C68" s="41"/>
      <c r="D68" s="41">
        <v>3.125E-2</v>
      </c>
      <c r="E68" s="42"/>
      <c r="F68" s="33" t="str">
        <f t="shared" si="10"/>
        <v>--</v>
      </c>
      <c r="G68" s="88" t="b">
        <f t="shared" si="7"/>
        <v>0</v>
      </c>
      <c r="H68" s="33" t="b">
        <f t="shared" si="2"/>
        <v>0</v>
      </c>
      <c r="I68" s="33" t="b">
        <f t="shared" si="3"/>
        <v>0</v>
      </c>
      <c r="J68" s="33" t="b">
        <f t="shared" si="4"/>
        <v>0</v>
      </c>
      <c r="K68" s="33">
        <f t="shared" si="8"/>
        <v>0.33333333333333331</v>
      </c>
      <c r="L68" s="43"/>
      <c r="M68" s="43"/>
      <c r="N68" s="44"/>
      <c r="O68" s="44"/>
      <c r="P68" s="44"/>
      <c r="Q68" s="44"/>
      <c r="R68" s="36" t="str">
        <f t="shared" si="5"/>
        <v>--</v>
      </c>
      <c r="S68" s="45"/>
      <c r="T68" s="48"/>
      <c r="U68" s="45"/>
      <c r="V68" s="45"/>
      <c r="W68" s="45"/>
      <c r="X68" s="45"/>
      <c r="Y68" s="45"/>
      <c r="Z68" s="77"/>
    </row>
    <row r="69" spans="1:26" ht="16.5" hidden="1" thickTop="1" x14ac:dyDescent="0.25">
      <c r="A69" s="37">
        <v>42433</v>
      </c>
      <c r="B69" s="84">
        <f t="shared" si="6"/>
        <v>9</v>
      </c>
      <c r="C69" s="41"/>
      <c r="D69" s="41">
        <v>3.125E-2</v>
      </c>
      <c r="E69" s="42"/>
      <c r="F69" s="33" t="str">
        <f t="shared" si="10"/>
        <v>--</v>
      </c>
      <c r="G69" s="88" t="b">
        <f t="shared" si="7"/>
        <v>0</v>
      </c>
      <c r="H69" s="33" t="b">
        <f t="shared" si="2"/>
        <v>0</v>
      </c>
      <c r="I69" s="33" t="b">
        <f t="shared" si="3"/>
        <v>0</v>
      </c>
      <c r="J69" s="33" t="b">
        <f t="shared" si="4"/>
        <v>0</v>
      </c>
      <c r="K69" s="33">
        <f t="shared" si="8"/>
        <v>0.33333333333333331</v>
      </c>
      <c r="L69" s="43"/>
      <c r="M69" s="43"/>
      <c r="N69" s="44"/>
      <c r="O69" s="44"/>
      <c r="P69" s="44"/>
      <c r="Q69" s="44"/>
      <c r="R69" s="36" t="str">
        <f t="shared" si="5"/>
        <v>--</v>
      </c>
      <c r="S69" s="45"/>
      <c r="T69" s="48"/>
      <c r="U69" s="45"/>
      <c r="V69" s="45"/>
      <c r="W69" s="45"/>
      <c r="X69" s="45"/>
      <c r="Y69" s="45"/>
      <c r="Z69" s="77"/>
    </row>
    <row r="70" spans="1:26" ht="16.5" hidden="1" thickTop="1" x14ac:dyDescent="0.25">
      <c r="A70" s="37">
        <v>42434</v>
      </c>
      <c r="B70" s="84">
        <f t="shared" si="6"/>
        <v>9</v>
      </c>
      <c r="C70" s="41"/>
      <c r="D70" s="41"/>
      <c r="E70" s="42"/>
      <c r="F70" s="33" t="str">
        <f t="shared" ref="F70:F133" si="11">IF(E70-C70&lt;=0,"--",E70-D70-C70)</f>
        <v>--</v>
      </c>
      <c r="G70" s="88" t="b">
        <f t="shared" si="7"/>
        <v>1</v>
      </c>
      <c r="H70" s="33" t="b">
        <f t="shared" ref="H70:H133" si="12">ISNUMBER(MATCH($A70,rSemester,0))</f>
        <v>0</v>
      </c>
      <c r="I70" s="33" t="b">
        <f t="shared" ref="I70:I133" si="13">ISNUMBER(MATCH($A70,rATK,0))</f>
        <v>0</v>
      </c>
      <c r="J70" s="33" t="b">
        <f t="shared" ref="J70:J133" si="14">ISNUMBER(MATCH($A70,rHelger,0))</f>
        <v>0</v>
      </c>
      <c r="K70" s="33">
        <f t="shared" si="8"/>
        <v>0</v>
      </c>
      <c r="L70" s="43"/>
      <c r="M70" s="43"/>
      <c r="N70" s="44"/>
      <c r="O70" s="44"/>
      <c r="P70" s="44"/>
      <c r="Q70" s="44"/>
      <c r="R70" s="36" t="str">
        <f t="shared" ref="R70:R133" si="15">IF(F70="--","--",IF(F70&lt;=0,"--",60*((F70-K70)*24-L70+S70+T70*8+U70+V70+Y70+W70+X70)))</f>
        <v>--</v>
      </c>
      <c r="S70" s="45"/>
      <c r="T70" s="48"/>
      <c r="U70" s="45"/>
      <c r="V70" s="45"/>
      <c r="W70" s="45"/>
      <c r="X70" s="45"/>
      <c r="Y70" s="45"/>
      <c r="Z70" s="77"/>
    </row>
    <row r="71" spans="1:26" ht="16.5" hidden="1" thickTop="1" x14ac:dyDescent="0.25">
      <c r="A71" s="37">
        <v>42435</v>
      </c>
      <c r="B71" s="84">
        <f t="shared" ref="B71:B134" si="16">IsoWeekNumber(A71)</f>
        <v>9</v>
      </c>
      <c r="C71" s="41"/>
      <c r="D71" s="41"/>
      <c r="E71" s="42"/>
      <c r="F71" s="33" t="str">
        <f t="shared" si="11"/>
        <v>--</v>
      </c>
      <c r="G71" s="88" t="b">
        <f t="shared" ref="G71:G134" si="17">IF(WEEKDAY(A71,2)&gt;5,TRUE)</f>
        <v>1</v>
      </c>
      <c r="H71" s="33" t="b">
        <f t="shared" si="12"/>
        <v>0</v>
      </c>
      <c r="I71" s="33" t="b">
        <f t="shared" si="13"/>
        <v>0</v>
      </c>
      <c r="J71" s="33" t="b">
        <f t="shared" si="14"/>
        <v>0</v>
      </c>
      <c r="K71" s="33">
        <f t="shared" ref="K71:K134" si="18">IF(OR(G71,H71,I71,J71),0,8/24)</f>
        <v>0</v>
      </c>
      <c r="L71" s="43"/>
      <c r="M71" s="43"/>
      <c r="N71" s="44"/>
      <c r="O71" s="44"/>
      <c r="P71" s="44"/>
      <c r="Q71" s="44"/>
      <c r="R71" s="36" t="str">
        <f t="shared" si="15"/>
        <v>--</v>
      </c>
      <c r="S71" s="45"/>
      <c r="T71" s="48"/>
      <c r="U71" s="45"/>
      <c r="V71" s="45"/>
      <c r="W71" s="45"/>
      <c r="X71" s="45"/>
      <c r="Y71" s="45"/>
      <c r="Z71" s="77"/>
    </row>
    <row r="72" spans="1:26" ht="16.5" hidden="1" thickTop="1" x14ac:dyDescent="0.25">
      <c r="A72" s="37">
        <v>42436</v>
      </c>
      <c r="B72" s="84">
        <f t="shared" si="16"/>
        <v>10</v>
      </c>
      <c r="C72" s="41"/>
      <c r="D72" s="41">
        <v>3.125E-2</v>
      </c>
      <c r="E72" s="42"/>
      <c r="F72" s="33" t="str">
        <f t="shared" si="11"/>
        <v>--</v>
      </c>
      <c r="G72" s="88" t="b">
        <f t="shared" si="17"/>
        <v>0</v>
      </c>
      <c r="H72" s="33" t="b">
        <f t="shared" si="12"/>
        <v>0</v>
      </c>
      <c r="I72" s="33" t="b">
        <f t="shared" si="13"/>
        <v>0</v>
      </c>
      <c r="J72" s="33" t="b">
        <f t="shared" si="14"/>
        <v>0</v>
      </c>
      <c r="K72" s="33">
        <f t="shared" si="18"/>
        <v>0.33333333333333331</v>
      </c>
      <c r="L72" s="43"/>
      <c r="M72" s="43"/>
      <c r="N72" s="44"/>
      <c r="O72" s="44"/>
      <c r="P72" s="44"/>
      <c r="Q72" s="44"/>
      <c r="R72" s="36" t="str">
        <f t="shared" si="15"/>
        <v>--</v>
      </c>
      <c r="S72" s="45"/>
      <c r="T72" s="48"/>
      <c r="U72" s="45"/>
      <c r="V72" s="45"/>
      <c r="W72" s="45"/>
      <c r="X72" s="45"/>
      <c r="Y72" s="45"/>
      <c r="Z72" s="77"/>
    </row>
    <row r="73" spans="1:26" ht="16.5" hidden="1" thickTop="1" x14ac:dyDescent="0.25">
      <c r="A73" s="37">
        <v>42437</v>
      </c>
      <c r="B73" s="84">
        <f t="shared" si="16"/>
        <v>10</v>
      </c>
      <c r="C73" s="41"/>
      <c r="D73" s="41">
        <v>3.125E-2</v>
      </c>
      <c r="E73" s="42"/>
      <c r="F73" s="33" t="str">
        <f t="shared" si="11"/>
        <v>--</v>
      </c>
      <c r="G73" s="88" t="b">
        <f t="shared" si="17"/>
        <v>0</v>
      </c>
      <c r="H73" s="33" t="b">
        <f t="shared" si="12"/>
        <v>0</v>
      </c>
      <c r="I73" s="33" t="b">
        <f t="shared" si="13"/>
        <v>0</v>
      </c>
      <c r="J73" s="33" t="b">
        <f t="shared" si="14"/>
        <v>0</v>
      </c>
      <c r="K73" s="33">
        <f t="shared" si="18"/>
        <v>0.33333333333333331</v>
      </c>
      <c r="L73" s="43"/>
      <c r="M73" s="43"/>
      <c r="N73" s="44"/>
      <c r="O73" s="44"/>
      <c r="P73" s="44"/>
      <c r="Q73" s="44"/>
      <c r="R73" s="36" t="str">
        <f t="shared" si="15"/>
        <v>--</v>
      </c>
      <c r="S73" s="45"/>
      <c r="T73" s="48"/>
      <c r="U73" s="45"/>
      <c r="V73" s="45"/>
      <c r="W73" s="45"/>
      <c r="X73" s="45"/>
      <c r="Y73" s="45"/>
      <c r="Z73" s="77"/>
    </row>
    <row r="74" spans="1:26" ht="16.5" hidden="1" thickTop="1" x14ac:dyDescent="0.25">
      <c r="A74" s="37">
        <v>42438</v>
      </c>
      <c r="B74" s="84">
        <f t="shared" si="16"/>
        <v>10</v>
      </c>
      <c r="C74" s="41"/>
      <c r="D74" s="41">
        <v>3.125E-2</v>
      </c>
      <c r="E74" s="42"/>
      <c r="F74" s="33" t="str">
        <f t="shared" si="11"/>
        <v>--</v>
      </c>
      <c r="G74" s="88" t="b">
        <f t="shared" si="17"/>
        <v>0</v>
      </c>
      <c r="H74" s="33" t="b">
        <f t="shared" si="12"/>
        <v>0</v>
      </c>
      <c r="I74" s="33" t="b">
        <f t="shared" si="13"/>
        <v>0</v>
      </c>
      <c r="J74" s="33" t="b">
        <f t="shared" si="14"/>
        <v>0</v>
      </c>
      <c r="K74" s="33">
        <f t="shared" si="18"/>
        <v>0.33333333333333331</v>
      </c>
      <c r="L74" s="43"/>
      <c r="M74" s="43"/>
      <c r="N74" s="44"/>
      <c r="O74" s="44"/>
      <c r="P74" s="44"/>
      <c r="Q74" s="44"/>
      <c r="R74" s="36" t="str">
        <f t="shared" si="15"/>
        <v>--</v>
      </c>
      <c r="S74" s="45"/>
      <c r="T74" s="48"/>
      <c r="U74" s="45"/>
      <c r="V74" s="45"/>
      <c r="W74" s="45"/>
      <c r="X74" s="45"/>
      <c r="Y74" s="45"/>
      <c r="Z74" s="77"/>
    </row>
    <row r="75" spans="1:26" ht="16.5" hidden="1" thickTop="1" x14ac:dyDescent="0.25">
      <c r="A75" s="37">
        <v>42439</v>
      </c>
      <c r="B75" s="84">
        <f t="shared" si="16"/>
        <v>10</v>
      </c>
      <c r="C75" s="41"/>
      <c r="D75" s="41">
        <v>3.125E-2</v>
      </c>
      <c r="E75" s="42"/>
      <c r="F75" s="33" t="str">
        <f t="shared" si="11"/>
        <v>--</v>
      </c>
      <c r="G75" s="88" t="b">
        <f t="shared" si="17"/>
        <v>0</v>
      </c>
      <c r="H75" s="33" t="b">
        <f t="shared" si="12"/>
        <v>0</v>
      </c>
      <c r="I75" s="33" t="b">
        <f t="shared" si="13"/>
        <v>0</v>
      </c>
      <c r="J75" s="33" t="b">
        <f t="shared" si="14"/>
        <v>0</v>
      </c>
      <c r="K75" s="33">
        <f t="shared" si="18"/>
        <v>0.33333333333333331</v>
      </c>
      <c r="L75" s="43"/>
      <c r="M75" s="43"/>
      <c r="N75" s="44"/>
      <c r="O75" s="44"/>
      <c r="P75" s="44"/>
      <c r="Q75" s="44"/>
      <c r="R75" s="36" t="str">
        <f t="shared" si="15"/>
        <v>--</v>
      </c>
      <c r="S75" s="45"/>
      <c r="T75" s="48"/>
      <c r="U75" s="45"/>
      <c r="V75" s="45"/>
      <c r="W75" s="45"/>
      <c r="X75" s="45"/>
      <c r="Y75" s="45"/>
      <c r="Z75" s="77"/>
    </row>
    <row r="76" spans="1:26" ht="16.5" hidden="1" thickTop="1" x14ac:dyDescent="0.25">
      <c r="A76" s="37">
        <v>42440</v>
      </c>
      <c r="B76" s="84">
        <f t="shared" si="16"/>
        <v>10</v>
      </c>
      <c r="C76" s="41"/>
      <c r="D76" s="41">
        <v>3.125E-2</v>
      </c>
      <c r="E76" s="42"/>
      <c r="F76" s="33" t="str">
        <f t="shared" si="11"/>
        <v>--</v>
      </c>
      <c r="G76" s="88" t="b">
        <f t="shared" si="17"/>
        <v>0</v>
      </c>
      <c r="H76" s="33" t="b">
        <f t="shared" si="12"/>
        <v>0</v>
      </c>
      <c r="I76" s="33" t="b">
        <f t="shared" si="13"/>
        <v>0</v>
      </c>
      <c r="J76" s="33" t="b">
        <f t="shared" si="14"/>
        <v>0</v>
      </c>
      <c r="K76" s="33">
        <f t="shared" si="18"/>
        <v>0.33333333333333331</v>
      </c>
      <c r="L76" s="43"/>
      <c r="M76" s="43"/>
      <c r="N76" s="44"/>
      <c r="O76" s="44"/>
      <c r="P76" s="44"/>
      <c r="Q76" s="44"/>
      <c r="R76" s="36" t="str">
        <f t="shared" si="15"/>
        <v>--</v>
      </c>
      <c r="S76" s="45"/>
      <c r="T76" s="48"/>
      <c r="U76" s="45"/>
      <c r="V76" s="45"/>
      <c r="W76" s="45"/>
      <c r="X76" s="45"/>
      <c r="Y76" s="45"/>
      <c r="Z76" s="77"/>
    </row>
    <row r="77" spans="1:26" ht="16.5" hidden="1" thickTop="1" x14ac:dyDescent="0.25">
      <c r="A77" s="37">
        <v>42441</v>
      </c>
      <c r="B77" s="84">
        <f t="shared" si="16"/>
        <v>10</v>
      </c>
      <c r="C77" s="41"/>
      <c r="D77" s="41"/>
      <c r="E77" s="42"/>
      <c r="F77" s="33" t="str">
        <f t="shared" si="11"/>
        <v>--</v>
      </c>
      <c r="G77" s="88" t="b">
        <f t="shared" si="17"/>
        <v>1</v>
      </c>
      <c r="H77" s="33" t="b">
        <f t="shared" si="12"/>
        <v>0</v>
      </c>
      <c r="I77" s="33" t="b">
        <f t="shared" si="13"/>
        <v>0</v>
      </c>
      <c r="J77" s="33" t="b">
        <f t="shared" si="14"/>
        <v>0</v>
      </c>
      <c r="K77" s="33">
        <f t="shared" si="18"/>
        <v>0</v>
      </c>
      <c r="L77" s="43"/>
      <c r="M77" s="43"/>
      <c r="N77" s="44"/>
      <c r="O77" s="44"/>
      <c r="P77" s="44"/>
      <c r="Q77" s="44"/>
      <c r="R77" s="36" t="str">
        <f t="shared" si="15"/>
        <v>--</v>
      </c>
      <c r="S77" s="45"/>
      <c r="T77" s="48"/>
      <c r="U77" s="45"/>
      <c r="V77" s="45"/>
      <c r="W77" s="45"/>
      <c r="X77" s="45"/>
      <c r="Y77" s="45"/>
      <c r="Z77" s="77"/>
    </row>
    <row r="78" spans="1:26" ht="16.5" hidden="1" thickTop="1" x14ac:dyDescent="0.25">
      <c r="A78" s="37">
        <v>42442</v>
      </c>
      <c r="B78" s="84">
        <f t="shared" si="16"/>
        <v>10</v>
      </c>
      <c r="C78" s="41"/>
      <c r="D78" s="41"/>
      <c r="E78" s="42"/>
      <c r="F78" s="33" t="str">
        <f t="shared" si="11"/>
        <v>--</v>
      </c>
      <c r="G78" s="88" t="b">
        <f t="shared" si="17"/>
        <v>1</v>
      </c>
      <c r="H78" s="33" t="b">
        <f t="shared" si="12"/>
        <v>0</v>
      </c>
      <c r="I78" s="33" t="b">
        <f t="shared" si="13"/>
        <v>0</v>
      </c>
      <c r="J78" s="33" t="b">
        <f t="shared" si="14"/>
        <v>0</v>
      </c>
      <c r="K78" s="33">
        <f t="shared" si="18"/>
        <v>0</v>
      </c>
      <c r="L78" s="43"/>
      <c r="M78" s="43"/>
      <c r="N78" s="44"/>
      <c r="O78" s="44"/>
      <c r="P78" s="44"/>
      <c r="Q78" s="44"/>
      <c r="R78" s="36" t="str">
        <f t="shared" si="15"/>
        <v>--</v>
      </c>
      <c r="S78" s="45"/>
      <c r="T78" s="48"/>
      <c r="U78" s="45"/>
      <c r="V78" s="45"/>
      <c r="W78" s="45"/>
      <c r="X78" s="45"/>
      <c r="Y78" s="45"/>
      <c r="Z78" s="77"/>
    </row>
    <row r="79" spans="1:26" ht="16.5" hidden="1" thickTop="1" x14ac:dyDescent="0.25">
      <c r="A79" s="37">
        <v>42443</v>
      </c>
      <c r="B79" s="84">
        <f t="shared" si="16"/>
        <v>11</v>
      </c>
      <c r="C79" s="41"/>
      <c r="D79" s="41">
        <v>3.125E-2</v>
      </c>
      <c r="E79" s="42"/>
      <c r="F79" s="33" t="str">
        <f t="shared" si="11"/>
        <v>--</v>
      </c>
      <c r="G79" s="88" t="b">
        <f t="shared" si="17"/>
        <v>0</v>
      </c>
      <c r="H79" s="33" t="b">
        <f t="shared" si="12"/>
        <v>0</v>
      </c>
      <c r="I79" s="33" t="b">
        <f t="shared" si="13"/>
        <v>0</v>
      </c>
      <c r="J79" s="33" t="b">
        <f t="shared" si="14"/>
        <v>0</v>
      </c>
      <c r="K79" s="33">
        <f t="shared" si="18"/>
        <v>0.33333333333333331</v>
      </c>
      <c r="L79" s="43"/>
      <c r="M79" s="43"/>
      <c r="N79" s="44"/>
      <c r="O79" s="44"/>
      <c r="P79" s="44"/>
      <c r="Q79" s="44"/>
      <c r="R79" s="36" t="str">
        <f t="shared" si="15"/>
        <v>--</v>
      </c>
      <c r="S79" s="45"/>
      <c r="T79" s="48"/>
      <c r="U79" s="45"/>
      <c r="V79" s="45"/>
      <c r="W79" s="45"/>
      <c r="X79" s="45"/>
      <c r="Y79" s="45"/>
      <c r="Z79" s="77"/>
    </row>
    <row r="80" spans="1:26" ht="16.5" hidden="1" thickTop="1" x14ac:dyDescent="0.25">
      <c r="A80" s="37">
        <v>42444</v>
      </c>
      <c r="B80" s="84">
        <f t="shared" si="16"/>
        <v>11</v>
      </c>
      <c r="C80" s="41"/>
      <c r="D80" s="41">
        <v>3.125E-2</v>
      </c>
      <c r="E80" s="42"/>
      <c r="F80" s="33" t="str">
        <f t="shared" si="11"/>
        <v>--</v>
      </c>
      <c r="G80" s="88" t="b">
        <f t="shared" si="17"/>
        <v>0</v>
      </c>
      <c r="H80" s="33" t="b">
        <f t="shared" si="12"/>
        <v>0</v>
      </c>
      <c r="I80" s="33" t="b">
        <f t="shared" si="13"/>
        <v>0</v>
      </c>
      <c r="J80" s="33" t="b">
        <f t="shared" si="14"/>
        <v>0</v>
      </c>
      <c r="K80" s="33">
        <f t="shared" si="18"/>
        <v>0.33333333333333331</v>
      </c>
      <c r="L80" s="43"/>
      <c r="M80" s="43"/>
      <c r="N80" s="44"/>
      <c r="O80" s="44"/>
      <c r="P80" s="44"/>
      <c r="Q80" s="44"/>
      <c r="R80" s="36" t="str">
        <f t="shared" si="15"/>
        <v>--</v>
      </c>
      <c r="S80" s="45"/>
      <c r="T80" s="48"/>
      <c r="U80" s="45"/>
      <c r="V80" s="45"/>
      <c r="W80" s="45"/>
      <c r="X80" s="45"/>
      <c r="Y80" s="45"/>
      <c r="Z80" s="77"/>
    </row>
    <row r="81" spans="1:26" ht="16.5" hidden="1" thickTop="1" x14ac:dyDescent="0.25">
      <c r="A81" s="37">
        <v>42445</v>
      </c>
      <c r="B81" s="84">
        <f t="shared" si="16"/>
        <v>11</v>
      </c>
      <c r="C81" s="41"/>
      <c r="D81" s="41">
        <v>3.125E-2</v>
      </c>
      <c r="E81" s="42"/>
      <c r="F81" s="33" t="str">
        <f t="shared" si="11"/>
        <v>--</v>
      </c>
      <c r="G81" s="88" t="b">
        <f t="shared" si="17"/>
        <v>0</v>
      </c>
      <c r="H81" s="33" t="b">
        <f t="shared" si="12"/>
        <v>0</v>
      </c>
      <c r="I81" s="33" t="b">
        <f t="shared" si="13"/>
        <v>0</v>
      </c>
      <c r="J81" s="33" t="b">
        <f t="shared" si="14"/>
        <v>0</v>
      </c>
      <c r="K81" s="33">
        <f t="shared" si="18"/>
        <v>0.33333333333333331</v>
      </c>
      <c r="L81" s="43"/>
      <c r="M81" s="43"/>
      <c r="N81" s="44"/>
      <c r="O81" s="44"/>
      <c r="P81" s="44"/>
      <c r="Q81" s="44"/>
      <c r="R81" s="36" t="str">
        <f t="shared" si="15"/>
        <v>--</v>
      </c>
      <c r="S81" s="45"/>
      <c r="T81" s="48"/>
      <c r="U81" s="45"/>
      <c r="V81" s="45"/>
      <c r="W81" s="45"/>
      <c r="X81" s="45"/>
      <c r="Y81" s="45"/>
      <c r="Z81" s="77"/>
    </row>
    <row r="82" spans="1:26" ht="16.5" hidden="1" thickTop="1" x14ac:dyDescent="0.25">
      <c r="A82" s="37">
        <v>42446</v>
      </c>
      <c r="B82" s="84">
        <f t="shared" si="16"/>
        <v>11</v>
      </c>
      <c r="C82" s="41"/>
      <c r="D82" s="41">
        <v>3.125E-2</v>
      </c>
      <c r="E82" s="42"/>
      <c r="F82" s="33" t="str">
        <f t="shared" si="11"/>
        <v>--</v>
      </c>
      <c r="G82" s="88" t="b">
        <f t="shared" si="17"/>
        <v>0</v>
      </c>
      <c r="H82" s="33" t="b">
        <f t="shared" si="12"/>
        <v>0</v>
      </c>
      <c r="I82" s="33" t="b">
        <f t="shared" si="13"/>
        <v>0</v>
      </c>
      <c r="J82" s="33" t="b">
        <f t="shared" si="14"/>
        <v>0</v>
      </c>
      <c r="K82" s="33">
        <f t="shared" si="18"/>
        <v>0.33333333333333331</v>
      </c>
      <c r="L82" s="43"/>
      <c r="M82" s="43"/>
      <c r="N82" s="44"/>
      <c r="O82" s="44"/>
      <c r="P82" s="44"/>
      <c r="Q82" s="44"/>
      <c r="R82" s="36" t="str">
        <f t="shared" si="15"/>
        <v>--</v>
      </c>
      <c r="S82" s="45"/>
      <c r="T82" s="48"/>
      <c r="U82" s="45"/>
      <c r="V82" s="45"/>
      <c r="W82" s="45"/>
      <c r="X82" s="45"/>
      <c r="Y82" s="45"/>
      <c r="Z82" s="77"/>
    </row>
    <row r="83" spans="1:26" ht="16.5" hidden="1" thickTop="1" x14ac:dyDescent="0.25">
      <c r="A83" s="37">
        <v>42447</v>
      </c>
      <c r="B83" s="84">
        <f t="shared" si="16"/>
        <v>11</v>
      </c>
      <c r="C83" s="41"/>
      <c r="D83" s="41">
        <v>3.125E-2</v>
      </c>
      <c r="E83" s="42"/>
      <c r="F83" s="33" t="str">
        <f t="shared" si="11"/>
        <v>--</v>
      </c>
      <c r="G83" s="88" t="b">
        <f t="shared" si="17"/>
        <v>0</v>
      </c>
      <c r="H83" s="33" t="b">
        <f t="shared" si="12"/>
        <v>0</v>
      </c>
      <c r="I83" s="33" t="b">
        <f t="shared" si="13"/>
        <v>0</v>
      </c>
      <c r="J83" s="33" t="b">
        <f t="shared" si="14"/>
        <v>0</v>
      </c>
      <c r="K83" s="33">
        <f t="shared" si="18"/>
        <v>0.33333333333333331</v>
      </c>
      <c r="L83" s="43"/>
      <c r="M83" s="43"/>
      <c r="N83" s="44"/>
      <c r="O83" s="44"/>
      <c r="P83" s="44"/>
      <c r="Q83" s="44"/>
      <c r="R83" s="36" t="str">
        <f t="shared" si="15"/>
        <v>--</v>
      </c>
      <c r="S83" s="45"/>
      <c r="T83" s="48"/>
      <c r="U83" s="45"/>
      <c r="V83" s="45"/>
      <c r="W83" s="45"/>
      <c r="X83" s="45"/>
      <c r="Y83" s="45"/>
      <c r="Z83" s="77"/>
    </row>
    <row r="84" spans="1:26" ht="16.5" hidden="1" thickTop="1" x14ac:dyDescent="0.25">
      <c r="A84" s="37">
        <v>42448</v>
      </c>
      <c r="B84" s="84">
        <f t="shared" si="16"/>
        <v>11</v>
      </c>
      <c r="C84" s="41"/>
      <c r="D84" s="41"/>
      <c r="E84" s="42"/>
      <c r="F84" s="33" t="str">
        <f t="shared" si="11"/>
        <v>--</v>
      </c>
      <c r="G84" s="88" t="b">
        <f t="shared" si="17"/>
        <v>1</v>
      </c>
      <c r="H84" s="33" t="b">
        <f t="shared" si="12"/>
        <v>0</v>
      </c>
      <c r="I84" s="33" t="b">
        <f t="shared" si="13"/>
        <v>0</v>
      </c>
      <c r="J84" s="33" t="b">
        <f t="shared" si="14"/>
        <v>0</v>
      </c>
      <c r="K84" s="33">
        <f t="shared" si="18"/>
        <v>0</v>
      </c>
      <c r="L84" s="43"/>
      <c r="M84" s="43"/>
      <c r="N84" s="44"/>
      <c r="O84" s="44"/>
      <c r="P84" s="44"/>
      <c r="Q84" s="44"/>
      <c r="R84" s="36" t="str">
        <f t="shared" si="15"/>
        <v>--</v>
      </c>
      <c r="S84" s="45"/>
      <c r="T84" s="48"/>
      <c r="U84" s="45"/>
      <c r="V84" s="45"/>
      <c r="W84" s="45"/>
      <c r="X84" s="45"/>
      <c r="Y84" s="45"/>
      <c r="Z84" s="77"/>
    </row>
    <row r="85" spans="1:26" ht="16.5" hidden="1" thickTop="1" x14ac:dyDescent="0.25">
      <c r="A85" s="37">
        <v>42449</v>
      </c>
      <c r="B85" s="84">
        <f t="shared" si="16"/>
        <v>11</v>
      </c>
      <c r="C85" s="41"/>
      <c r="D85" s="41"/>
      <c r="E85" s="42"/>
      <c r="F85" s="33" t="str">
        <f t="shared" si="11"/>
        <v>--</v>
      </c>
      <c r="G85" s="88" t="b">
        <f t="shared" si="17"/>
        <v>1</v>
      </c>
      <c r="H85" s="33" t="b">
        <f t="shared" si="12"/>
        <v>0</v>
      </c>
      <c r="I85" s="33" t="b">
        <f t="shared" si="13"/>
        <v>0</v>
      </c>
      <c r="J85" s="33" t="b">
        <f t="shared" si="14"/>
        <v>0</v>
      </c>
      <c r="K85" s="33">
        <f t="shared" si="18"/>
        <v>0</v>
      </c>
      <c r="L85" s="43"/>
      <c r="M85" s="43"/>
      <c r="N85" s="44"/>
      <c r="O85" s="44"/>
      <c r="P85" s="44"/>
      <c r="Q85" s="44"/>
      <c r="R85" s="36" t="str">
        <f t="shared" si="15"/>
        <v>--</v>
      </c>
      <c r="S85" s="45"/>
      <c r="T85" s="48"/>
      <c r="U85" s="45"/>
      <c r="V85" s="45"/>
      <c r="W85" s="45"/>
      <c r="X85" s="45"/>
      <c r="Y85" s="45"/>
      <c r="Z85" s="77"/>
    </row>
    <row r="86" spans="1:26" ht="16.5" hidden="1" thickTop="1" x14ac:dyDescent="0.25">
      <c r="A86" s="37">
        <v>42450</v>
      </c>
      <c r="B86" s="84">
        <f t="shared" si="16"/>
        <v>12</v>
      </c>
      <c r="C86" s="41"/>
      <c r="D86" s="41">
        <v>3.125E-2</v>
      </c>
      <c r="E86" s="42"/>
      <c r="F86" s="33" t="str">
        <f t="shared" si="11"/>
        <v>--</v>
      </c>
      <c r="G86" s="88" t="b">
        <f t="shared" si="17"/>
        <v>0</v>
      </c>
      <c r="H86" s="33" t="b">
        <f t="shared" si="12"/>
        <v>0</v>
      </c>
      <c r="I86" s="33" t="b">
        <f t="shared" si="13"/>
        <v>0</v>
      </c>
      <c r="J86" s="33" t="b">
        <f t="shared" si="14"/>
        <v>0</v>
      </c>
      <c r="K86" s="33">
        <f t="shared" si="18"/>
        <v>0.33333333333333331</v>
      </c>
      <c r="L86" s="43"/>
      <c r="M86" s="43"/>
      <c r="N86" s="44"/>
      <c r="O86" s="44"/>
      <c r="P86" s="44"/>
      <c r="Q86" s="44"/>
      <c r="R86" s="36" t="str">
        <f t="shared" si="15"/>
        <v>--</v>
      </c>
      <c r="S86" s="45"/>
      <c r="T86" s="48"/>
      <c r="U86" s="45"/>
      <c r="V86" s="45"/>
      <c r="W86" s="45"/>
      <c r="X86" s="45"/>
      <c r="Y86" s="45"/>
      <c r="Z86" s="77"/>
    </row>
    <row r="87" spans="1:26" ht="16.5" hidden="1" thickTop="1" x14ac:dyDescent="0.25">
      <c r="A87" s="37">
        <v>42451</v>
      </c>
      <c r="B87" s="84">
        <f t="shared" si="16"/>
        <v>12</v>
      </c>
      <c r="C87" s="41"/>
      <c r="D87" s="41">
        <v>3.125E-2</v>
      </c>
      <c r="E87" s="42"/>
      <c r="F87" s="33" t="str">
        <f t="shared" si="11"/>
        <v>--</v>
      </c>
      <c r="G87" s="88" t="b">
        <f t="shared" si="17"/>
        <v>0</v>
      </c>
      <c r="H87" s="33" t="b">
        <f t="shared" si="12"/>
        <v>0</v>
      </c>
      <c r="I87" s="33" t="b">
        <f t="shared" si="13"/>
        <v>0</v>
      </c>
      <c r="J87" s="33" t="b">
        <f t="shared" si="14"/>
        <v>0</v>
      </c>
      <c r="K87" s="33">
        <f t="shared" si="18"/>
        <v>0.33333333333333331</v>
      </c>
      <c r="L87" s="43"/>
      <c r="M87" s="43"/>
      <c r="N87" s="44"/>
      <c r="O87" s="44"/>
      <c r="P87" s="44"/>
      <c r="Q87" s="44"/>
      <c r="R87" s="36" t="str">
        <f t="shared" si="15"/>
        <v>--</v>
      </c>
      <c r="S87" s="45"/>
      <c r="T87" s="48"/>
      <c r="U87" s="45"/>
      <c r="V87" s="45"/>
      <c r="W87" s="45"/>
      <c r="X87" s="45"/>
      <c r="Y87" s="45"/>
      <c r="Z87" s="77"/>
    </row>
    <row r="88" spans="1:26" ht="16.5" hidden="1" thickTop="1" x14ac:dyDescent="0.25">
      <c r="A88" s="37">
        <v>42452</v>
      </c>
      <c r="B88" s="84">
        <f t="shared" si="16"/>
        <v>12</v>
      </c>
      <c r="C88" s="41"/>
      <c r="D88" s="41">
        <v>3.125E-2</v>
      </c>
      <c r="E88" s="42"/>
      <c r="F88" s="33" t="str">
        <f t="shared" si="11"/>
        <v>--</v>
      </c>
      <c r="G88" s="88" t="b">
        <f t="shared" si="17"/>
        <v>0</v>
      </c>
      <c r="H88" s="33" t="b">
        <f t="shared" si="12"/>
        <v>0</v>
      </c>
      <c r="I88" s="33" t="b">
        <f t="shared" si="13"/>
        <v>0</v>
      </c>
      <c r="J88" s="33" t="b">
        <f t="shared" si="14"/>
        <v>0</v>
      </c>
      <c r="K88" s="33">
        <f t="shared" si="18"/>
        <v>0.33333333333333331</v>
      </c>
      <c r="L88" s="43"/>
      <c r="M88" s="43"/>
      <c r="N88" s="44"/>
      <c r="O88" s="44"/>
      <c r="P88" s="44"/>
      <c r="Q88" s="44"/>
      <c r="R88" s="36" t="str">
        <f t="shared" si="15"/>
        <v>--</v>
      </c>
      <c r="S88" s="45"/>
      <c r="T88" s="48"/>
      <c r="U88" s="45"/>
      <c r="V88" s="45"/>
      <c r="W88" s="45"/>
      <c r="X88" s="45"/>
      <c r="Y88" s="45"/>
      <c r="Z88" s="77"/>
    </row>
    <row r="89" spans="1:26" ht="16.5" hidden="1" thickTop="1" x14ac:dyDescent="0.25">
      <c r="A89" s="37">
        <v>42453</v>
      </c>
      <c r="B89" s="84">
        <f t="shared" si="16"/>
        <v>12</v>
      </c>
      <c r="C89" s="41"/>
      <c r="D89" s="41">
        <v>3.125E-2</v>
      </c>
      <c r="E89" s="42"/>
      <c r="F89" s="33" t="str">
        <f t="shared" si="11"/>
        <v>--</v>
      </c>
      <c r="G89" s="88" t="b">
        <f t="shared" si="17"/>
        <v>0</v>
      </c>
      <c r="H89" s="33" t="b">
        <f t="shared" si="12"/>
        <v>0</v>
      </c>
      <c r="I89" s="33" t="b">
        <f t="shared" si="13"/>
        <v>0</v>
      </c>
      <c r="J89" s="33" t="b">
        <f t="shared" si="14"/>
        <v>0</v>
      </c>
      <c r="K89" s="33">
        <f t="shared" si="18"/>
        <v>0.33333333333333331</v>
      </c>
      <c r="L89" s="43"/>
      <c r="M89" s="43"/>
      <c r="N89" s="44"/>
      <c r="O89" s="44"/>
      <c r="P89" s="44"/>
      <c r="Q89" s="44"/>
      <c r="R89" s="36" t="str">
        <f t="shared" si="15"/>
        <v>--</v>
      </c>
      <c r="S89" s="45"/>
      <c r="T89" s="48"/>
      <c r="U89" s="45"/>
      <c r="V89" s="45"/>
      <c r="W89" s="45"/>
      <c r="X89" s="45"/>
      <c r="Y89" s="45"/>
      <c r="Z89" s="77"/>
    </row>
    <row r="90" spans="1:26" ht="16.5" hidden="1" thickTop="1" x14ac:dyDescent="0.25">
      <c r="A90" s="37">
        <v>42454</v>
      </c>
      <c r="B90" s="84">
        <f t="shared" si="16"/>
        <v>12</v>
      </c>
      <c r="C90" s="41"/>
      <c r="D90" s="41"/>
      <c r="E90" s="42"/>
      <c r="F90" s="33" t="str">
        <f t="shared" si="11"/>
        <v>--</v>
      </c>
      <c r="G90" s="88" t="b">
        <f t="shared" si="17"/>
        <v>0</v>
      </c>
      <c r="H90" s="33" t="b">
        <f t="shared" si="12"/>
        <v>0</v>
      </c>
      <c r="I90" s="33" t="b">
        <f t="shared" si="13"/>
        <v>0</v>
      </c>
      <c r="J90" s="33" t="b">
        <f t="shared" si="14"/>
        <v>1</v>
      </c>
      <c r="K90" s="33">
        <f t="shared" si="18"/>
        <v>0</v>
      </c>
      <c r="L90" s="43"/>
      <c r="M90" s="43"/>
      <c r="N90" s="44"/>
      <c r="O90" s="44"/>
      <c r="P90" s="44"/>
      <c r="Q90" s="44"/>
      <c r="R90" s="36" t="str">
        <f t="shared" si="15"/>
        <v>--</v>
      </c>
      <c r="S90" s="45"/>
      <c r="T90" s="48"/>
      <c r="U90" s="45"/>
      <c r="V90" s="45"/>
      <c r="W90" s="45"/>
      <c r="X90" s="45"/>
      <c r="Y90" s="45"/>
      <c r="Z90" s="77"/>
    </row>
    <row r="91" spans="1:26" ht="16.5" hidden="1" thickTop="1" x14ac:dyDescent="0.25">
      <c r="A91" s="37">
        <v>42455</v>
      </c>
      <c r="B91" s="84">
        <f t="shared" si="16"/>
        <v>12</v>
      </c>
      <c r="C91" s="41"/>
      <c r="D91" s="41"/>
      <c r="E91" s="42"/>
      <c r="F91" s="33" t="str">
        <f t="shared" si="11"/>
        <v>--</v>
      </c>
      <c r="G91" s="88" t="b">
        <f t="shared" si="17"/>
        <v>1</v>
      </c>
      <c r="H91" s="33" t="b">
        <f t="shared" si="12"/>
        <v>0</v>
      </c>
      <c r="I91" s="33" t="b">
        <f t="shared" si="13"/>
        <v>0</v>
      </c>
      <c r="J91" s="33" t="b">
        <f t="shared" si="14"/>
        <v>0</v>
      </c>
      <c r="K91" s="33">
        <f t="shared" si="18"/>
        <v>0</v>
      </c>
      <c r="L91" s="43"/>
      <c r="M91" s="43"/>
      <c r="N91" s="44"/>
      <c r="O91" s="44"/>
      <c r="P91" s="44"/>
      <c r="Q91" s="44"/>
      <c r="R91" s="36" t="str">
        <f t="shared" si="15"/>
        <v>--</v>
      </c>
      <c r="S91" s="45"/>
      <c r="T91" s="48"/>
      <c r="U91" s="45"/>
      <c r="V91" s="45"/>
      <c r="W91" s="45"/>
      <c r="X91" s="45"/>
      <c r="Y91" s="45"/>
      <c r="Z91" s="77"/>
    </row>
    <row r="92" spans="1:26" ht="16.5" hidden="1" thickTop="1" x14ac:dyDescent="0.25">
      <c r="A92" s="37">
        <v>42456</v>
      </c>
      <c r="B92" s="84">
        <f t="shared" si="16"/>
        <v>12</v>
      </c>
      <c r="C92" s="41"/>
      <c r="D92" s="41"/>
      <c r="E92" s="42"/>
      <c r="F92" s="33" t="str">
        <f t="shared" si="11"/>
        <v>--</v>
      </c>
      <c r="G92" s="88" t="b">
        <f t="shared" si="17"/>
        <v>1</v>
      </c>
      <c r="H92" s="33" t="b">
        <f t="shared" si="12"/>
        <v>0</v>
      </c>
      <c r="I92" s="33" t="b">
        <f t="shared" si="13"/>
        <v>0</v>
      </c>
      <c r="J92" s="33" t="b">
        <f t="shared" si="14"/>
        <v>1</v>
      </c>
      <c r="K92" s="33">
        <f t="shared" si="18"/>
        <v>0</v>
      </c>
      <c r="L92" s="43"/>
      <c r="M92" s="43"/>
      <c r="N92" s="44"/>
      <c r="O92" s="44"/>
      <c r="P92" s="44"/>
      <c r="Q92" s="44"/>
      <c r="R92" s="36" t="str">
        <f t="shared" si="15"/>
        <v>--</v>
      </c>
      <c r="S92" s="45"/>
      <c r="T92" s="48"/>
      <c r="U92" s="45"/>
      <c r="V92" s="45"/>
      <c r="W92" s="45"/>
      <c r="X92" s="45"/>
      <c r="Y92" s="45"/>
      <c r="Z92" s="77"/>
    </row>
    <row r="93" spans="1:26" ht="16.5" hidden="1" thickTop="1" x14ac:dyDescent="0.25">
      <c r="A93" s="37">
        <v>42457</v>
      </c>
      <c r="B93" s="84">
        <f t="shared" si="16"/>
        <v>13</v>
      </c>
      <c r="C93" s="41"/>
      <c r="D93" s="41"/>
      <c r="E93" s="42"/>
      <c r="F93" s="33" t="str">
        <f t="shared" si="11"/>
        <v>--</v>
      </c>
      <c r="G93" s="88" t="b">
        <f t="shared" si="17"/>
        <v>0</v>
      </c>
      <c r="H93" s="33" t="b">
        <f t="shared" si="12"/>
        <v>0</v>
      </c>
      <c r="I93" s="33" t="b">
        <f t="shared" si="13"/>
        <v>0</v>
      </c>
      <c r="J93" s="33" t="b">
        <f t="shared" si="14"/>
        <v>1</v>
      </c>
      <c r="K93" s="33">
        <f t="shared" si="18"/>
        <v>0</v>
      </c>
      <c r="L93" s="43"/>
      <c r="M93" s="43"/>
      <c r="N93" s="44"/>
      <c r="O93" s="44"/>
      <c r="P93" s="44"/>
      <c r="Q93" s="44"/>
      <c r="R93" s="36" t="str">
        <f t="shared" si="15"/>
        <v>--</v>
      </c>
      <c r="S93" s="45"/>
      <c r="T93" s="48"/>
      <c r="U93" s="45"/>
      <c r="V93" s="45"/>
      <c r="W93" s="45"/>
      <c r="X93" s="45"/>
      <c r="Y93" s="45"/>
      <c r="Z93" s="77"/>
    </row>
    <row r="94" spans="1:26" ht="16.5" hidden="1" thickTop="1" x14ac:dyDescent="0.25">
      <c r="A94" s="37">
        <v>42458</v>
      </c>
      <c r="B94" s="84">
        <f t="shared" si="16"/>
        <v>13</v>
      </c>
      <c r="C94" s="41"/>
      <c r="D94" s="41">
        <v>3.125E-2</v>
      </c>
      <c r="E94" s="42"/>
      <c r="F94" s="33" t="str">
        <f t="shared" si="11"/>
        <v>--</v>
      </c>
      <c r="G94" s="88" t="b">
        <f t="shared" si="17"/>
        <v>0</v>
      </c>
      <c r="H94" s="33" t="b">
        <f t="shared" si="12"/>
        <v>0</v>
      </c>
      <c r="I94" s="33" t="b">
        <f t="shared" si="13"/>
        <v>0</v>
      </c>
      <c r="J94" s="33" t="b">
        <f t="shared" si="14"/>
        <v>0</v>
      </c>
      <c r="K94" s="33">
        <f t="shared" si="18"/>
        <v>0.33333333333333331</v>
      </c>
      <c r="L94" s="43"/>
      <c r="M94" s="43"/>
      <c r="N94" s="44"/>
      <c r="O94" s="44"/>
      <c r="P94" s="44"/>
      <c r="Q94" s="44"/>
      <c r="R94" s="36" t="str">
        <f t="shared" si="15"/>
        <v>--</v>
      </c>
      <c r="S94" s="45"/>
      <c r="T94" s="48"/>
      <c r="U94" s="45"/>
      <c r="V94" s="45"/>
      <c r="W94" s="45"/>
      <c r="X94" s="45"/>
      <c r="Y94" s="45"/>
      <c r="Z94" s="77"/>
    </row>
    <row r="95" spans="1:26" ht="16.5" hidden="1" thickTop="1" x14ac:dyDescent="0.25">
      <c r="A95" s="37">
        <v>42459</v>
      </c>
      <c r="B95" s="84">
        <f t="shared" si="16"/>
        <v>13</v>
      </c>
      <c r="C95" s="41"/>
      <c r="D95" s="41">
        <v>3.125E-2</v>
      </c>
      <c r="E95" s="42"/>
      <c r="F95" s="33" t="str">
        <f t="shared" si="11"/>
        <v>--</v>
      </c>
      <c r="G95" s="88" t="b">
        <f t="shared" si="17"/>
        <v>0</v>
      </c>
      <c r="H95" s="33" t="b">
        <f t="shared" si="12"/>
        <v>0</v>
      </c>
      <c r="I95" s="33" t="b">
        <f t="shared" si="13"/>
        <v>0</v>
      </c>
      <c r="J95" s="33" t="b">
        <f t="shared" si="14"/>
        <v>0</v>
      </c>
      <c r="K95" s="33">
        <f t="shared" si="18"/>
        <v>0.33333333333333331</v>
      </c>
      <c r="L95" s="43"/>
      <c r="M95" s="43"/>
      <c r="N95" s="44"/>
      <c r="O95" s="44"/>
      <c r="P95" s="44"/>
      <c r="Q95" s="44"/>
      <c r="R95" s="36" t="str">
        <f t="shared" si="15"/>
        <v>--</v>
      </c>
      <c r="S95" s="45"/>
      <c r="T95" s="48"/>
      <c r="U95" s="45"/>
      <c r="V95" s="45"/>
      <c r="W95" s="45"/>
      <c r="X95" s="45"/>
      <c r="Y95" s="45"/>
      <c r="Z95" s="77"/>
    </row>
    <row r="96" spans="1:26" ht="16.5" hidden="1" thickTop="1" x14ac:dyDescent="0.25">
      <c r="A96" s="37">
        <v>42460</v>
      </c>
      <c r="B96" s="84">
        <f t="shared" si="16"/>
        <v>13</v>
      </c>
      <c r="C96" s="41"/>
      <c r="D96" s="41">
        <v>3.125E-2</v>
      </c>
      <c r="E96" s="42"/>
      <c r="F96" s="33" t="str">
        <f t="shared" si="11"/>
        <v>--</v>
      </c>
      <c r="G96" s="88" t="b">
        <f t="shared" si="17"/>
        <v>0</v>
      </c>
      <c r="H96" s="33" t="b">
        <f t="shared" si="12"/>
        <v>0</v>
      </c>
      <c r="I96" s="33" t="b">
        <f t="shared" si="13"/>
        <v>0</v>
      </c>
      <c r="J96" s="33" t="b">
        <f t="shared" si="14"/>
        <v>0</v>
      </c>
      <c r="K96" s="33">
        <f t="shared" si="18"/>
        <v>0.33333333333333331</v>
      </c>
      <c r="L96" s="43"/>
      <c r="M96" s="43"/>
      <c r="N96" s="44"/>
      <c r="O96" s="44"/>
      <c r="P96" s="44"/>
      <c r="Q96" s="44"/>
      <c r="R96" s="36" t="str">
        <f t="shared" si="15"/>
        <v>--</v>
      </c>
      <c r="S96" s="45"/>
      <c r="T96" s="48"/>
      <c r="U96" s="45"/>
      <c r="V96" s="45"/>
      <c r="W96" s="45"/>
      <c r="X96" s="45"/>
      <c r="Y96" s="45"/>
      <c r="Z96" s="77"/>
    </row>
    <row r="97" spans="1:26" ht="16.5" hidden="1" thickTop="1" x14ac:dyDescent="0.25">
      <c r="A97" s="37">
        <v>42461</v>
      </c>
      <c r="B97" s="84">
        <f t="shared" si="16"/>
        <v>13</v>
      </c>
      <c r="C97" s="41"/>
      <c r="D97" s="41">
        <v>3.125E-2</v>
      </c>
      <c r="E97" s="42"/>
      <c r="F97" s="33" t="str">
        <f t="shared" si="11"/>
        <v>--</v>
      </c>
      <c r="G97" s="88" t="b">
        <f t="shared" si="17"/>
        <v>0</v>
      </c>
      <c r="H97" s="33" t="b">
        <f t="shared" si="12"/>
        <v>0</v>
      </c>
      <c r="I97" s="33" t="b">
        <f t="shared" si="13"/>
        <v>0</v>
      </c>
      <c r="J97" s="33" t="b">
        <f t="shared" si="14"/>
        <v>0</v>
      </c>
      <c r="K97" s="33">
        <f t="shared" si="18"/>
        <v>0.33333333333333331</v>
      </c>
      <c r="L97" s="43"/>
      <c r="M97" s="43"/>
      <c r="N97" s="44"/>
      <c r="O97" s="44"/>
      <c r="P97" s="44"/>
      <c r="Q97" s="44"/>
      <c r="R97" s="36" t="str">
        <f t="shared" si="15"/>
        <v>--</v>
      </c>
      <c r="S97" s="45"/>
      <c r="T97" s="48"/>
      <c r="U97" s="45"/>
      <c r="V97" s="45"/>
      <c r="W97" s="45"/>
      <c r="X97" s="45"/>
      <c r="Y97" s="45"/>
      <c r="Z97" s="77"/>
    </row>
    <row r="98" spans="1:26" ht="16.5" hidden="1" thickTop="1" x14ac:dyDescent="0.25">
      <c r="A98" s="37">
        <v>42462</v>
      </c>
      <c r="B98" s="84">
        <f t="shared" si="16"/>
        <v>13</v>
      </c>
      <c r="C98" s="41"/>
      <c r="D98" s="41"/>
      <c r="E98" s="42"/>
      <c r="F98" s="33" t="str">
        <f t="shared" si="11"/>
        <v>--</v>
      </c>
      <c r="G98" s="88" t="b">
        <f t="shared" si="17"/>
        <v>1</v>
      </c>
      <c r="H98" s="33" t="b">
        <f t="shared" si="12"/>
        <v>0</v>
      </c>
      <c r="I98" s="33" t="b">
        <f t="shared" si="13"/>
        <v>0</v>
      </c>
      <c r="J98" s="33" t="b">
        <f t="shared" si="14"/>
        <v>0</v>
      </c>
      <c r="K98" s="33">
        <f t="shared" si="18"/>
        <v>0</v>
      </c>
      <c r="L98" s="43"/>
      <c r="M98" s="43"/>
      <c r="N98" s="44"/>
      <c r="O98" s="44"/>
      <c r="P98" s="44"/>
      <c r="Q98" s="44"/>
      <c r="R98" s="36" t="str">
        <f t="shared" si="15"/>
        <v>--</v>
      </c>
      <c r="S98" s="45"/>
      <c r="T98" s="48"/>
      <c r="U98" s="45"/>
      <c r="V98" s="45"/>
      <c r="W98" s="45"/>
      <c r="X98" s="45"/>
      <c r="Y98" s="45"/>
      <c r="Z98" s="77"/>
    </row>
    <row r="99" spans="1:26" ht="16.5" hidden="1" thickTop="1" x14ac:dyDescent="0.25">
      <c r="A99" s="37">
        <v>42463</v>
      </c>
      <c r="B99" s="84">
        <f t="shared" si="16"/>
        <v>13</v>
      </c>
      <c r="C99" s="41"/>
      <c r="D99" s="41"/>
      <c r="E99" s="42"/>
      <c r="F99" s="33" t="str">
        <f t="shared" si="11"/>
        <v>--</v>
      </c>
      <c r="G99" s="88" t="b">
        <f t="shared" si="17"/>
        <v>1</v>
      </c>
      <c r="H99" s="33" t="b">
        <f t="shared" si="12"/>
        <v>0</v>
      </c>
      <c r="I99" s="33" t="b">
        <f t="shared" si="13"/>
        <v>0</v>
      </c>
      <c r="J99" s="33" t="b">
        <f t="shared" si="14"/>
        <v>0</v>
      </c>
      <c r="K99" s="33">
        <f t="shared" si="18"/>
        <v>0</v>
      </c>
      <c r="L99" s="43"/>
      <c r="M99" s="43"/>
      <c r="N99" s="44"/>
      <c r="O99" s="44"/>
      <c r="P99" s="44"/>
      <c r="Q99" s="44"/>
      <c r="R99" s="36" t="str">
        <f t="shared" si="15"/>
        <v>--</v>
      </c>
      <c r="S99" s="45"/>
      <c r="T99" s="48"/>
      <c r="U99" s="45"/>
      <c r="V99" s="45"/>
      <c r="W99" s="45"/>
      <c r="X99" s="45"/>
      <c r="Y99" s="45"/>
      <c r="Z99" s="77"/>
    </row>
    <row r="100" spans="1:26" ht="16.5" hidden="1" thickTop="1" x14ac:dyDescent="0.25">
      <c r="A100" s="37">
        <v>42464</v>
      </c>
      <c r="B100" s="84">
        <f t="shared" si="16"/>
        <v>14</v>
      </c>
      <c r="C100" s="41"/>
      <c r="D100" s="41">
        <v>3.125E-2</v>
      </c>
      <c r="E100" s="42"/>
      <c r="F100" s="33" t="str">
        <f t="shared" si="11"/>
        <v>--</v>
      </c>
      <c r="G100" s="88" t="b">
        <f t="shared" si="17"/>
        <v>0</v>
      </c>
      <c r="H100" s="33" t="b">
        <f t="shared" si="12"/>
        <v>0</v>
      </c>
      <c r="I100" s="33" t="b">
        <f t="shared" si="13"/>
        <v>0</v>
      </c>
      <c r="J100" s="33" t="b">
        <f t="shared" si="14"/>
        <v>0</v>
      </c>
      <c r="K100" s="33">
        <f t="shared" si="18"/>
        <v>0.33333333333333331</v>
      </c>
      <c r="L100" s="43"/>
      <c r="M100" s="43"/>
      <c r="N100" s="44"/>
      <c r="O100" s="44"/>
      <c r="P100" s="44"/>
      <c r="Q100" s="44"/>
      <c r="R100" s="36" t="str">
        <f t="shared" si="15"/>
        <v>--</v>
      </c>
      <c r="S100" s="45"/>
      <c r="T100" s="48"/>
      <c r="U100" s="45"/>
      <c r="V100" s="45"/>
      <c r="W100" s="45"/>
      <c r="X100" s="45"/>
      <c r="Y100" s="45"/>
      <c r="Z100" s="77"/>
    </row>
    <row r="101" spans="1:26" ht="16.5" hidden="1" thickTop="1" x14ac:dyDescent="0.25">
      <c r="A101" s="37">
        <v>42465</v>
      </c>
      <c r="B101" s="84">
        <f t="shared" si="16"/>
        <v>14</v>
      </c>
      <c r="C101" s="41"/>
      <c r="D101" s="41">
        <v>3.125E-2</v>
      </c>
      <c r="E101" s="42"/>
      <c r="F101" s="33" t="str">
        <f t="shared" si="11"/>
        <v>--</v>
      </c>
      <c r="G101" s="88" t="b">
        <f t="shared" si="17"/>
        <v>0</v>
      </c>
      <c r="H101" s="33" t="b">
        <f t="shared" si="12"/>
        <v>0</v>
      </c>
      <c r="I101" s="33" t="b">
        <f t="shared" si="13"/>
        <v>0</v>
      </c>
      <c r="J101" s="33" t="b">
        <f t="shared" si="14"/>
        <v>0</v>
      </c>
      <c r="K101" s="33">
        <f t="shared" si="18"/>
        <v>0.33333333333333331</v>
      </c>
      <c r="L101" s="43"/>
      <c r="M101" s="43"/>
      <c r="N101" s="44"/>
      <c r="O101" s="44"/>
      <c r="P101" s="44"/>
      <c r="Q101" s="44"/>
      <c r="R101" s="36" t="str">
        <f t="shared" si="15"/>
        <v>--</v>
      </c>
      <c r="S101" s="45"/>
      <c r="T101" s="48"/>
      <c r="U101" s="45"/>
      <c r="V101" s="45"/>
      <c r="W101" s="45"/>
      <c r="X101" s="45"/>
      <c r="Y101" s="45"/>
      <c r="Z101" s="77"/>
    </row>
    <row r="102" spans="1:26" ht="16.5" hidden="1" thickTop="1" x14ac:dyDescent="0.25">
      <c r="A102" s="37">
        <v>42466</v>
      </c>
      <c r="B102" s="84">
        <f t="shared" si="16"/>
        <v>14</v>
      </c>
      <c r="C102" s="41"/>
      <c r="D102" s="41">
        <v>3.125E-2</v>
      </c>
      <c r="E102" s="42"/>
      <c r="F102" s="33" t="str">
        <f t="shared" si="11"/>
        <v>--</v>
      </c>
      <c r="G102" s="88" t="b">
        <f t="shared" si="17"/>
        <v>0</v>
      </c>
      <c r="H102" s="33" t="b">
        <f t="shared" si="12"/>
        <v>0</v>
      </c>
      <c r="I102" s="33" t="b">
        <f t="shared" si="13"/>
        <v>0</v>
      </c>
      <c r="J102" s="33" t="b">
        <f t="shared" si="14"/>
        <v>0</v>
      </c>
      <c r="K102" s="33">
        <f t="shared" si="18"/>
        <v>0.33333333333333331</v>
      </c>
      <c r="L102" s="43"/>
      <c r="M102" s="43"/>
      <c r="N102" s="44"/>
      <c r="O102" s="44"/>
      <c r="P102" s="44"/>
      <c r="Q102" s="44"/>
      <c r="R102" s="36" t="str">
        <f t="shared" si="15"/>
        <v>--</v>
      </c>
      <c r="S102" s="45"/>
      <c r="T102" s="48"/>
      <c r="U102" s="45"/>
      <c r="V102" s="45"/>
      <c r="W102" s="45"/>
      <c r="X102" s="45"/>
      <c r="Y102" s="45"/>
      <c r="Z102" s="77"/>
    </row>
    <row r="103" spans="1:26" ht="16.5" hidden="1" thickTop="1" x14ac:dyDescent="0.25">
      <c r="A103" s="37">
        <v>42467</v>
      </c>
      <c r="B103" s="84">
        <f t="shared" si="16"/>
        <v>14</v>
      </c>
      <c r="C103" s="41"/>
      <c r="D103" s="41">
        <v>3.125E-2</v>
      </c>
      <c r="E103" s="42"/>
      <c r="F103" s="33" t="str">
        <f t="shared" si="11"/>
        <v>--</v>
      </c>
      <c r="G103" s="88" t="b">
        <f t="shared" si="17"/>
        <v>0</v>
      </c>
      <c r="H103" s="33" t="b">
        <f t="shared" si="12"/>
        <v>0</v>
      </c>
      <c r="I103" s="33" t="b">
        <f t="shared" si="13"/>
        <v>0</v>
      </c>
      <c r="J103" s="33" t="b">
        <f t="shared" si="14"/>
        <v>0</v>
      </c>
      <c r="K103" s="33">
        <f t="shared" si="18"/>
        <v>0.33333333333333331</v>
      </c>
      <c r="L103" s="43"/>
      <c r="M103" s="43"/>
      <c r="N103" s="44"/>
      <c r="O103" s="44"/>
      <c r="P103" s="44"/>
      <c r="Q103" s="44"/>
      <c r="R103" s="36" t="str">
        <f t="shared" si="15"/>
        <v>--</v>
      </c>
      <c r="S103" s="45"/>
      <c r="T103" s="48"/>
      <c r="U103" s="45"/>
      <c r="V103" s="45"/>
      <c r="W103" s="45"/>
      <c r="X103" s="45"/>
      <c r="Y103" s="45"/>
      <c r="Z103" s="77"/>
    </row>
    <row r="104" spans="1:26" ht="16.5" hidden="1" thickTop="1" x14ac:dyDescent="0.25">
      <c r="A104" s="37">
        <v>42468</v>
      </c>
      <c r="B104" s="84">
        <f t="shared" si="16"/>
        <v>14</v>
      </c>
      <c r="C104" s="41"/>
      <c r="D104" s="41">
        <v>3.125E-2</v>
      </c>
      <c r="E104" s="42"/>
      <c r="F104" s="33" t="str">
        <f t="shared" si="11"/>
        <v>--</v>
      </c>
      <c r="G104" s="88" t="b">
        <f t="shared" si="17"/>
        <v>0</v>
      </c>
      <c r="H104" s="33" t="b">
        <f t="shared" si="12"/>
        <v>0</v>
      </c>
      <c r="I104" s="33" t="b">
        <f t="shared" si="13"/>
        <v>0</v>
      </c>
      <c r="J104" s="33" t="b">
        <f t="shared" si="14"/>
        <v>0</v>
      </c>
      <c r="K104" s="33">
        <f t="shared" si="18"/>
        <v>0.33333333333333331</v>
      </c>
      <c r="L104" s="43"/>
      <c r="M104" s="43"/>
      <c r="N104" s="44"/>
      <c r="O104" s="44"/>
      <c r="P104" s="44"/>
      <c r="Q104" s="44"/>
      <c r="R104" s="36" t="str">
        <f t="shared" si="15"/>
        <v>--</v>
      </c>
      <c r="S104" s="45"/>
      <c r="T104" s="48"/>
      <c r="U104" s="45"/>
      <c r="V104" s="45"/>
      <c r="W104" s="45"/>
      <c r="X104" s="45"/>
      <c r="Y104" s="45"/>
      <c r="Z104" s="77"/>
    </row>
    <row r="105" spans="1:26" ht="16.5" hidden="1" thickTop="1" x14ac:dyDescent="0.25">
      <c r="A105" s="37">
        <v>42469</v>
      </c>
      <c r="B105" s="84">
        <f t="shared" si="16"/>
        <v>14</v>
      </c>
      <c r="C105" s="41"/>
      <c r="D105" s="41"/>
      <c r="E105" s="42"/>
      <c r="F105" s="33" t="str">
        <f t="shared" si="11"/>
        <v>--</v>
      </c>
      <c r="G105" s="88" t="b">
        <f t="shared" si="17"/>
        <v>1</v>
      </c>
      <c r="H105" s="33" t="b">
        <f t="shared" si="12"/>
        <v>0</v>
      </c>
      <c r="I105" s="33" t="b">
        <f t="shared" si="13"/>
        <v>0</v>
      </c>
      <c r="J105" s="33" t="b">
        <f t="shared" si="14"/>
        <v>0</v>
      </c>
      <c r="K105" s="33">
        <f t="shared" si="18"/>
        <v>0</v>
      </c>
      <c r="L105" s="43"/>
      <c r="M105" s="43"/>
      <c r="N105" s="44"/>
      <c r="O105" s="44"/>
      <c r="P105" s="44"/>
      <c r="Q105" s="44"/>
      <c r="R105" s="36" t="str">
        <f t="shared" si="15"/>
        <v>--</v>
      </c>
      <c r="S105" s="45"/>
      <c r="T105" s="48"/>
      <c r="U105" s="45"/>
      <c r="V105" s="45"/>
      <c r="W105" s="45"/>
      <c r="X105" s="45"/>
      <c r="Y105" s="45"/>
      <c r="Z105" s="77"/>
    </row>
    <row r="106" spans="1:26" ht="16.5" hidden="1" thickTop="1" x14ac:dyDescent="0.25">
      <c r="A106" s="37">
        <v>42470</v>
      </c>
      <c r="B106" s="84">
        <f t="shared" si="16"/>
        <v>14</v>
      </c>
      <c r="C106" s="41"/>
      <c r="D106" s="41"/>
      <c r="E106" s="42"/>
      <c r="F106" s="33" t="str">
        <f t="shared" si="11"/>
        <v>--</v>
      </c>
      <c r="G106" s="88" t="b">
        <f t="shared" si="17"/>
        <v>1</v>
      </c>
      <c r="H106" s="33" t="b">
        <f t="shared" si="12"/>
        <v>0</v>
      </c>
      <c r="I106" s="33" t="b">
        <f t="shared" si="13"/>
        <v>0</v>
      </c>
      <c r="J106" s="33" t="b">
        <f t="shared" si="14"/>
        <v>0</v>
      </c>
      <c r="K106" s="33">
        <f t="shared" si="18"/>
        <v>0</v>
      </c>
      <c r="L106" s="43"/>
      <c r="M106" s="43"/>
      <c r="N106" s="44"/>
      <c r="O106" s="44"/>
      <c r="P106" s="44"/>
      <c r="Q106" s="44"/>
      <c r="R106" s="36" t="str">
        <f t="shared" si="15"/>
        <v>--</v>
      </c>
      <c r="S106" s="45"/>
      <c r="T106" s="48"/>
      <c r="U106" s="45"/>
      <c r="V106" s="45"/>
      <c r="W106" s="45"/>
      <c r="X106" s="45"/>
      <c r="Y106" s="45"/>
      <c r="Z106" s="77"/>
    </row>
    <row r="107" spans="1:26" ht="16.5" hidden="1" thickTop="1" x14ac:dyDescent="0.25">
      <c r="A107" s="37">
        <v>42471</v>
      </c>
      <c r="B107" s="84">
        <f t="shared" si="16"/>
        <v>15</v>
      </c>
      <c r="C107" s="41"/>
      <c r="D107" s="41">
        <v>3.125E-2</v>
      </c>
      <c r="E107" s="42"/>
      <c r="F107" s="33" t="str">
        <f t="shared" si="11"/>
        <v>--</v>
      </c>
      <c r="G107" s="88" t="b">
        <f t="shared" si="17"/>
        <v>0</v>
      </c>
      <c r="H107" s="33" t="b">
        <f t="shared" si="12"/>
        <v>0</v>
      </c>
      <c r="I107" s="33" t="b">
        <f t="shared" si="13"/>
        <v>0</v>
      </c>
      <c r="J107" s="33" t="b">
        <f t="shared" si="14"/>
        <v>0</v>
      </c>
      <c r="K107" s="33">
        <f t="shared" si="18"/>
        <v>0.33333333333333331</v>
      </c>
      <c r="L107" s="43"/>
      <c r="M107" s="43"/>
      <c r="N107" s="44"/>
      <c r="O107" s="44"/>
      <c r="P107" s="44"/>
      <c r="Q107" s="44"/>
      <c r="R107" s="36" t="str">
        <f t="shared" si="15"/>
        <v>--</v>
      </c>
      <c r="S107" s="45"/>
      <c r="T107" s="48"/>
      <c r="U107" s="45"/>
      <c r="V107" s="45"/>
      <c r="W107" s="45"/>
      <c r="X107" s="45"/>
      <c r="Y107" s="45"/>
      <c r="Z107" s="77"/>
    </row>
    <row r="108" spans="1:26" ht="16.5" hidden="1" thickTop="1" x14ac:dyDescent="0.25">
      <c r="A108" s="37">
        <v>42472</v>
      </c>
      <c r="B108" s="84">
        <f t="shared" si="16"/>
        <v>15</v>
      </c>
      <c r="C108" s="41"/>
      <c r="D108" s="41">
        <v>3.125E-2</v>
      </c>
      <c r="E108" s="42"/>
      <c r="F108" s="33" t="str">
        <f t="shared" si="11"/>
        <v>--</v>
      </c>
      <c r="G108" s="88" t="b">
        <f t="shared" si="17"/>
        <v>0</v>
      </c>
      <c r="H108" s="33" t="b">
        <f t="shared" si="12"/>
        <v>0</v>
      </c>
      <c r="I108" s="33" t="b">
        <f t="shared" si="13"/>
        <v>0</v>
      </c>
      <c r="J108" s="33" t="b">
        <f t="shared" si="14"/>
        <v>0</v>
      </c>
      <c r="K108" s="33">
        <f t="shared" si="18"/>
        <v>0.33333333333333331</v>
      </c>
      <c r="L108" s="43"/>
      <c r="M108" s="43"/>
      <c r="N108" s="44"/>
      <c r="O108" s="44"/>
      <c r="P108" s="44"/>
      <c r="Q108" s="44"/>
      <c r="R108" s="36" t="str">
        <f t="shared" si="15"/>
        <v>--</v>
      </c>
      <c r="S108" s="45"/>
      <c r="T108" s="48"/>
      <c r="U108" s="45"/>
      <c r="V108" s="45"/>
      <c r="W108" s="45"/>
      <c r="X108" s="45"/>
      <c r="Y108" s="45"/>
      <c r="Z108" s="77"/>
    </row>
    <row r="109" spans="1:26" ht="16.5" hidden="1" thickTop="1" x14ac:dyDescent="0.25">
      <c r="A109" s="37">
        <v>42473</v>
      </c>
      <c r="B109" s="84">
        <f t="shared" si="16"/>
        <v>15</v>
      </c>
      <c r="C109" s="41"/>
      <c r="D109" s="41">
        <v>3.125E-2</v>
      </c>
      <c r="E109" s="42"/>
      <c r="F109" s="33" t="str">
        <f t="shared" si="11"/>
        <v>--</v>
      </c>
      <c r="G109" s="88" t="b">
        <f t="shared" si="17"/>
        <v>0</v>
      </c>
      <c r="H109" s="33" t="b">
        <f t="shared" si="12"/>
        <v>0</v>
      </c>
      <c r="I109" s="33" t="b">
        <f t="shared" si="13"/>
        <v>0</v>
      </c>
      <c r="J109" s="33" t="b">
        <f t="shared" si="14"/>
        <v>0</v>
      </c>
      <c r="K109" s="33">
        <f t="shared" si="18"/>
        <v>0.33333333333333331</v>
      </c>
      <c r="L109" s="43"/>
      <c r="M109" s="43"/>
      <c r="N109" s="44"/>
      <c r="O109" s="44"/>
      <c r="P109" s="44"/>
      <c r="Q109" s="44"/>
      <c r="R109" s="36" t="str">
        <f t="shared" si="15"/>
        <v>--</v>
      </c>
      <c r="S109" s="45"/>
      <c r="T109" s="48"/>
      <c r="U109" s="45"/>
      <c r="V109" s="45"/>
      <c r="W109" s="45"/>
      <c r="X109" s="45"/>
      <c r="Y109" s="45"/>
      <c r="Z109" s="77"/>
    </row>
    <row r="110" spans="1:26" ht="16.5" hidden="1" thickTop="1" x14ac:dyDescent="0.25">
      <c r="A110" s="37">
        <v>42474</v>
      </c>
      <c r="B110" s="84">
        <f t="shared" si="16"/>
        <v>15</v>
      </c>
      <c r="C110" s="41"/>
      <c r="D110" s="41">
        <v>3.125E-2</v>
      </c>
      <c r="E110" s="42"/>
      <c r="F110" s="33" t="str">
        <f t="shared" si="11"/>
        <v>--</v>
      </c>
      <c r="G110" s="88" t="b">
        <f t="shared" si="17"/>
        <v>0</v>
      </c>
      <c r="H110" s="33" t="b">
        <f t="shared" si="12"/>
        <v>0</v>
      </c>
      <c r="I110" s="33" t="b">
        <f t="shared" si="13"/>
        <v>0</v>
      </c>
      <c r="J110" s="33" t="b">
        <f t="shared" si="14"/>
        <v>0</v>
      </c>
      <c r="K110" s="33">
        <f t="shared" si="18"/>
        <v>0.33333333333333331</v>
      </c>
      <c r="L110" s="43"/>
      <c r="M110" s="43"/>
      <c r="N110" s="44"/>
      <c r="O110" s="44"/>
      <c r="P110" s="44"/>
      <c r="Q110" s="44"/>
      <c r="R110" s="36" t="str">
        <f t="shared" si="15"/>
        <v>--</v>
      </c>
      <c r="S110" s="45"/>
      <c r="T110" s="48"/>
      <c r="U110" s="45"/>
      <c r="V110" s="45"/>
      <c r="W110" s="45"/>
      <c r="X110" s="45"/>
      <c r="Y110" s="45"/>
      <c r="Z110" s="77"/>
    </row>
    <row r="111" spans="1:26" ht="16.5" hidden="1" thickTop="1" x14ac:dyDescent="0.25">
      <c r="A111" s="37">
        <v>42475</v>
      </c>
      <c r="B111" s="84">
        <f t="shared" si="16"/>
        <v>15</v>
      </c>
      <c r="C111" s="41"/>
      <c r="D111" s="41">
        <v>3.125E-2</v>
      </c>
      <c r="E111" s="42"/>
      <c r="F111" s="33" t="str">
        <f t="shared" si="11"/>
        <v>--</v>
      </c>
      <c r="G111" s="88" t="b">
        <f t="shared" si="17"/>
        <v>0</v>
      </c>
      <c r="H111" s="33" t="b">
        <f t="shared" si="12"/>
        <v>0</v>
      </c>
      <c r="I111" s="33" t="b">
        <f t="shared" si="13"/>
        <v>0</v>
      </c>
      <c r="J111" s="33" t="b">
        <f t="shared" si="14"/>
        <v>0</v>
      </c>
      <c r="K111" s="33">
        <f t="shared" si="18"/>
        <v>0.33333333333333331</v>
      </c>
      <c r="L111" s="43"/>
      <c r="M111" s="43"/>
      <c r="N111" s="44"/>
      <c r="O111" s="44"/>
      <c r="P111" s="44"/>
      <c r="Q111" s="44"/>
      <c r="R111" s="36" t="str">
        <f t="shared" si="15"/>
        <v>--</v>
      </c>
      <c r="S111" s="45"/>
      <c r="T111" s="48"/>
      <c r="U111" s="45"/>
      <c r="V111" s="45"/>
      <c r="W111" s="45"/>
      <c r="X111" s="45"/>
      <c r="Y111" s="45"/>
      <c r="Z111" s="77"/>
    </row>
    <row r="112" spans="1:26" ht="16.5" hidden="1" thickTop="1" x14ac:dyDescent="0.25">
      <c r="A112" s="37">
        <v>42476</v>
      </c>
      <c r="B112" s="84">
        <f t="shared" si="16"/>
        <v>15</v>
      </c>
      <c r="C112" s="41"/>
      <c r="D112" s="41"/>
      <c r="E112" s="42"/>
      <c r="F112" s="33" t="str">
        <f t="shared" si="11"/>
        <v>--</v>
      </c>
      <c r="G112" s="88" t="b">
        <f t="shared" si="17"/>
        <v>1</v>
      </c>
      <c r="H112" s="33" t="b">
        <f t="shared" si="12"/>
        <v>0</v>
      </c>
      <c r="I112" s="33" t="b">
        <f t="shared" si="13"/>
        <v>0</v>
      </c>
      <c r="J112" s="33" t="b">
        <f t="shared" si="14"/>
        <v>0</v>
      </c>
      <c r="K112" s="33">
        <f t="shared" si="18"/>
        <v>0</v>
      </c>
      <c r="L112" s="43"/>
      <c r="M112" s="43"/>
      <c r="N112" s="44"/>
      <c r="O112" s="44"/>
      <c r="P112" s="44"/>
      <c r="Q112" s="44"/>
      <c r="R112" s="36" t="str">
        <f t="shared" si="15"/>
        <v>--</v>
      </c>
      <c r="S112" s="45"/>
      <c r="T112" s="48"/>
      <c r="U112" s="45"/>
      <c r="V112" s="45"/>
      <c r="W112" s="45"/>
      <c r="X112" s="45"/>
      <c r="Y112" s="45"/>
      <c r="Z112" s="77"/>
    </row>
    <row r="113" spans="1:26" ht="16.5" hidden="1" thickTop="1" x14ac:dyDescent="0.25">
      <c r="A113" s="37">
        <v>42477</v>
      </c>
      <c r="B113" s="84">
        <f t="shared" si="16"/>
        <v>15</v>
      </c>
      <c r="C113" s="41"/>
      <c r="D113" s="41"/>
      <c r="E113" s="42"/>
      <c r="F113" s="33" t="str">
        <f t="shared" si="11"/>
        <v>--</v>
      </c>
      <c r="G113" s="88" t="b">
        <f t="shared" si="17"/>
        <v>1</v>
      </c>
      <c r="H113" s="33" t="b">
        <f t="shared" si="12"/>
        <v>0</v>
      </c>
      <c r="I113" s="33" t="b">
        <f t="shared" si="13"/>
        <v>0</v>
      </c>
      <c r="J113" s="33" t="b">
        <f t="shared" si="14"/>
        <v>0</v>
      </c>
      <c r="K113" s="33">
        <f t="shared" si="18"/>
        <v>0</v>
      </c>
      <c r="L113" s="43"/>
      <c r="M113" s="43"/>
      <c r="N113" s="44"/>
      <c r="O113" s="44"/>
      <c r="P113" s="44"/>
      <c r="Q113" s="44"/>
      <c r="R113" s="36" t="str">
        <f t="shared" si="15"/>
        <v>--</v>
      </c>
      <c r="S113" s="45"/>
      <c r="T113" s="48"/>
      <c r="U113" s="45"/>
      <c r="V113" s="45"/>
      <c r="W113" s="45"/>
      <c r="X113" s="45"/>
      <c r="Y113" s="45"/>
      <c r="Z113" s="77"/>
    </row>
    <row r="114" spans="1:26" ht="16.5" hidden="1" thickTop="1" x14ac:dyDescent="0.25">
      <c r="A114" s="37">
        <v>42478</v>
      </c>
      <c r="B114" s="84">
        <f t="shared" si="16"/>
        <v>16</v>
      </c>
      <c r="C114" s="41"/>
      <c r="D114" s="41">
        <v>3.125E-2</v>
      </c>
      <c r="E114" s="42"/>
      <c r="F114" s="33" t="str">
        <f t="shared" si="11"/>
        <v>--</v>
      </c>
      <c r="G114" s="88" t="b">
        <f t="shared" si="17"/>
        <v>0</v>
      </c>
      <c r="H114" s="33" t="b">
        <f t="shared" si="12"/>
        <v>0</v>
      </c>
      <c r="I114" s="33" t="b">
        <f t="shared" si="13"/>
        <v>0</v>
      </c>
      <c r="J114" s="33" t="b">
        <f t="shared" si="14"/>
        <v>0</v>
      </c>
      <c r="K114" s="33">
        <f t="shared" si="18"/>
        <v>0.33333333333333331</v>
      </c>
      <c r="L114" s="43"/>
      <c r="M114" s="43"/>
      <c r="N114" s="44"/>
      <c r="O114" s="44"/>
      <c r="P114" s="44"/>
      <c r="Q114" s="44"/>
      <c r="R114" s="36" t="str">
        <f t="shared" si="15"/>
        <v>--</v>
      </c>
      <c r="S114" s="45"/>
      <c r="T114" s="48"/>
      <c r="U114" s="45"/>
      <c r="V114" s="45"/>
      <c r="W114" s="45"/>
      <c r="X114" s="45"/>
      <c r="Y114" s="45"/>
      <c r="Z114" s="77"/>
    </row>
    <row r="115" spans="1:26" ht="16.5" hidden="1" thickTop="1" x14ac:dyDescent="0.25">
      <c r="A115" s="37">
        <v>42479</v>
      </c>
      <c r="B115" s="84">
        <f t="shared" si="16"/>
        <v>16</v>
      </c>
      <c r="C115" s="41"/>
      <c r="D115" s="41">
        <v>3.125E-2</v>
      </c>
      <c r="E115" s="42"/>
      <c r="F115" s="33" t="str">
        <f t="shared" si="11"/>
        <v>--</v>
      </c>
      <c r="G115" s="88" t="b">
        <f t="shared" si="17"/>
        <v>0</v>
      </c>
      <c r="H115" s="33" t="b">
        <f t="shared" si="12"/>
        <v>0</v>
      </c>
      <c r="I115" s="33" t="b">
        <f t="shared" si="13"/>
        <v>0</v>
      </c>
      <c r="J115" s="33" t="b">
        <f t="shared" si="14"/>
        <v>0</v>
      </c>
      <c r="K115" s="33">
        <f t="shared" si="18"/>
        <v>0.33333333333333331</v>
      </c>
      <c r="L115" s="43"/>
      <c r="M115" s="43"/>
      <c r="N115" s="44"/>
      <c r="O115" s="44"/>
      <c r="P115" s="44"/>
      <c r="Q115" s="44"/>
      <c r="R115" s="36" t="str">
        <f t="shared" si="15"/>
        <v>--</v>
      </c>
      <c r="S115" s="45"/>
      <c r="T115" s="48"/>
      <c r="U115" s="45"/>
      <c r="V115" s="45"/>
      <c r="W115" s="45"/>
      <c r="X115" s="45"/>
      <c r="Y115" s="45"/>
      <c r="Z115" s="77"/>
    </row>
    <row r="116" spans="1:26" ht="16.5" hidden="1" thickTop="1" x14ac:dyDescent="0.25">
      <c r="A116" s="37">
        <v>42480</v>
      </c>
      <c r="B116" s="84">
        <f t="shared" si="16"/>
        <v>16</v>
      </c>
      <c r="C116" s="41"/>
      <c r="D116" s="41">
        <v>3.125E-2</v>
      </c>
      <c r="E116" s="42"/>
      <c r="F116" s="33" t="str">
        <f t="shared" si="11"/>
        <v>--</v>
      </c>
      <c r="G116" s="88" t="b">
        <f t="shared" si="17"/>
        <v>0</v>
      </c>
      <c r="H116" s="33" t="b">
        <f t="shared" si="12"/>
        <v>0</v>
      </c>
      <c r="I116" s="33" t="b">
        <f t="shared" si="13"/>
        <v>0</v>
      </c>
      <c r="J116" s="33" t="b">
        <f t="shared" si="14"/>
        <v>0</v>
      </c>
      <c r="K116" s="33">
        <f t="shared" si="18"/>
        <v>0.33333333333333331</v>
      </c>
      <c r="L116" s="43"/>
      <c r="M116" s="43"/>
      <c r="N116" s="44"/>
      <c r="O116" s="44"/>
      <c r="P116" s="44"/>
      <c r="Q116" s="44"/>
      <c r="R116" s="36" t="str">
        <f t="shared" si="15"/>
        <v>--</v>
      </c>
      <c r="S116" s="45"/>
      <c r="T116" s="48"/>
      <c r="U116" s="45"/>
      <c r="V116" s="45"/>
      <c r="W116" s="45"/>
      <c r="X116" s="45"/>
      <c r="Y116" s="45"/>
      <c r="Z116" s="77"/>
    </row>
    <row r="117" spans="1:26" ht="16.5" hidden="1" thickTop="1" x14ac:dyDescent="0.25">
      <c r="A117" s="37">
        <v>42481</v>
      </c>
      <c r="B117" s="84">
        <f t="shared" si="16"/>
        <v>16</v>
      </c>
      <c r="C117" s="41"/>
      <c r="D117" s="41">
        <v>3.125E-2</v>
      </c>
      <c r="E117" s="42"/>
      <c r="F117" s="33" t="str">
        <f t="shared" si="11"/>
        <v>--</v>
      </c>
      <c r="G117" s="88" t="b">
        <f t="shared" si="17"/>
        <v>0</v>
      </c>
      <c r="H117" s="33" t="b">
        <f t="shared" si="12"/>
        <v>0</v>
      </c>
      <c r="I117" s="33" t="b">
        <f t="shared" si="13"/>
        <v>0</v>
      </c>
      <c r="J117" s="33" t="b">
        <f t="shared" si="14"/>
        <v>0</v>
      </c>
      <c r="K117" s="33">
        <f t="shared" si="18"/>
        <v>0.33333333333333331</v>
      </c>
      <c r="L117" s="43"/>
      <c r="M117" s="43"/>
      <c r="N117" s="44"/>
      <c r="O117" s="44"/>
      <c r="P117" s="44"/>
      <c r="Q117" s="44"/>
      <c r="R117" s="36" t="str">
        <f t="shared" si="15"/>
        <v>--</v>
      </c>
      <c r="S117" s="45"/>
      <c r="T117" s="48"/>
      <c r="U117" s="45"/>
      <c r="V117" s="45"/>
      <c r="W117" s="45"/>
      <c r="X117" s="45"/>
      <c r="Y117" s="45"/>
      <c r="Z117" s="77"/>
    </row>
    <row r="118" spans="1:26" ht="16.5" hidden="1" thickTop="1" x14ac:dyDescent="0.25">
      <c r="A118" s="37">
        <v>42482</v>
      </c>
      <c r="B118" s="84">
        <f t="shared" si="16"/>
        <v>16</v>
      </c>
      <c r="C118" s="41"/>
      <c r="D118" s="41">
        <v>3.125E-2</v>
      </c>
      <c r="E118" s="42"/>
      <c r="F118" s="33" t="str">
        <f t="shared" si="11"/>
        <v>--</v>
      </c>
      <c r="G118" s="88" t="b">
        <f t="shared" si="17"/>
        <v>0</v>
      </c>
      <c r="H118" s="33" t="b">
        <f t="shared" si="12"/>
        <v>0</v>
      </c>
      <c r="I118" s="33" t="b">
        <f t="shared" si="13"/>
        <v>0</v>
      </c>
      <c r="J118" s="33" t="b">
        <f t="shared" si="14"/>
        <v>0</v>
      </c>
      <c r="K118" s="33">
        <f t="shared" si="18"/>
        <v>0.33333333333333331</v>
      </c>
      <c r="L118" s="43"/>
      <c r="M118" s="43"/>
      <c r="N118" s="44"/>
      <c r="O118" s="44"/>
      <c r="P118" s="44"/>
      <c r="Q118" s="44"/>
      <c r="R118" s="36" t="str">
        <f t="shared" si="15"/>
        <v>--</v>
      </c>
      <c r="S118" s="45"/>
      <c r="T118" s="48"/>
      <c r="U118" s="45"/>
      <c r="V118" s="45"/>
      <c r="W118" s="45"/>
      <c r="X118" s="45"/>
      <c r="Y118" s="45"/>
      <c r="Z118" s="77"/>
    </row>
    <row r="119" spans="1:26" ht="16.5" hidden="1" thickTop="1" x14ac:dyDescent="0.25">
      <c r="A119" s="37">
        <v>42483</v>
      </c>
      <c r="B119" s="84">
        <f t="shared" si="16"/>
        <v>16</v>
      </c>
      <c r="C119" s="41"/>
      <c r="D119" s="41"/>
      <c r="E119" s="42"/>
      <c r="F119" s="33" t="str">
        <f t="shared" si="11"/>
        <v>--</v>
      </c>
      <c r="G119" s="88" t="b">
        <f t="shared" si="17"/>
        <v>1</v>
      </c>
      <c r="H119" s="33" t="b">
        <f t="shared" si="12"/>
        <v>0</v>
      </c>
      <c r="I119" s="33" t="b">
        <f t="shared" si="13"/>
        <v>0</v>
      </c>
      <c r="J119" s="33" t="b">
        <f t="shared" si="14"/>
        <v>0</v>
      </c>
      <c r="K119" s="33">
        <f t="shared" si="18"/>
        <v>0</v>
      </c>
      <c r="L119" s="43"/>
      <c r="M119" s="43"/>
      <c r="N119" s="44"/>
      <c r="O119" s="44"/>
      <c r="P119" s="44"/>
      <c r="Q119" s="44"/>
      <c r="R119" s="36" t="str">
        <f t="shared" si="15"/>
        <v>--</v>
      </c>
      <c r="S119" s="45"/>
      <c r="T119" s="48"/>
      <c r="U119" s="45"/>
      <c r="V119" s="45"/>
      <c r="W119" s="45"/>
      <c r="X119" s="45"/>
      <c r="Y119" s="45"/>
      <c r="Z119" s="77"/>
    </row>
    <row r="120" spans="1:26" ht="16.5" hidden="1" thickTop="1" x14ac:dyDescent="0.25">
      <c r="A120" s="37">
        <v>42484</v>
      </c>
      <c r="B120" s="84">
        <f t="shared" si="16"/>
        <v>16</v>
      </c>
      <c r="C120" s="41"/>
      <c r="D120" s="41"/>
      <c r="E120" s="42"/>
      <c r="F120" s="33" t="str">
        <f t="shared" si="11"/>
        <v>--</v>
      </c>
      <c r="G120" s="88" t="b">
        <f t="shared" si="17"/>
        <v>1</v>
      </c>
      <c r="H120" s="33" t="b">
        <f t="shared" si="12"/>
        <v>0</v>
      </c>
      <c r="I120" s="33" t="b">
        <f t="shared" si="13"/>
        <v>0</v>
      </c>
      <c r="J120" s="33" t="b">
        <f t="shared" si="14"/>
        <v>0</v>
      </c>
      <c r="K120" s="33">
        <f t="shared" si="18"/>
        <v>0</v>
      </c>
      <c r="L120" s="43"/>
      <c r="M120" s="43"/>
      <c r="N120" s="44"/>
      <c r="O120" s="44"/>
      <c r="P120" s="44"/>
      <c r="Q120" s="44"/>
      <c r="R120" s="36" t="str">
        <f t="shared" si="15"/>
        <v>--</v>
      </c>
      <c r="S120" s="45"/>
      <c r="T120" s="48"/>
      <c r="U120" s="45"/>
      <c r="V120" s="45"/>
      <c r="W120" s="45"/>
      <c r="X120" s="45"/>
      <c r="Y120" s="45"/>
      <c r="Z120" s="77"/>
    </row>
    <row r="121" spans="1:26" ht="16.5" hidden="1" thickTop="1" x14ac:dyDescent="0.25">
      <c r="A121" s="37">
        <v>42485</v>
      </c>
      <c r="B121" s="84">
        <f t="shared" si="16"/>
        <v>17</v>
      </c>
      <c r="C121" s="41"/>
      <c r="D121" s="41">
        <v>3.125E-2</v>
      </c>
      <c r="E121" s="42"/>
      <c r="F121" s="33" t="str">
        <f t="shared" si="11"/>
        <v>--</v>
      </c>
      <c r="G121" s="88" t="b">
        <f t="shared" si="17"/>
        <v>0</v>
      </c>
      <c r="H121" s="33" t="b">
        <f t="shared" si="12"/>
        <v>0</v>
      </c>
      <c r="I121" s="33" t="b">
        <f t="shared" si="13"/>
        <v>0</v>
      </c>
      <c r="J121" s="33" t="b">
        <f t="shared" si="14"/>
        <v>0</v>
      </c>
      <c r="K121" s="33">
        <f t="shared" si="18"/>
        <v>0.33333333333333331</v>
      </c>
      <c r="L121" s="43"/>
      <c r="M121" s="43"/>
      <c r="N121" s="44"/>
      <c r="O121" s="44"/>
      <c r="P121" s="44"/>
      <c r="Q121" s="44"/>
      <c r="R121" s="36" t="str">
        <f t="shared" si="15"/>
        <v>--</v>
      </c>
      <c r="S121" s="45"/>
      <c r="T121" s="48"/>
      <c r="U121" s="45"/>
      <c r="V121" s="45"/>
      <c r="W121" s="45"/>
      <c r="X121" s="45"/>
      <c r="Y121" s="45"/>
      <c r="Z121" s="77"/>
    </row>
    <row r="122" spans="1:26" ht="16.5" hidden="1" thickTop="1" x14ac:dyDescent="0.25">
      <c r="A122" s="37">
        <v>42486</v>
      </c>
      <c r="B122" s="84">
        <f t="shared" si="16"/>
        <v>17</v>
      </c>
      <c r="C122" s="41"/>
      <c r="D122" s="41">
        <v>3.125E-2</v>
      </c>
      <c r="E122" s="42"/>
      <c r="F122" s="33" t="str">
        <f t="shared" si="11"/>
        <v>--</v>
      </c>
      <c r="G122" s="88" t="b">
        <f t="shared" si="17"/>
        <v>0</v>
      </c>
      <c r="H122" s="33" t="b">
        <f t="shared" si="12"/>
        <v>0</v>
      </c>
      <c r="I122" s="33" t="b">
        <f t="shared" si="13"/>
        <v>0</v>
      </c>
      <c r="J122" s="33" t="b">
        <f t="shared" si="14"/>
        <v>0</v>
      </c>
      <c r="K122" s="33">
        <f t="shared" si="18"/>
        <v>0.33333333333333331</v>
      </c>
      <c r="L122" s="43"/>
      <c r="M122" s="43"/>
      <c r="N122" s="44"/>
      <c r="O122" s="44"/>
      <c r="P122" s="44"/>
      <c r="Q122" s="44"/>
      <c r="R122" s="36" t="str">
        <f t="shared" si="15"/>
        <v>--</v>
      </c>
      <c r="S122" s="45"/>
      <c r="T122" s="48"/>
      <c r="U122" s="45"/>
      <c r="V122" s="45"/>
      <c r="W122" s="45"/>
      <c r="X122" s="45"/>
      <c r="Y122" s="45"/>
      <c r="Z122" s="77"/>
    </row>
    <row r="123" spans="1:26" ht="16.5" hidden="1" thickTop="1" x14ac:dyDescent="0.25">
      <c r="A123" s="37">
        <v>42487</v>
      </c>
      <c r="B123" s="84">
        <f t="shared" si="16"/>
        <v>17</v>
      </c>
      <c r="C123" s="41"/>
      <c r="D123" s="41">
        <v>3.125E-2</v>
      </c>
      <c r="E123" s="42"/>
      <c r="F123" s="33" t="str">
        <f t="shared" si="11"/>
        <v>--</v>
      </c>
      <c r="G123" s="88" t="b">
        <f t="shared" si="17"/>
        <v>0</v>
      </c>
      <c r="H123" s="33" t="b">
        <f t="shared" si="12"/>
        <v>0</v>
      </c>
      <c r="I123" s="33" t="b">
        <f t="shared" si="13"/>
        <v>0</v>
      </c>
      <c r="J123" s="33" t="b">
        <f t="shared" si="14"/>
        <v>0</v>
      </c>
      <c r="K123" s="33">
        <f t="shared" si="18"/>
        <v>0.33333333333333331</v>
      </c>
      <c r="L123" s="43"/>
      <c r="M123" s="43"/>
      <c r="N123" s="44"/>
      <c r="O123" s="44"/>
      <c r="P123" s="44"/>
      <c r="Q123" s="44"/>
      <c r="R123" s="36" t="str">
        <f t="shared" si="15"/>
        <v>--</v>
      </c>
      <c r="S123" s="45"/>
      <c r="T123" s="48"/>
      <c r="U123" s="45"/>
      <c r="V123" s="45"/>
      <c r="W123" s="45"/>
      <c r="X123" s="45"/>
      <c r="Y123" s="45"/>
      <c r="Z123" s="77"/>
    </row>
    <row r="124" spans="1:26" ht="16.5" hidden="1" thickTop="1" x14ac:dyDescent="0.25">
      <c r="A124" s="37">
        <v>42488</v>
      </c>
      <c r="B124" s="84">
        <f t="shared" si="16"/>
        <v>17</v>
      </c>
      <c r="C124" s="41"/>
      <c r="D124" s="41">
        <v>3.125E-2</v>
      </c>
      <c r="E124" s="42"/>
      <c r="F124" s="33" t="str">
        <f t="shared" si="11"/>
        <v>--</v>
      </c>
      <c r="G124" s="88" t="b">
        <f t="shared" si="17"/>
        <v>0</v>
      </c>
      <c r="H124" s="33" t="b">
        <f t="shared" si="12"/>
        <v>0</v>
      </c>
      <c r="I124" s="33" t="b">
        <f t="shared" si="13"/>
        <v>0</v>
      </c>
      <c r="J124" s="33" t="b">
        <f t="shared" si="14"/>
        <v>0</v>
      </c>
      <c r="K124" s="33">
        <f t="shared" si="18"/>
        <v>0.33333333333333331</v>
      </c>
      <c r="L124" s="43"/>
      <c r="M124" s="43"/>
      <c r="N124" s="44"/>
      <c r="O124" s="44"/>
      <c r="P124" s="44"/>
      <c r="Q124" s="44"/>
      <c r="R124" s="36" t="str">
        <f t="shared" si="15"/>
        <v>--</v>
      </c>
      <c r="S124" s="45"/>
      <c r="T124" s="48"/>
      <c r="U124" s="45"/>
      <c r="V124" s="45"/>
      <c r="W124" s="45"/>
      <c r="X124" s="45"/>
      <c r="Y124" s="45"/>
      <c r="Z124" s="77"/>
    </row>
    <row r="125" spans="1:26" ht="16.5" hidden="1" thickTop="1" x14ac:dyDescent="0.25">
      <c r="A125" s="37">
        <v>42489</v>
      </c>
      <c r="B125" s="84">
        <f t="shared" si="16"/>
        <v>17</v>
      </c>
      <c r="C125" s="41"/>
      <c r="D125" s="41">
        <v>3.125E-2</v>
      </c>
      <c r="E125" s="42"/>
      <c r="F125" s="33" t="str">
        <f t="shared" si="11"/>
        <v>--</v>
      </c>
      <c r="G125" s="88" t="b">
        <f t="shared" si="17"/>
        <v>0</v>
      </c>
      <c r="H125" s="33" t="b">
        <f t="shared" si="12"/>
        <v>0</v>
      </c>
      <c r="I125" s="33" t="b">
        <f t="shared" si="13"/>
        <v>0</v>
      </c>
      <c r="J125" s="33" t="b">
        <f t="shared" si="14"/>
        <v>0</v>
      </c>
      <c r="K125" s="33">
        <f t="shared" si="18"/>
        <v>0.33333333333333331</v>
      </c>
      <c r="L125" s="43"/>
      <c r="M125" s="43"/>
      <c r="N125" s="44"/>
      <c r="O125" s="44"/>
      <c r="P125" s="44"/>
      <c r="Q125" s="44"/>
      <c r="R125" s="36" t="str">
        <f t="shared" si="15"/>
        <v>--</v>
      </c>
      <c r="S125" s="45"/>
      <c r="T125" s="48"/>
      <c r="U125" s="45"/>
      <c r="V125" s="45"/>
      <c r="W125" s="45"/>
      <c r="X125" s="45"/>
      <c r="Y125" s="45"/>
      <c r="Z125" s="77"/>
    </row>
    <row r="126" spans="1:26" ht="16.5" hidden="1" thickTop="1" x14ac:dyDescent="0.25">
      <c r="A126" s="37">
        <v>42490</v>
      </c>
      <c r="B126" s="84">
        <f t="shared" si="16"/>
        <v>17</v>
      </c>
      <c r="C126" s="41"/>
      <c r="D126" s="41"/>
      <c r="E126" s="42"/>
      <c r="F126" s="33" t="str">
        <f t="shared" si="11"/>
        <v>--</v>
      </c>
      <c r="G126" s="88" t="b">
        <f t="shared" si="17"/>
        <v>1</v>
      </c>
      <c r="H126" s="33" t="b">
        <f t="shared" si="12"/>
        <v>0</v>
      </c>
      <c r="I126" s="33" t="b">
        <f t="shared" si="13"/>
        <v>0</v>
      </c>
      <c r="J126" s="33" t="b">
        <f t="shared" si="14"/>
        <v>0</v>
      </c>
      <c r="K126" s="33">
        <f t="shared" si="18"/>
        <v>0</v>
      </c>
      <c r="L126" s="43"/>
      <c r="M126" s="43"/>
      <c r="N126" s="44"/>
      <c r="O126" s="44"/>
      <c r="P126" s="44"/>
      <c r="Q126" s="44"/>
      <c r="R126" s="36" t="str">
        <f t="shared" si="15"/>
        <v>--</v>
      </c>
      <c r="S126" s="45"/>
      <c r="T126" s="48"/>
      <c r="U126" s="45"/>
      <c r="V126" s="45"/>
      <c r="W126" s="45"/>
      <c r="X126" s="45"/>
      <c r="Y126" s="45"/>
      <c r="Z126" s="77"/>
    </row>
    <row r="127" spans="1:26" ht="16.5" hidden="1" thickTop="1" x14ac:dyDescent="0.25">
      <c r="A127" s="37">
        <v>42491</v>
      </c>
      <c r="B127" s="84">
        <f t="shared" si="16"/>
        <v>17</v>
      </c>
      <c r="C127" s="41"/>
      <c r="D127" s="41"/>
      <c r="E127" s="42"/>
      <c r="F127" s="33" t="str">
        <f t="shared" si="11"/>
        <v>--</v>
      </c>
      <c r="G127" s="88" t="b">
        <f t="shared" si="17"/>
        <v>1</v>
      </c>
      <c r="H127" s="33" t="b">
        <f t="shared" si="12"/>
        <v>0</v>
      </c>
      <c r="I127" s="33" t="b">
        <f t="shared" si="13"/>
        <v>0</v>
      </c>
      <c r="J127" s="33" t="b">
        <f t="shared" si="14"/>
        <v>1</v>
      </c>
      <c r="K127" s="33">
        <f t="shared" si="18"/>
        <v>0</v>
      </c>
      <c r="L127" s="43"/>
      <c r="M127" s="43"/>
      <c r="N127" s="44"/>
      <c r="O127" s="44"/>
      <c r="P127" s="44"/>
      <c r="Q127" s="44"/>
      <c r="R127" s="36" t="str">
        <f t="shared" si="15"/>
        <v>--</v>
      </c>
      <c r="S127" s="45"/>
      <c r="T127" s="48"/>
      <c r="U127" s="45"/>
      <c r="V127" s="45"/>
      <c r="W127" s="45"/>
      <c r="X127" s="45"/>
      <c r="Y127" s="45"/>
      <c r="Z127" s="77"/>
    </row>
    <row r="128" spans="1:26" ht="16.5" hidden="1" thickTop="1" x14ac:dyDescent="0.25">
      <c r="A128" s="37">
        <v>42492</v>
      </c>
      <c r="B128" s="84">
        <f t="shared" si="16"/>
        <v>18</v>
      </c>
      <c r="C128" s="41"/>
      <c r="D128" s="41">
        <v>3.125E-2</v>
      </c>
      <c r="E128" s="42"/>
      <c r="F128" s="33" t="str">
        <f t="shared" si="11"/>
        <v>--</v>
      </c>
      <c r="G128" s="88" t="b">
        <f t="shared" si="17"/>
        <v>0</v>
      </c>
      <c r="H128" s="33" t="b">
        <f t="shared" si="12"/>
        <v>0</v>
      </c>
      <c r="I128" s="33" t="b">
        <f t="shared" si="13"/>
        <v>0</v>
      </c>
      <c r="J128" s="33" t="b">
        <f t="shared" si="14"/>
        <v>0</v>
      </c>
      <c r="K128" s="33">
        <f t="shared" si="18"/>
        <v>0.33333333333333331</v>
      </c>
      <c r="L128" s="43"/>
      <c r="M128" s="43"/>
      <c r="N128" s="44"/>
      <c r="O128" s="44"/>
      <c r="P128" s="44"/>
      <c r="Q128" s="44"/>
      <c r="R128" s="36" t="str">
        <f t="shared" si="15"/>
        <v>--</v>
      </c>
      <c r="S128" s="45"/>
      <c r="T128" s="48"/>
      <c r="U128" s="45"/>
      <c r="V128" s="45"/>
      <c r="W128" s="45"/>
      <c r="X128" s="45"/>
      <c r="Y128" s="45"/>
      <c r="Z128" s="77"/>
    </row>
    <row r="129" spans="1:26" ht="16.5" hidden="1" thickTop="1" x14ac:dyDescent="0.25">
      <c r="A129" s="37">
        <v>42493</v>
      </c>
      <c r="B129" s="84">
        <f t="shared" si="16"/>
        <v>18</v>
      </c>
      <c r="C129" s="41"/>
      <c r="D129" s="41">
        <v>3.125E-2</v>
      </c>
      <c r="E129" s="42"/>
      <c r="F129" s="33" t="str">
        <f t="shared" si="11"/>
        <v>--</v>
      </c>
      <c r="G129" s="88" t="b">
        <f t="shared" si="17"/>
        <v>0</v>
      </c>
      <c r="H129" s="33" t="b">
        <f t="shared" si="12"/>
        <v>0</v>
      </c>
      <c r="I129" s="33" t="b">
        <f t="shared" si="13"/>
        <v>0</v>
      </c>
      <c r="J129" s="33" t="b">
        <f t="shared" si="14"/>
        <v>0</v>
      </c>
      <c r="K129" s="33">
        <f t="shared" si="18"/>
        <v>0.33333333333333331</v>
      </c>
      <c r="L129" s="43"/>
      <c r="M129" s="43"/>
      <c r="N129" s="44"/>
      <c r="O129" s="44"/>
      <c r="P129" s="44"/>
      <c r="Q129" s="44"/>
      <c r="R129" s="36" t="str">
        <f t="shared" si="15"/>
        <v>--</v>
      </c>
      <c r="S129" s="45"/>
      <c r="T129" s="48"/>
      <c r="U129" s="45"/>
      <c r="V129" s="45"/>
      <c r="W129" s="45"/>
      <c r="X129" s="45"/>
      <c r="Y129" s="45"/>
      <c r="Z129" s="77"/>
    </row>
    <row r="130" spans="1:26" ht="16.5" hidden="1" thickTop="1" x14ac:dyDescent="0.25">
      <c r="A130" s="37">
        <v>42494</v>
      </c>
      <c r="B130" s="84">
        <f t="shared" si="16"/>
        <v>18</v>
      </c>
      <c r="C130" s="41"/>
      <c r="D130" s="41">
        <v>3.125E-2</v>
      </c>
      <c r="E130" s="42"/>
      <c r="F130" s="33" t="str">
        <f t="shared" si="11"/>
        <v>--</v>
      </c>
      <c r="G130" s="88" t="b">
        <f t="shared" si="17"/>
        <v>0</v>
      </c>
      <c r="H130" s="33" t="b">
        <f t="shared" si="12"/>
        <v>0</v>
      </c>
      <c r="I130" s="33" t="b">
        <f t="shared" si="13"/>
        <v>0</v>
      </c>
      <c r="J130" s="33" t="b">
        <f t="shared" si="14"/>
        <v>0</v>
      </c>
      <c r="K130" s="33">
        <f t="shared" si="18"/>
        <v>0.33333333333333331</v>
      </c>
      <c r="L130" s="43"/>
      <c r="M130" s="43"/>
      <c r="N130" s="44"/>
      <c r="O130" s="44"/>
      <c r="P130" s="44"/>
      <c r="Q130" s="44"/>
      <c r="R130" s="36" t="str">
        <f t="shared" si="15"/>
        <v>--</v>
      </c>
      <c r="S130" s="45"/>
      <c r="T130" s="48"/>
      <c r="U130" s="45"/>
      <c r="V130" s="45"/>
      <c r="W130" s="45"/>
      <c r="X130" s="45"/>
      <c r="Y130" s="45"/>
      <c r="Z130" s="77"/>
    </row>
    <row r="131" spans="1:26" ht="16.5" hidden="1" thickTop="1" x14ac:dyDescent="0.25">
      <c r="A131" s="37">
        <v>42495</v>
      </c>
      <c r="B131" s="84">
        <f t="shared" si="16"/>
        <v>18</v>
      </c>
      <c r="C131" s="41"/>
      <c r="D131" s="41"/>
      <c r="E131" s="42"/>
      <c r="F131" s="33" t="str">
        <f t="shared" si="11"/>
        <v>--</v>
      </c>
      <c r="G131" s="88" t="b">
        <f t="shared" si="17"/>
        <v>0</v>
      </c>
      <c r="H131" s="33" t="b">
        <f t="shared" si="12"/>
        <v>0</v>
      </c>
      <c r="I131" s="33" t="b">
        <f t="shared" si="13"/>
        <v>0</v>
      </c>
      <c r="J131" s="33" t="b">
        <f t="shared" si="14"/>
        <v>1</v>
      </c>
      <c r="K131" s="33">
        <f t="shared" si="18"/>
        <v>0</v>
      </c>
      <c r="L131" s="43"/>
      <c r="M131" s="43"/>
      <c r="N131" s="44"/>
      <c r="O131" s="44"/>
      <c r="P131" s="44"/>
      <c r="Q131" s="44"/>
      <c r="R131" s="36" t="str">
        <f t="shared" si="15"/>
        <v>--</v>
      </c>
      <c r="S131" s="45"/>
      <c r="T131" s="48"/>
      <c r="U131" s="45"/>
      <c r="V131" s="45"/>
      <c r="W131" s="45"/>
      <c r="X131" s="45"/>
      <c r="Y131" s="45"/>
      <c r="Z131" s="77"/>
    </row>
    <row r="132" spans="1:26" ht="16.5" hidden="1" thickTop="1" x14ac:dyDescent="0.25">
      <c r="A132" s="37">
        <v>42496</v>
      </c>
      <c r="B132" s="84">
        <f t="shared" si="16"/>
        <v>18</v>
      </c>
      <c r="C132" s="41"/>
      <c r="D132" s="41"/>
      <c r="E132" s="42"/>
      <c r="F132" s="33" t="str">
        <f t="shared" si="11"/>
        <v>--</v>
      </c>
      <c r="G132" s="88" t="b">
        <f t="shared" si="17"/>
        <v>0</v>
      </c>
      <c r="H132" s="33" t="b">
        <f t="shared" si="12"/>
        <v>0</v>
      </c>
      <c r="I132" s="33" t="b">
        <f t="shared" si="13"/>
        <v>1</v>
      </c>
      <c r="J132" s="33" t="b">
        <f t="shared" si="14"/>
        <v>0</v>
      </c>
      <c r="K132" s="33">
        <f t="shared" si="18"/>
        <v>0</v>
      </c>
      <c r="L132" s="43"/>
      <c r="M132" s="43"/>
      <c r="N132" s="44"/>
      <c r="O132" s="44"/>
      <c r="P132" s="44"/>
      <c r="Q132" s="44"/>
      <c r="R132" s="36" t="str">
        <f t="shared" si="15"/>
        <v>--</v>
      </c>
      <c r="S132" s="45"/>
      <c r="T132" s="48"/>
      <c r="U132" s="45"/>
      <c r="V132" s="45"/>
      <c r="W132" s="45"/>
      <c r="X132" s="45"/>
      <c r="Y132" s="45"/>
      <c r="Z132" s="77"/>
    </row>
    <row r="133" spans="1:26" ht="16.5" hidden="1" thickTop="1" x14ac:dyDescent="0.25">
      <c r="A133" s="37">
        <v>42497</v>
      </c>
      <c r="B133" s="84">
        <f t="shared" si="16"/>
        <v>18</v>
      </c>
      <c r="C133" s="41"/>
      <c r="D133" s="41"/>
      <c r="E133" s="42"/>
      <c r="F133" s="33" t="str">
        <f t="shared" si="11"/>
        <v>--</v>
      </c>
      <c r="G133" s="88" t="b">
        <f t="shared" si="17"/>
        <v>1</v>
      </c>
      <c r="H133" s="33" t="b">
        <f t="shared" si="12"/>
        <v>0</v>
      </c>
      <c r="I133" s="33" t="b">
        <f t="shared" si="13"/>
        <v>0</v>
      </c>
      <c r="J133" s="33" t="b">
        <f t="shared" si="14"/>
        <v>0</v>
      </c>
      <c r="K133" s="33">
        <f t="shared" si="18"/>
        <v>0</v>
      </c>
      <c r="L133" s="43"/>
      <c r="M133" s="43"/>
      <c r="N133" s="44"/>
      <c r="O133" s="44"/>
      <c r="P133" s="44"/>
      <c r="Q133" s="44"/>
      <c r="R133" s="36" t="str">
        <f t="shared" si="15"/>
        <v>--</v>
      </c>
      <c r="S133" s="45"/>
      <c r="T133" s="48"/>
      <c r="U133" s="45"/>
      <c r="V133" s="45"/>
      <c r="W133" s="45"/>
      <c r="X133" s="45"/>
      <c r="Y133" s="45"/>
      <c r="Z133" s="77"/>
    </row>
    <row r="134" spans="1:26" ht="16.5" hidden="1" thickTop="1" x14ac:dyDescent="0.25">
      <c r="A134" s="37">
        <v>42498</v>
      </c>
      <c r="B134" s="84">
        <f t="shared" si="16"/>
        <v>18</v>
      </c>
      <c r="C134" s="41"/>
      <c r="D134" s="41"/>
      <c r="E134" s="42"/>
      <c r="F134" s="33" t="str">
        <f t="shared" ref="F134:F197" si="19">IF(E134-C134&lt;=0,"--",E134-D134-C134)</f>
        <v>--</v>
      </c>
      <c r="G134" s="88" t="b">
        <f t="shared" si="17"/>
        <v>1</v>
      </c>
      <c r="H134" s="33" t="b">
        <f t="shared" ref="H134:H197" si="20">ISNUMBER(MATCH($A134,rSemester,0))</f>
        <v>0</v>
      </c>
      <c r="I134" s="33" t="b">
        <f t="shared" ref="I134:I197" si="21">ISNUMBER(MATCH($A134,rATK,0))</f>
        <v>0</v>
      </c>
      <c r="J134" s="33" t="b">
        <f t="shared" ref="J134:J197" si="22">ISNUMBER(MATCH($A134,rHelger,0))</f>
        <v>0</v>
      </c>
      <c r="K134" s="33">
        <f t="shared" si="18"/>
        <v>0</v>
      </c>
      <c r="L134" s="43"/>
      <c r="M134" s="43"/>
      <c r="N134" s="44"/>
      <c r="O134" s="44"/>
      <c r="P134" s="44"/>
      <c r="Q134" s="44"/>
      <c r="R134" s="36" t="str">
        <f t="shared" ref="R134:R197" si="23">IF(F134="--","--",IF(F134&lt;=0,"--",60*((F134-K134)*24-L134+S134+T134*8+U134+V134+Y134+W134+X134)))</f>
        <v>--</v>
      </c>
      <c r="S134" s="45"/>
      <c r="T134" s="48"/>
      <c r="U134" s="45"/>
      <c r="V134" s="45"/>
      <c r="W134" s="45"/>
      <c r="X134" s="45"/>
      <c r="Y134" s="45"/>
      <c r="Z134" s="77"/>
    </row>
    <row r="135" spans="1:26" ht="16.5" hidden="1" thickTop="1" x14ac:dyDescent="0.25">
      <c r="A135" s="37">
        <v>42499</v>
      </c>
      <c r="B135" s="84">
        <f t="shared" ref="B135:B198" si="24">IsoWeekNumber(A135)</f>
        <v>19</v>
      </c>
      <c r="C135" s="41"/>
      <c r="D135" s="41">
        <v>3.125E-2</v>
      </c>
      <c r="E135" s="42"/>
      <c r="F135" s="33" t="str">
        <f t="shared" si="19"/>
        <v>--</v>
      </c>
      <c r="G135" s="88" t="b">
        <f t="shared" ref="G135:G198" si="25">IF(WEEKDAY(A135,2)&gt;5,TRUE)</f>
        <v>0</v>
      </c>
      <c r="H135" s="33" t="b">
        <f t="shared" si="20"/>
        <v>0</v>
      </c>
      <c r="I135" s="33" t="b">
        <f t="shared" si="21"/>
        <v>0</v>
      </c>
      <c r="J135" s="33" t="b">
        <f t="shared" si="22"/>
        <v>0</v>
      </c>
      <c r="K135" s="33">
        <f t="shared" ref="K135:K198" si="26">IF(OR(G135,H135,I135,J135),0,8/24)</f>
        <v>0.33333333333333331</v>
      </c>
      <c r="L135" s="43"/>
      <c r="M135" s="43"/>
      <c r="N135" s="44"/>
      <c r="O135" s="44"/>
      <c r="P135" s="44"/>
      <c r="Q135" s="44"/>
      <c r="R135" s="36" t="str">
        <f t="shared" si="23"/>
        <v>--</v>
      </c>
      <c r="S135" s="45"/>
      <c r="T135" s="48"/>
      <c r="U135" s="45"/>
      <c r="V135" s="45"/>
      <c r="W135" s="45"/>
      <c r="X135" s="45"/>
      <c r="Y135" s="45"/>
      <c r="Z135" s="77"/>
    </row>
    <row r="136" spans="1:26" ht="16.5" hidden="1" thickTop="1" x14ac:dyDescent="0.25">
      <c r="A136" s="37">
        <v>42500</v>
      </c>
      <c r="B136" s="84">
        <f t="shared" si="24"/>
        <v>19</v>
      </c>
      <c r="C136" s="41"/>
      <c r="D136" s="41">
        <v>3.125E-2</v>
      </c>
      <c r="E136" s="42"/>
      <c r="F136" s="33" t="str">
        <f t="shared" si="19"/>
        <v>--</v>
      </c>
      <c r="G136" s="88" t="b">
        <f t="shared" si="25"/>
        <v>0</v>
      </c>
      <c r="H136" s="33" t="b">
        <f t="shared" si="20"/>
        <v>0</v>
      </c>
      <c r="I136" s="33" t="b">
        <f t="shared" si="21"/>
        <v>0</v>
      </c>
      <c r="J136" s="33" t="b">
        <f t="shared" si="22"/>
        <v>0</v>
      </c>
      <c r="K136" s="33">
        <f t="shared" si="26"/>
        <v>0.33333333333333331</v>
      </c>
      <c r="L136" s="43"/>
      <c r="M136" s="43"/>
      <c r="N136" s="44"/>
      <c r="O136" s="44"/>
      <c r="P136" s="44"/>
      <c r="Q136" s="44"/>
      <c r="R136" s="36" t="str">
        <f t="shared" si="23"/>
        <v>--</v>
      </c>
      <c r="S136" s="45"/>
      <c r="T136" s="48"/>
      <c r="U136" s="45"/>
      <c r="V136" s="45"/>
      <c r="W136" s="45"/>
      <c r="X136" s="45"/>
      <c r="Y136" s="45"/>
      <c r="Z136" s="77"/>
    </row>
    <row r="137" spans="1:26" ht="16.5" hidden="1" thickTop="1" x14ac:dyDescent="0.25">
      <c r="A137" s="37">
        <v>42501</v>
      </c>
      <c r="B137" s="84">
        <f t="shared" si="24"/>
        <v>19</v>
      </c>
      <c r="C137" s="41"/>
      <c r="D137" s="41">
        <v>3.125E-2</v>
      </c>
      <c r="E137" s="42"/>
      <c r="F137" s="33" t="str">
        <f t="shared" si="19"/>
        <v>--</v>
      </c>
      <c r="G137" s="88" t="b">
        <f t="shared" si="25"/>
        <v>0</v>
      </c>
      <c r="H137" s="33" t="b">
        <f t="shared" si="20"/>
        <v>0</v>
      </c>
      <c r="I137" s="33" t="b">
        <f t="shared" si="21"/>
        <v>0</v>
      </c>
      <c r="J137" s="33" t="b">
        <f t="shared" si="22"/>
        <v>0</v>
      </c>
      <c r="K137" s="33">
        <f t="shared" si="26"/>
        <v>0.33333333333333331</v>
      </c>
      <c r="L137" s="43"/>
      <c r="M137" s="43"/>
      <c r="N137" s="44"/>
      <c r="O137" s="44"/>
      <c r="P137" s="44"/>
      <c r="Q137" s="44"/>
      <c r="R137" s="36" t="str">
        <f t="shared" si="23"/>
        <v>--</v>
      </c>
      <c r="S137" s="45"/>
      <c r="T137" s="48"/>
      <c r="U137" s="45"/>
      <c r="V137" s="45"/>
      <c r="W137" s="45"/>
      <c r="X137" s="45"/>
      <c r="Y137" s="45"/>
      <c r="Z137" s="77"/>
    </row>
    <row r="138" spans="1:26" ht="16.5" hidden="1" thickTop="1" x14ac:dyDescent="0.25">
      <c r="A138" s="37">
        <v>42502</v>
      </c>
      <c r="B138" s="84">
        <f t="shared" si="24"/>
        <v>19</v>
      </c>
      <c r="C138" s="41"/>
      <c r="D138" s="41">
        <v>3.125E-2</v>
      </c>
      <c r="E138" s="42"/>
      <c r="F138" s="33" t="str">
        <f t="shared" si="19"/>
        <v>--</v>
      </c>
      <c r="G138" s="88" t="b">
        <f t="shared" si="25"/>
        <v>0</v>
      </c>
      <c r="H138" s="33" t="b">
        <f t="shared" si="20"/>
        <v>0</v>
      </c>
      <c r="I138" s="33" t="b">
        <f t="shared" si="21"/>
        <v>0</v>
      </c>
      <c r="J138" s="33" t="b">
        <f t="shared" si="22"/>
        <v>0</v>
      </c>
      <c r="K138" s="33">
        <f t="shared" si="26"/>
        <v>0.33333333333333331</v>
      </c>
      <c r="L138" s="43"/>
      <c r="M138" s="43"/>
      <c r="N138" s="44"/>
      <c r="O138" s="44"/>
      <c r="P138" s="44"/>
      <c r="Q138" s="44"/>
      <c r="R138" s="36" t="str">
        <f t="shared" si="23"/>
        <v>--</v>
      </c>
      <c r="S138" s="45"/>
      <c r="T138" s="48"/>
      <c r="U138" s="45"/>
      <c r="V138" s="45"/>
      <c r="W138" s="45"/>
      <c r="X138" s="45"/>
      <c r="Y138" s="45"/>
      <c r="Z138" s="77"/>
    </row>
    <row r="139" spans="1:26" ht="16.5" hidden="1" thickTop="1" x14ac:dyDescent="0.25">
      <c r="A139" s="37">
        <v>42503</v>
      </c>
      <c r="B139" s="84">
        <f t="shared" si="24"/>
        <v>19</v>
      </c>
      <c r="C139" s="41"/>
      <c r="D139" s="41">
        <v>3.125E-2</v>
      </c>
      <c r="E139" s="42"/>
      <c r="F139" s="33" t="str">
        <f t="shared" si="19"/>
        <v>--</v>
      </c>
      <c r="G139" s="88" t="b">
        <f t="shared" si="25"/>
        <v>0</v>
      </c>
      <c r="H139" s="33" t="b">
        <f t="shared" si="20"/>
        <v>0</v>
      </c>
      <c r="I139" s="33" t="b">
        <f t="shared" si="21"/>
        <v>0</v>
      </c>
      <c r="J139" s="33" t="b">
        <f t="shared" si="22"/>
        <v>0</v>
      </c>
      <c r="K139" s="33">
        <f t="shared" si="26"/>
        <v>0.33333333333333331</v>
      </c>
      <c r="L139" s="43"/>
      <c r="M139" s="43"/>
      <c r="N139" s="44"/>
      <c r="O139" s="44"/>
      <c r="P139" s="44"/>
      <c r="Q139" s="44"/>
      <c r="R139" s="36" t="str">
        <f t="shared" si="23"/>
        <v>--</v>
      </c>
      <c r="S139" s="45"/>
      <c r="T139" s="48"/>
      <c r="U139" s="45"/>
      <c r="V139" s="45"/>
      <c r="W139" s="45"/>
      <c r="X139" s="45"/>
      <c r="Y139" s="45"/>
      <c r="Z139" s="77"/>
    </row>
    <row r="140" spans="1:26" ht="16.5" hidden="1" thickTop="1" x14ac:dyDescent="0.25">
      <c r="A140" s="37">
        <v>42504</v>
      </c>
      <c r="B140" s="84">
        <f t="shared" si="24"/>
        <v>19</v>
      </c>
      <c r="C140" s="41"/>
      <c r="D140" s="41"/>
      <c r="E140" s="42"/>
      <c r="F140" s="33" t="str">
        <f t="shared" si="19"/>
        <v>--</v>
      </c>
      <c r="G140" s="88" t="b">
        <f t="shared" si="25"/>
        <v>1</v>
      </c>
      <c r="H140" s="33" t="b">
        <f t="shared" si="20"/>
        <v>0</v>
      </c>
      <c r="I140" s="33" t="b">
        <f t="shared" si="21"/>
        <v>0</v>
      </c>
      <c r="J140" s="33" t="b">
        <f t="shared" si="22"/>
        <v>0</v>
      </c>
      <c r="K140" s="33">
        <f t="shared" si="26"/>
        <v>0</v>
      </c>
      <c r="L140" s="43"/>
      <c r="M140" s="43"/>
      <c r="N140" s="44"/>
      <c r="O140" s="44"/>
      <c r="P140" s="44"/>
      <c r="Q140" s="44"/>
      <c r="R140" s="36" t="str">
        <f t="shared" si="23"/>
        <v>--</v>
      </c>
      <c r="S140" s="45"/>
      <c r="T140" s="48"/>
      <c r="U140" s="45"/>
      <c r="V140" s="45"/>
      <c r="W140" s="45"/>
      <c r="X140" s="45"/>
      <c r="Y140" s="45"/>
      <c r="Z140" s="77"/>
    </row>
    <row r="141" spans="1:26" ht="16.5" hidden="1" thickTop="1" x14ac:dyDescent="0.25">
      <c r="A141" s="37">
        <v>42505</v>
      </c>
      <c r="B141" s="84">
        <f t="shared" si="24"/>
        <v>19</v>
      </c>
      <c r="C141" s="41"/>
      <c r="D141" s="41"/>
      <c r="E141" s="42"/>
      <c r="F141" s="33" t="str">
        <f t="shared" si="19"/>
        <v>--</v>
      </c>
      <c r="G141" s="88" t="b">
        <f t="shared" si="25"/>
        <v>1</v>
      </c>
      <c r="H141" s="33" t="b">
        <f t="shared" si="20"/>
        <v>0</v>
      </c>
      <c r="I141" s="33" t="b">
        <f t="shared" si="21"/>
        <v>0</v>
      </c>
      <c r="J141" s="33" t="b">
        <f t="shared" si="22"/>
        <v>1</v>
      </c>
      <c r="K141" s="33">
        <f t="shared" si="26"/>
        <v>0</v>
      </c>
      <c r="L141" s="43"/>
      <c r="M141" s="43"/>
      <c r="N141" s="44"/>
      <c r="O141" s="44"/>
      <c r="P141" s="44"/>
      <c r="Q141" s="44"/>
      <c r="R141" s="36" t="str">
        <f t="shared" si="23"/>
        <v>--</v>
      </c>
      <c r="S141" s="45"/>
      <c r="T141" s="48"/>
      <c r="U141" s="45"/>
      <c r="V141" s="45"/>
      <c r="W141" s="45"/>
      <c r="X141" s="45"/>
      <c r="Y141" s="45"/>
      <c r="Z141" s="77"/>
    </row>
    <row r="142" spans="1:26" ht="16.5" hidden="1" thickTop="1" x14ac:dyDescent="0.25">
      <c r="A142" s="37">
        <v>42506</v>
      </c>
      <c r="B142" s="84">
        <f t="shared" si="24"/>
        <v>20</v>
      </c>
      <c r="C142" s="41"/>
      <c r="D142" s="41">
        <v>3.125E-2</v>
      </c>
      <c r="E142" s="42"/>
      <c r="F142" s="33" t="str">
        <f t="shared" si="19"/>
        <v>--</v>
      </c>
      <c r="G142" s="88" t="b">
        <f t="shared" si="25"/>
        <v>0</v>
      </c>
      <c r="H142" s="33" t="b">
        <f t="shared" si="20"/>
        <v>0</v>
      </c>
      <c r="I142" s="33" t="b">
        <f t="shared" si="21"/>
        <v>0</v>
      </c>
      <c r="J142" s="33" t="b">
        <f t="shared" si="22"/>
        <v>0</v>
      </c>
      <c r="K142" s="33">
        <f t="shared" si="26"/>
        <v>0.33333333333333331</v>
      </c>
      <c r="L142" s="43"/>
      <c r="M142" s="43"/>
      <c r="N142" s="44"/>
      <c r="O142" s="44"/>
      <c r="P142" s="44"/>
      <c r="Q142" s="44"/>
      <c r="R142" s="36" t="str">
        <f t="shared" si="23"/>
        <v>--</v>
      </c>
      <c r="S142" s="45"/>
      <c r="T142" s="48"/>
      <c r="U142" s="45"/>
      <c r="V142" s="45"/>
      <c r="W142" s="45"/>
      <c r="X142" s="45"/>
      <c r="Y142" s="45"/>
      <c r="Z142" s="77"/>
    </row>
    <row r="143" spans="1:26" ht="16.5" hidden="1" thickTop="1" x14ac:dyDescent="0.25">
      <c r="A143" s="37">
        <v>42507</v>
      </c>
      <c r="B143" s="84">
        <f t="shared" si="24"/>
        <v>20</v>
      </c>
      <c r="C143" s="41"/>
      <c r="D143" s="41">
        <v>3.125E-2</v>
      </c>
      <c r="E143" s="42"/>
      <c r="F143" s="33" t="str">
        <f t="shared" si="19"/>
        <v>--</v>
      </c>
      <c r="G143" s="88" t="b">
        <f t="shared" si="25"/>
        <v>0</v>
      </c>
      <c r="H143" s="33" t="b">
        <f t="shared" si="20"/>
        <v>0</v>
      </c>
      <c r="I143" s="33" t="b">
        <f t="shared" si="21"/>
        <v>0</v>
      </c>
      <c r="J143" s="33" t="b">
        <f t="shared" si="22"/>
        <v>0</v>
      </c>
      <c r="K143" s="33">
        <f t="shared" si="26"/>
        <v>0.33333333333333331</v>
      </c>
      <c r="L143" s="43"/>
      <c r="M143" s="43"/>
      <c r="N143" s="44"/>
      <c r="O143" s="44"/>
      <c r="P143" s="44"/>
      <c r="Q143" s="44"/>
      <c r="R143" s="36" t="str">
        <f t="shared" si="23"/>
        <v>--</v>
      </c>
      <c r="S143" s="45"/>
      <c r="T143" s="48"/>
      <c r="U143" s="45"/>
      <c r="V143" s="45"/>
      <c r="W143" s="45"/>
      <c r="X143" s="45"/>
      <c r="Y143" s="45"/>
      <c r="Z143" s="77"/>
    </row>
    <row r="144" spans="1:26" ht="16.5" hidden="1" thickTop="1" x14ac:dyDescent="0.25">
      <c r="A144" s="37">
        <v>42508</v>
      </c>
      <c r="B144" s="84">
        <f t="shared" si="24"/>
        <v>20</v>
      </c>
      <c r="C144" s="41"/>
      <c r="D144" s="41">
        <v>3.125E-2</v>
      </c>
      <c r="E144" s="42"/>
      <c r="F144" s="33" t="str">
        <f t="shared" si="19"/>
        <v>--</v>
      </c>
      <c r="G144" s="88" t="b">
        <f t="shared" si="25"/>
        <v>0</v>
      </c>
      <c r="H144" s="33" t="b">
        <f t="shared" si="20"/>
        <v>0</v>
      </c>
      <c r="I144" s="33" t="b">
        <f t="shared" si="21"/>
        <v>0</v>
      </c>
      <c r="J144" s="33" t="b">
        <f t="shared" si="22"/>
        <v>0</v>
      </c>
      <c r="K144" s="33">
        <f t="shared" si="26"/>
        <v>0.33333333333333331</v>
      </c>
      <c r="L144" s="43"/>
      <c r="M144" s="43"/>
      <c r="N144" s="44"/>
      <c r="O144" s="44"/>
      <c r="P144" s="44"/>
      <c r="Q144" s="44"/>
      <c r="R144" s="36" t="str">
        <f t="shared" si="23"/>
        <v>--</v>
      </c>
      <c r="S144" s="45"/>
      <c r="T144" s="48"/>
      <c r="U144" s="45"/>
      <c r="V144" s="45"/>
      <c r="W144" s="45"/>
      <c r="X144" s="45"/>
      <c r="Y144" s="45"/>
      <c r="Z144" s="77"/>
    </row>
    <row r="145" spans="1:26" ht="16.5" hidden="1" thickTop="1" x14ac:dyDescent="0.25">
      <c r="A145" s="37">
        <v>42509</v>
      </c>
      <c r="B145" s="84">
        <f t="shared" si="24"/>
        <v>20</v>
      </c>
      <c r="C145" s="41"/>
      <c r="D145" s="41">
        <v>3.125E-2</v>
      </c>
      <c r="E145" s="42"/>
      <c r="F145" s="33" t="str">
        <f t="shared" si="19"/>
        <v>--</v>
      </c>
      <c r="G145" s="88" t="b">
        <f t="shared" si="25"/>
        <v>0</v>
      </c>
      <c r="H145" s="33" t="b">
        <f t="shared" si="20"/>
        <v>0</v>
      </c>
      <c r="I145" s="33" t="b">
        <f t="shared" si="21"/>
        <v>0</v>
      </c>
      <c r="J145" s="33" t="b">
        <f t="shared" si="22"/>
        <v>0</v>
      </c>
      <c r="K145" s="33">
        <f t="shared" si="26"/>
        <v>0.33333333333333331</v>
      </c>
      <c r="L145" s="43"/>
      <c r="M145" s="43"/>
      <c r="N145" s="44"/>
      <c r="O145" s="44"/>
      <c r="P145" s="44"/>
      <c r="Q145" s="44"/>
      <c r="R145" s="36" t="str">
        <f t="shared" si="23"/>
        <v>--</v>
      </c>
      <c r="S145" s="45"/>
      <c r="T145" s="48"/>
      <c r="U145" s="45"/>
      <c r="V145" s="45"/>
      <c r="W145" s="45"/>
      <c r="X145" s="45"/>
      <c r="Y145" s="45"/>
      <c r="Z145" s="77"/>
    </row>
    <row r="146" spans="1:26" ht="16.5" hidden="1" thickTop="1" x14ac:dyDescent="0.25">
      <c r="A146" s="37">
        <v>42510</v>
      </c>
      <c r="B146" s="84">
        <f t="shared" si="24"/>
        <v>20</v>
      </c>
      <c r="C146" s="41"/>
      <c r="D146" s="41">
        <v>3.125E-2</v>
      </c>
      <c r="E146" s="42"/>
      <c r="F146" s="33" t="str">
        <f t="shared" si="19"/>
        <v>--</v>
      </c>
      <c r="G146" s="88" t="b">
        <f t="shared" si="25"/>
        <v>0</v>
      </c>
      <c r="H146" s="33" t="b">
        <f t="shared" si="20"/>
        <v>0</v>
      </c>
      <c r="I146" s="33" t="b">
        <f t="shared" si="21"/>
        <v>0</v>
      </c>
      <c r="J146" s="33" t="b">
        <f t="shared" si="22"/>
        <v>0</v>
      </c>
      <c r="K146" s="33">
        <f t="shared" si="26"/>
        <v>0.33333333333333331</v>
      </c>
      <c r="L146" s="43"/>
      <c r="M146" s="43"/>
      <c r="N146" s="44"/>
      <c r="O146" s="44"/>
      <c r="P146" s="44"/>
      <c r="Q146" s="44"/>
      <c r="R146" s="36" t="str">
        <f t="shared" si="23"/>
        <v>--</v>
      </c>
      <c r="S146" s="45"/>
      <c r="T146" s="48"/>
      <c r="U146" s="45"/>
      <c r="V146" s="45"/>
      <c r="W146" s="45"/>
      <c r="X146" s="45"/>
      <c r="Y146" s="45"/>
      <c r="Z146" s="77"/>
    </row>
    <row r="147" spans="1:26" ht="16.5" hidden="1" thickTop="1" x14ac:dyDescent="0.25">
      <c r="A147" s="37">
        <v>42511</v>
      </c>
      <c r="B147" s="84">
        <f t="shared" si="24"/>
        <v>20</v>
      </c>
      <c r="C147" s="41"/>
      <c r="D147" s="41"/>
      <c r="E147" s="42"/>
      <c r="F147" s="33" t="str">
        <f t="shared" si="19"/>
        <v>--</v>
      </c>
      <c r="G147" s="88" t="b">
        <f t="shared" si="25"/>
        <v>1</v>
      </c>
      <c r="H147" s="33" t="b">
        <f t="shared" si="20"/>
        <v>0</v>
      </c>
      <c r="I147" s="33" t="b">
        <f t="shared" si="21"/>
        <v>0</v>
      </c>
      <c r="J147" s="33" t="b">
        <f t="shared" si="22"/>
        <v>0</v>
      </c>
      <c r="K147" s="33">
        <f t="shared" si="26"/>
        <v>0</v>
      </c>
      <c r="L147" s="43"/>
      <c r="M147" s="43"/>
      <c r="N147" s="44"/>
      <c r="O147" s="44"/>
      <c r="P147" s="44"/>
      <c r="Q147" s="44"/>
      <c r="R147" s="36" t="str">
        <f t="shared" si="23"/>
        <v>--</v>
      </c>
      <c r="S147" s="45"/>
      <c r="T147" s="48"/>
      <c r="U147" s="45"/>
      <c r="V147" s="45"/>
      <c r="W147" s="45"/>
      <c r="X147" s="45"/>
      <c r="Y147" s="45"/>
      <c r="Z147" s="77"/>
    </row>
    <row r="148" spans="1:26" ht="16.5" hidden="1" thickTop="1" x14ac:dyDescent="0.25">
      <c r="A148" s="37">
        <v>42512</v>
      </c>
      <c r="B148" s="84">
        <f t="shared" si="24"/>
        <v>20</v>
      </c>
      <c r="C148" s="41"/>
      <c r="D148" s="41"/>
      <c r="E148" s="42"/>
      <c r="F148" s="33" t="str">
        <f t="shared" si="19"/>
        <v>--</v>
      </c>
      <c r="G148" s="88" t="b">
        <f t="shared" si="25"/>
        <v>1</v>
      </c>
      <c r="H148" s="33" t="b">
        <f t="shared" si="20"/>
        <v>0</v>
      </c>
      <c r="I148" s="33" t="b">
        <f t="shared" si="21"/>
        <v>0</v>
      </c>
      <c r="J148" s="33" t="b">
        <f t="shared" si="22"/>
        <v>0</v>
      </c>
      <c r="K148" s="33">
        <f t="shared" si="26"/>
        <v>0</v>
      </c>
      <c r="L148" s="43"/>
      <c r="M148" s="43"/>
      <c r="N148" s="44"/>
      <c r="O148" s="44"/>
      <c r="P148" s="44"/>
      <c r="Q148" s="44"/>
      <c r="R148" s="36" t="str">
        <f t="shared" si="23"/>
        <v>--</v>
      </c>
      <c r="S148" s="45"/>
      <c r="T148" s="48"/>
      <c r="U148" s="45"/>
      <c r="V148" s="45"/>
      <c r="W148" s="45"/>
      <c r="X148" s="45"/>
      <c r="Y148" s="45"/>
      <c r="Z148" s="77"/>
    </row>
    <row r="149" spans="1:26" ht="16.5" hidden="1" thickTop="1" x14ac:dyDescent="0.25">
      <c r="A149" s="37">
        <v>42513</v>
      </c>
      <c r="B149" s="84">
        <f t="shared" si="24"/>
        <v>21</v>
      </c>
      <c r="C149" s="41"/>
      <c r="D149" s="41">
        <v>3.125E-2</v>
      </c>
      <c r="E149" s="42"/>
      <c r="F149" s="33" t="str">
        <f t="shared" si="19"/>
        <v>--</v>
      </c>
      <c r="G149" s="88" t="b">
        <f t="shared" si="25"/>
        <v>0</v>
      </c>
      <c r="H149" s="33" t="b">
        <f t="shared" si="20"/>
        <v>0</v>
      </c>
      <c r="I149" s="33" t="b">
        <f t="shared" si="21"/>
        <v>0</v>
      </c>
      <c r="J149" s="33" t="b">
        <f t="shared" si="22"/>
        <v>0</v>
      </c>
      <c r="K149" s="33">
        <f t="shared" si="26"/>
        <v>0.33333333333333331</v>
      </c>
      <c r="L149" s="43"/>
      <c r="M149" s="43"/>
      <c r="N149" s="44"/>
      <c r="O149" s="44"/>
      <c r="P149" s="44"/>
      <c r="Q149" s="44"/>
      <c r="R149" s="36" t="str">
        <f t="shared" si="23"/>
        <v>--</v>
      </c>
      <c r="S149" s="45"/>
      <c r="T149" s="48"/>
      <c r="U149" s="45"/>
      <c r="V149" s="45"/>
      <c r="W149" s="45"/>
      <c r="X149" s="45"/>
      <c r="Y149" s="45"/>
      <c r="Z149" s="77"/>
    </row>
    <row r="150" spans="1:26" ht="16.5" hidden="1" thickTop="1" x14ac:dyDescent="0.25">
      <c r="A150" s="37">
        <v>42514</v>
      </c>
      <c r="B150" s="84">
        <f t="shared" si="24"/>
        <v>21</v>
      </c>
      <c r="C150" s="41"/>
      <c r="D150" s="41">
        <v>3.125E-2</v>
      </c>
      <c r="E150" s="42"/>
      <c r="F150" s="33" t="str">
        <f t="shared" si="19"/>
        <v>--</v>
      </c>
      <c r="G150" s="88" t="b">
        <f t="shared" si="25"/>
        <v>0</v>
      </c>
      <c r="H150" s="33" t="b">
        <f t="shared" si="20"/>
        <v>0</v>
      </c>
      <c r="I150" s="33" t="b">
        <f t="shared" si="21"/>
        <v>0</v>
      </c>
      <c r="J150" s="33" t="b">
        <f t="shared" si="22"/>
        <v>0</v>
      </c>
      <c r="K150" s="33">
        <f t="shared" si="26"/>
        <v>0.33333333333333331</v>
      </c>
      <c r="L150" s="43"/>
      <c r="M150" s="43"/>
      <c r="N150" s="44"/>
      <c r="O150" s="44"/>
      <c r="P150" s="44"/>
      <c r="Q150" s="44"/>
      <c r="R150" s="36" t="str">
        <f t="shared" si="23"/>
        <v>--</v>
      </c>
      <c r="S150" s="45"/>
      <c r="T150" s="48"/>
      <c r="U150" s="45"/>
      <c r="V150" s="45"/>
      <c r="W150" s="45"/>
      <c r="X150" s="45"/>
      <c r="Y150" s="45"/>
      <c r="Z150" s="77"/>
    </row>
    <row r="151" spans="1:26" ht="16.5" hidden="1" thickTop="1" x14ac:dyDescent="0.25">
      <c r="A151" s="37">
        <v>42515</v>
      </c>
      <c r="B151" s="84">
        <f t="shared" si="24"/>
        <v>21</v>
      </c>
      <c r="C151" s="41"/>
      <c r="D151" s="41">
        <v>3.125E-2</v>
      </c>
      <c r="E151" s="42"/>
      <c r="F151" s="33" t="str">
        <f t="shared" si="19"/>
        <v>--</v>
      </c>
      <c r="G151" s="88" t="b">
        <f t="shared" si="25"/>
        <v>0</v>
      </c>
      <c r="H151" s="33" t="b">
        <f t="shared" si="20"/>
        <v>0</v>
      </c>
      <c r="I151" s="33" t="b">
        <f t="shared" si="21"/>
        <v>0</v>
      </c>
      <c r="J151" s="33" t="b">
        <f t="shared" si="22"/>
        <v>0</v>
      </c>
      <c r="K151" s="33">
        <f t="shared" si="26"/>
        <v>0.33333333333333331</v>
      </c>
      <c r="L151" s="43"/>
      <c r="M151" s="43"/>
      <c r="N151" s="44"/>
      <c r="O151" s="44"/>
      <c r="P151" s="44"/>
      <c r="Q151" s="44"/>
      <c r="R151" s="36" t="str">
        <f t="shared" si="23"/>
        <v>--</v>
      </c>
      <c r="S151" s="45"/>
      <c r="T151" s="48"/>
      <c r="U151" s="45"/>
      <c r="V151" s="45"/>
      <c r="W151" s="45"/>
      <c r="X151" s="45"/>
      <c r="Y151" s="45"/>
      <c r="Z151" s="77"/>
    </row>
    <row r="152" spans="1:26" ht="16.5" hidden="1" thickTop="1" x14ac:dyDescent="0.25">
      <c r="A152" s="37">
        <v>42516</v>
      </c>
      <c r="B152" s="84">
        <f t="shared" si="24"/>
        <v>21</v>
      </c>
      <c r="C152" s="41"/>
      <c r="D152" s="41">
        <v>3.125E-2</v>
      </c>
      <c r="E152" s="42"/>
      <c r="F152" s="33" t="str">
        <f t="shared" si="19"/>
        <v>--</v>
      </c>
      <c r="G152" s="88" t="b">
        <f t="shared" si="25"/>
        <v>0</v>
      </c>
      <c r="H152" s="33" t="b">
        <f t="shared" si="20"/>
        <v>0</v>
      </c>
      <c r="I152" s="33" t="b">
        <f t="shared" si="21"/>
        <v>0</v>
      </c>
      <c r="J152" s="33" t="b">
        <f t="shared" si="22"/>
        <v>0</v>
      </c>
      <c r="K152" s="33">
        <f t="shared" si="26"/>
        <v>0.33333333333333331</v>
      </c>
      <c r="L152" s="43"/>
      <c r="M152" s="43"/>
      <c r="N152" s="44"/>
      <c r="O152" s="44"/>
      <c r="P152" s="44"/>
      <c r="Q152" s="44"/>
      <c r="R152" s="36" t="str">
        <f t="shared" si="23"/>
        <v>--</v>
      </c>
      <c r="S152" s="45"/>
      <c r="T152" s="48"/>
      <c r="U152" s="45"/>
      <c r="V152" s="45"/>
      <c r="W152" s="45"/>
      <c r="X152" s="45"/>
      <c r="Y152" s="45"/>
      <c r="Z152" s="77"/>
    </row>
    <row r="153" spans="1:26" ht="16.5" hidden="1" thickTop="1" x14ac:dyDescent="0.25">
      <c r="A153" s="37">
        <v>42517</v>
      </c>
      <c r="B153" s="84">
        <f t="shared" si="24"/>
        <v>21</v>
      </c>
      <c r="C153" s="41"/>
      <c r="D153" s="41">
        <v>3.125E-2</v>
      </c>
      <c r="E153" s="42"/>
      <c r="F153" s="33" t="str">
        <f t="shared" si="19"/>
        <v>--</v>
      </c>
      <c r="G153" s="88" t="b">
        <f t="shared" si="25"/>
        <v>0</v>
      </c>
      <c r="H153" s="33" t="b">
        <f t="shared" si="20"/>
        <v>0</v>
      </c>
      <c r="I153" s="33" t="b">
        <f t="shared" si="21"/>
        <v>0</v>
      </c>
      <c r="J153" s="33" t="b">
        <f t="shared" si="22"/>
        <v>0</v>
      </c>
      <c r="K153" s="33">
        <f t="shared" si="26"/>
        <v>0.33333333333333331</v>
      </c>
      <c r="L153" s="43"/>
      <c r="M153" s="43"/>
      <c r="N153" s="44"/>
      <c r="O153" s="44"/>
      <c r="P153" s="44"/>
      <c r="Q153" s="44"/>
      <c r="R153" s="36" t="str">
        <f t="shared" si="23"/>
        <v>--</v>
      </c>
      <c r="S153" s="45"/>
      <c r="T153" s="48"/>
      <c r="U153" s="45"/>
      <c r="V153" s="45"/>
      <c r="W153" s="45"/>
      <c r="X153" s="45"/>
      <c r="Y153" s="45"/>
      <c r="Z153" s="77"/>
    </row>
    <row r="154" spans="1:26" ht="16.5" hidden="1" thickTop="1" x14ac:dyDescent="0.25">
      <c r="A154" s="37">
        <v>42518</v>
      </c>
      <c r="B154" s="84">
        <f t="shared" si="24"/>
        <v>21</v>
      </c>
      <c r="C154" s="41"/>
      <c r="D154" s="41"/>
      <c r="E154" s="42"/>
      <c r="F154" s="33" t="str">
        <f t="shared" si="19"/>
        <v>--</v>
      </c>
      <c r="G154" s="88" t="b">
        <f t="shared" si="25"/>
        <v>1</v>
      </c>
      <c r="H154" s="33" t="b">
        <f t="shared" si="20"/>
        <v>0</v>
      </c>
      <c r="I154" s="33" t="b">
        <f t="shared" si="21"/>
        <v>0</v>
      </c>
      <c r="J154" s="33" t="b">
        <f t="shared" si="22"/>
        <v>0</v>
      </c>
      <c r="K154" s="33">
        <f t="shared" si="26"/>
        <v>0</v>
      </c>
      <c r="L154" s="43"/>
      <c r="M154" s="43"/>
      <c r="N154" s="44"/>
      <c r="O154" s="44"/>
      <c r="P154" s="44"/>
      <c r="Q154" s="44"/>
      <c r="R154" s="36" t="str">
        <f t="shared" si="23"/>
        <v>--</v>
      </c>
      <c r="S154" s="45"/>
      <c r="T154" s="48"/>
      <c r="U154" s="45"/>
      <c r="V154" s="45"/>
      <c r="W154" s="45"/>
      <c r="X154" s="45"/>
      <c r="Y154" s="45"/>
      <c r="Z154" s="77"/>
    </row>
    <row r="155" spans="1:26" ht="16.5" hidden="1" thickTop="1" x14ac:dyDescent="0.25">
      <c r="A155" s="37">
        <v>42519</v>
      </c>
      <c r="B155" s="84">
        <f t="shared" si="24"/>
        <v>21</v>
      </c>
      <c r="C155" s="41"/>
      <c r="D155" s="41"/>
      <c r="E155" s="42"/>
      <c r="F155" s="33" t="str">
        <f t="shared" si="19"/>
        <v>--</v>
      </c>
      <c r="G155" s="88" t="b">
        <f t="shared" si="25"/>
        <v>1</v>
      </c>
      <c r="H155" s="33" t="b">
        <f t="shared" si="20"/>
        <v>0</v>
      </c>
      <c r="I155" s="33" t="b">
        <f t="shared" si="21"/>
        <v>0</v>
      </c>
      <c r="J155" s="33" t="b">
        <f t="shared" si="22"/>
        <v>0</v>
      </c>
      <c r="K155" s="33">
        <f t="shared" si="26"/>
        <v>0</v>
      </c>
      <c r="L155" s="43"/>
      <c r="M155" s="43"/>
      <c r="N155" s="44"/>
      <c r="O155" s="44"/>
      <c r="P155" s="44"/>
      <c r="Q155" s="44"/>
      <c r="R155" s="36" t="str">
        <f t="shared" si="23"/>
        <v>--</v>
      </c>
      <c r="S155" s="45"/>
      <c r="T155" s="48"/>
      <c r="U155" s="45"/>
      <c r="V155" s="45"/>
      <c r="W155" s="45"/>
      <c r="X155" s="45"/>
      <c r="Y155" s="45"/>
      <c r="Z155" s="77"/>
    </row>
    <row r="156" spans="1:26" ht="16.5" hidden="1" thickTop="1" x14ac:dyDescent="0.25">
      <c r="A156" s="37">
        <v>42520</v>
      </c>
      <c r="B156" s="84">
        <f t="shared" si="24"/>
        <v>22</v>
      </c>
      <c r="C156" s="41"/>
      <c r="D156" s="41">
        <v>3.125E-2</v>
      </c>
      <c r="E156" s="42"/>
      <c r="F156" s="33" t="str">
        <f t="shared" si="19"/>
        <v>--</v>
      </c>
      <c r="G156" s="88" t="b">
        <f t="shared" si="25"/>
        <v>0</v>
      </c>
      <c r="H156" s="33" t="b">
        <f t="shared" si="20"/>
        <v>0</v>
      </c>
      <c r="I156" s="33" t="b">
        <f t="shared" si="21"/>
        <v>0</v>
      </c>
      <c r="J156" s="33" t="b">
        <f t="shared" si="22"/>
        <v>0</v>
      </c>
      <c r="K156" s="33">
        <f t="shared" si="26"/>
        <v>0.33333333333333331</v>
      </c>
      <c r="L156" s="43"/>
      <c r="M156" s="43"/>
      <c r="N156" s="44"/>
      <c r="O156" s="44"/>
      <c r="P156" s="44"/>
      <c r="Q156" s="44"/>
      <c r="R156" s="36" t="str">
        <f t="shared" si="23"/>
        <v>--</v>
      </c>
      <c r="S156" s="45"/>
      <c r="T156" s="48"/>
      <c r="U156" s="45"/>
      <c r="V156" s="45"/>
      <c r="W156" s="45"/>
      <c r="X156" s="45"/>
      <c r="Y156" s="45"/>
      <c r="Z156" s="77"/>
    </row>
    <row r="157" spans="1:26" ht="16.5" hidden="1" thickTop="1" x14ac:dyDescent="0.25">
      <c r="A157" s="37">
        <v>42521</v>
      </c>
      <c r="B157" s="84">
        <f t="shared" si="24"/>
        <v>22</v>
      </c>
      <c r="C157" s="41"/>
      <c r="D157" s="41">
        <v>3.125E-2</v>
      </c>
      <c r="E157" s="42"/>
      <c r="F157" s="33" t="str">
        <f t="shared" si="19"/>
        <v>--</v>
      </c>
      <c r="G157" s="88" t="b">
        <f t="shared" si="25"/>
        <v>0</v>
      </c>
      <c r="H157" s="33" t="b">
        <f t="shared" si="20"/>
        <v>0</v>
      </c>
      <c r="I157" s="33" t="b">
        <f t="shared" si="21"/>
        <v>0</v>
      </c>
      <c r="J157" s="33" t="b">
        <f t="shared" si="22"/>
        <v>0</v>
      </c>
      <c r="K157" s="33">
        <f t="shared" si="26"/>
        <v>0.33333333333333331</v>
      </c>
      <c r="L157" s="43"/>
      <c r="M157" s="43"/>
      <c r="N157" s="44"/>
      <c r="O157" s="44"/>
      <c r="P157" s="44"/>
      <c r="Q157" s="44"/>
      <c r="R157" s="36" t="str">
        <f t="shared" si="23"/>
        <v>--</v>
      </c>
      <c r="S157" s="45"/>
      <c r="T157" s="48"/>
      <c r="U157" s="45"/>
      <c r="V157" s="45"/>
      <c r="W157" s="45"/>
      <c r="X157" s="45"/>
      <c r="Y157" s="45"/>
      <c r="Z157" s="77"/>
    </row>
    <row r="158" spans="1:26" ht="16.5" hidden="1" thickTop="1" x14ac:dyDescent="0.25">
      <c r="A158" s="37">
        <v>42522</v>
      </c>
      <c r="B158" s="84">
        <f t="shared" si="24"/>
        <v>22</v>
      </c>
      <c r="C158" s="41"/>
      <c r="D158" s="41">
        <v>3.125E-2</v>
      </c>
      <c r="E158" s="42"/>
      <c r="F158" s="33" t="str">
        <f t="shared" si="19"/>
        <v>--</v>
      </c>
      <c r="G158" s="88" t="b">
        <f t="shared" si="25"/>
        <v>0</v>
      </c>
      <c r="H158" s="33" t="b">
        <f t="shared" si="20"/>
        <v>0</v>
      </c>
      <c r="I158" s="33" t="b">
        <f t="shared" si="21"/>
        <v>0</v>
      </c>
      <c r="J158" s="33" t="b">
        <f t="shared" si="22"/>
        <v>0</v>
      </c>
      <c r="K158" s="33">
        <f t="shared" si="26"/>
        <v>0.33333333333333331</v>
      </c>
      <c r="L158" s="43"/>
      <c r="M158" s="43"/>
      <c r="N158" s="44"/>
      <c r="O158" s="44"/>
      <c r="P158" s="44"/>
      <c r="Q158" s="44"/>
      <c r="R158" s="36" t="str">
        <f t="shared" si="23"/>
        <v>--</v>
      </c>
      <c r="S158" s="45"/>
      <c r="T158" s="48"/>
      <c r="U158" s="45"/>
      <c r="V158" s="45"/>
      <c r="W158" s="45"/>
      <c r="X158" s="45"/>
      <c r="Y158" s="45"/>
      <c r="Z158" s="77"/>
    </row>
    <row r="159" spans="1:26" ht="16.5" hidden="1" thickTop="1" x14ac:dyDescent="0.25">
      <c r="A159" s="37">
        <v>42523</v>
      </c>
      <c r="B159" s="84">
        <f t="shared" si="24"/>
        <v>22</v>
      </c>
      <c r="C159" s="41"/>
      <c r="D159" s="41">
        <v>3.125E-2</v>
      </c>
      <c r="E159" s="42"/>
      <c r="F159" s="33" t="str">
        <f t="shared" si="19"/>
        <v>--</v>
      </c>
      <c r="G159" s="88" t="b">
        <f t="shared" si="25"/>
        <v>0</v>
      </c>
      <c r="H159" s="33" t="b">
        <f t="shared" si="20"/>
        <v>0</v>
      </c>
      <c r="I159" s="33" t="b">
        <f t="shared" si="21"/>
        <v>0</v>
      </c>
      <c r="J159" s="33" t="b">
        <f t="shared" si="22"/>
        <v>0</v>
      </c>
      <c r="K159" s="33">
        <f t="shared" si="26"/>
        <v>0.33333333333333331</v>
      </c>
      <c r="L159" s="43"/>
      <c r="M159" s="43"/>
      <c r="N159" s="44"/>
      <c r="O159" s="44"/>
      <c r="P159" s="44"/>
      <c r="Q159" s="44"/>
      <c r="R159" s="36" t="str">
        <f t="shared" si="23"/>
        <v>--</v>
      </c>
      <c r="S159" s="45"/>
      <c r="T159" s="48"/>
      <c r="U159" s="45"/>
      <c r="V159" s="45"/>
      <c r="W159" s="45"/>
      <c r="X159" s="45"/>
      <c r="Y159" s="45"/>
      <c r="Z159" s="77"/>
    </row>
    <row r="160" spans="1:26" ht="16.5" hidden="1" thickTop="1" x14ac:dyDescent="0.25">
      <c r="A160" s="37">
        <v>42524</v>
      </c>
      <c r="B160" s="84">
        <f t="shared" si="24"/>
        <v>22</v>
      </c>
      <c r="C160" s="41"/>
      <c r="D160" s="41">
        <v>3.125E-2</v>
      </c>
      <c r="E160" s="42"/>
      <c r="F160" s="33" t="str">
        <f t="shared" si="19"/>
        <v>--</v>
      </c>
      <c r="G160" s="88" t="b">
        <f t="shared" si="25"/>
        <v>0</v>
      </c>
      <c r="H160" s="33" t="b">
        <f t="shared" si="20"/>
        <v>0</v>
      </c>
      <c r="I160" s="33" t="b">
        <f t="shared" si="21"/>
        <v>0</v>
      </c>
      <c r="J160" s="33" t="b">
        <f t="shared" si="22"/>
        <v>0</v>
      </c>
      <c r="K160" s="33">
        <f t="shared" si="26"/>
        <v>0.33333333333333331</v>
      </c>
      <c r="L160" s="43"/>
      <c r="M160" s="43"/>
      <c r="N160" s="44"/>
      <c r="O160" s="44"/>
      <c r="P160" s="44"/>
      <c r="Q160" s="44"/>
      <c r="R160" s="36" t="str">
        <f t="shared" si="23"/>
        <v>--</v>
      </c>
      <c r="S160" s="45"/>
      <c r="T160" s="48"/>
      <c r="U160" s="45"/>
      <c r="V160" s="45"/>
      <c r="W160" s="45"/>
      <c r="X160" s="45"/>
      <c r="Y160" s="45"/>
      <c r="Z160" s="77"/>
    </row>
    <row r="161" spans="1:26" ht="16.5" hidden="1" thickTop="1" x14ac:dyDescent="0.25">
      <c r="A161" s="37">
        <v>42525</v>
      </c>
      <c r="B161" s="84">
        <f t="shared" si="24"/>
        <v>22</v>
      </c>
      <c r="C161" s="41"/>
      <c r="D161" s="41"/>
      <c r="E161" s="42"/>
      <c r="F161" s="33" t="str">
        <f t="shared" si="19"/>
        <v>--</v>
      </c>
      <c r="G161" s="88" t="b">
        <f t="shared" si="25"/>
        <v>1</v>
      </c>
      <c r="H161" s="33" t="b">
        <f t="shared" si="20"/>
        <v>0</v>
      </c>
      <c r="I161" s="33" t="b">
        <f t="shared" si="21"/>
        <v>0</v>
      </c>
      <c r="J161" s="33" t="b">
        <f t="shared" si="22"/>
        <v>0</v>
      </c>
      <c r="K161" s="33">
        <f t="shared" si="26"/>
        <v>0</v>
      </c>
      <c r="L161" s="43"/>
      <c r="M161" s="43"/>
      <c r="N161" s="44"/>
      <c r="O161" s="44"/>
      <c r="P161" s="44"/>
      <c r="Q161" s="44"/>
      <c r="R161" s="36" t="str">
        <f t="shared" si="23"/>
        <v>--</v>
      </c>
      <c r="S161" s="45"/>
      <c r="T161" s="48"/>
      <c r="U161" s="45"/>
      <c r="V161" s="45"/>
      <c r="W161" s="45"/>
      <c r="X161" s="45"/>
      <c r="Y161" s="45"/>
      <c r="Z161" s="77"/>
    </row>
    <row r="162" spans="1:26" ht="16.5" hidden="1" thickTop="1" x14ac:dyDescent="0.25">
      <c r="A162" s="37">
        <v>42526</v>
      </c>
      <c r="B162" s="84">
        <f t="shared" si="24"/>
        <v>22</v>
      </c>
      <c r="C162" s="41"/>
      <c r="D162" s="41"/>
      <c r="E162" s="42"/>
      <c r="F162" s="33" t="str">
        <f t="shared" si="19"/>
        <v>--</v>
      </c>
      <c r="G162" s="88" t="b">
        <f t="shared" si="25"/>
        <v>1</v>
      </c>
      <c r="H162" s="33" t="b">
        <f t="shared" si="20"/>
        <v>0</v>
      </c>
      <c r="I162" s="33" t="b">
        <f t="shared" si="21"/>
        <v>0</v>
      </c>
      <c r="J162" s="33" t="b">
        <f t="shared" si="22"/>
        <v>0</v>
      </c>
      <c r="K162" s="33">
        <f t="shared" si="26"/>
        <v>0</v>
      </c>
      <c r="L162" s="43"/>
      <c r="M162" s="43"/>
      <c r="N162" s="44"/>
      <c r="O162" s="44"/>
      <c r="P162" s="44"/>
      <c r="Q162" s="44"/>
      <c r="R162" s="36" t="str">
        <f t="shared" si="23"/>
        <v>--</v>
      </c>
      <c r="S162" s="45"/>
      <c r="T162" s="48"/>
      <c r="U162" s="45"/>
      <c r="V162" s="45"/>
      <c r="W162" s="45"/>
      <c r="X162" s="45"/>
      <c r="Y162" s="45"/>
      <c r="Z162" s="77"/>
    </row>
    <row r="163" spans="1:26" ht="16.5" hidden="1" thickTop="1" x14ac:dyDescent="0.25">
      <c r="A163" s="37">
        <v>42527</v>
      </c>
      <c r="B163" s="84">
        <f t="shared" si="24"/>
        <v>23</v>
      </c>
      <c r="C163" s="41"/>
      <c r="D163" s="41"/>
      <c r="E163" s="42"/>
      <c r="F163" s="33" t="str">
        <f t="shared" si="19"/>
        <v>--</v>
      </c>
      <c r="G163" s="88" t="b">
        <f t="shared" si="25"/>
        <v>0</v>
      </c>
      <c r="H163" s="33" t="b">
        <f t="shared" si="20"/>
        <v>0</v>
      </c>
      <c r="I163" s="33" t="b">
        <f t="shared" si="21"/>
        <v>0</v>
      </c>
      <c r="J163" s="33" t="b">
        <f t="shared" si="22"/>
        <v>1</v>
      </c>
      <c r="K163" s="33">
        <f t="shared" si="26"/>
        <v>0</v>
      </c>
      <c r="L163" s="43"/>
      <c r="M163" s="43"/>
      <c r="N163" s="44"/>
      <c r="O163" s="44"/>
      <c r="P163" s="44"/>
      <c r="Q163" s="44"/>
      <c r="R163" s="36" t="str">
        <f t="shared" si="23"/>
        <v>--</v>
      </c>
      <c r="S163" s="45"/>
      <c r="T163" s="48"/>
      <c r="U163" s="45"/>
      <c r="V163" s="45"/>
      <c r="W163" s="45"/>
      <c r="X163" s="45"/>
      <c r="Y163" s="45"/>
      <c r="Z163" s="77"/>
    </row>
    <row r="164" spans="1:26" ht="16.5" hidden="1" thickTop="1" x14ac:dyDescent="0.25">
      <c r="A164" s="37">
        <v>42528</v>
      </c>
      <c r="B164" s="84">
        <f t="shared" si="24"/>
        <v>23</v>
      </c>
      <c r="C164" s="41"/>
      <c r="D164" s="41">
        <v>3.125E-2</v>
      </c>
      <c r="E164" s="42"/>
      <c r="F164" s="33" t="str">
        <f t="shared" si="19"/>
        <v>--</v>
      </c>
      <c r="G164" s="88" t="b">
        <f t="shared" si="25"/>
        <v>0</v>
      </c>
      <c r="H164" s="33" t="b">
        <f t="shared" si="20"/>
        <v>0</v>
      </c>
      <c r="I164" s="33" t="b">
        <f t="shared" si="21"/>
        <v>0</v>
      </c>
      <c r="J164" s="33" t="b">
        <f t="shared" si="22"/>
        <v>0</v>
      </c>
      <c r="K164" s="33">
        <f t="shared" si="26"/>
        <v>0.33333333333333331</v>
      </c>
      <c r="L164" s="43"/>
      <c r="M164" s="43"/>
      <c r="N164" s="44"/>
      <c r="O164" s="44"/>
      <c r="P164" s="44"/>
      <c r="Q164" s="44"/>
      <c r="R164" s="36" t="str">
        <f t="shared" si="23"/>
        <v>--</v>
      </c>
      <c r="S164" s="45"/>
      <c r="T164" s="48"/>
      <c r="U164" s="45"/>
      <c r="V164" s="45"/>
      <c r="W164" s="45"/>
      <c r="X164" s="45"/>
      <c r="Y164" s="45"/>
      <c r="Z164" s="77"/>
    </row>
    <row r="165" spans="1:26" ht="16.5" hidden="1" thickTop="1" x14ac:dyDescent="0.25">
      <c r="A165" s="37">
        <v>42529</v>
      </c>
      <c r="B165" s="84">
        <f t="shared" si="24"/>
        <v>23</v>
      </c>
      <c r="C165" s="41"/>
      <c r="D165" s="41">
        <v>3.125E-2</v>
      </c>
      <c r="E165" s="42"/>
      <c r="F165" s="33" t="str">
        <f t="shared" si="19"/>
        <v>--</v>
      </c>
      <c r="G165" s="88" t="b">
        <f t="shared" si="25"/>
        <v>0</v>
      </c>
      <c r="H165" s="33" t="b">
        <f t="shared" si="20"/>
        <v>0</v>
      </c>
      <c r="I165" s="33" t="b">
        <f t="shared" si="21"/>
        <v>0</v>
      </c>
      <c r="J165" s="33" t="b">
        <f t="shared" si="22"/>
        <v>0</v>
      </c>
      <c r="K165" s="33">
        <f t="shared" si="26"/>
        <v>0.33333333333333331</v>
      </c>
      <c r="L165" s="43"/>
      <c r="M165" s="43"/>
      <c r="N165" s="44"/>
      <c r="O165" s="44"/>
      <c r="P165" s="44"/>
      <c r="Q165" s="44"/>
      <c r="R165" s="36" t="str">
        <f t="shared" si="23"/>
        <v>--</v>
      </c>
      <c r="S165" s="45"/>
      <c r="T165" s="48"/>
      <c r="U165" s="45"/>
      <c r="V165" s="45"/>
      <c r="W165" s="45"/>
      <c r="X165" s="45"/>
      <c r="Y165" s="45"/>
      <c r="Z165" s="77"/>
    </row>
    <row r="166" spans="1:26" ht="16.5" hidden="1" thickTop="1" x14ac:dyDescent="0.25">
      <c r="A166" s="37">
        <v>42530</v>
      </c>
      <c r="B166" s="84">
        <f t="shared" si="24"/>
        <v>23</v>
      </c>
      <c r="C166" s="41"/>
      <c r="D166" s="41">
        <v>3.125E-2</v>
      </c>
      <c r="E166" s="42"/>
      <c r="F166" s="33" t="str">
        <f t="shared" si="19"/>
        <v>--</v>
      </c>
      <c r="G166" s="88" t="b">
        <f t="shared" si="25"/>
        <v>0</v>
      </c>
      <c r="H166" s="33" t="b">
        <f t="shared" si="20"/>
        <v>0</v>
      </c>
      <c r="I166" s="33" t="b">
        <f t="shared" si="21"/>
        <v>0</v>
      </c>
      <c r="J166" s="33" t="b">
        <f t="shared" si="22"/>
        <v>0</v>
      </c>
      <c r="K166" s="33">
        <f t="shared" si="26"/>
        <v>0.33333333333333331</v>
      </c>
      <c r="L166" s="43"/>
      <c r="M166" s="43"/>
      <c r="N166" s="44"/>
      <c r="O166" s="44"/>
      <c r="P166" s="44"/>
      <c r="Q166" s="44"/>
      <c r="R166" s="36" t="str">
        <f t="shared" si="23"/>
        <v>--</v>
      </c>
      <c r="S166" s="45"/>
      <c r="T166" s="48"/>
      <c r="U166" s="45"/>
      <c r="V166" s="45"/>
      <c r="W166" s="45"/>
      <c r="X166" s="45"/>
      <c r="Y166" s="45"/>
      <c r="Z166" s="77"/>
    </row>
    <row r="167" spans="1:26" ht="16.5" hidden="1" thickTop="1" x14ac:dyDescent="0.25">
      <c r="A167" s="37">
        <v>42531</v>
      </c>
      <c r="B167" s="84">
        <f t="shared" si="24"/>
        <v>23</v>
      </c>
      <c r="C167" s="41"/>
      <c r="D167" s="41">
        <v>3.125E-2</v>
      </c>
      <c r="E167" s="42"/>
      <c r="F167" s="33" t="str">
        <f t="shared" si="19"/>
        <v>--</v>
      </c>
      <c r="G167" s="88" t="b">
        <f t="shared" si="25"/>
        <v>0</v>
      </c>
      <c r="H167" s="33" t="b">
        <f t="shared" si="20"/>
        <v>0</v>
      </c>
      <c r="I167" s="33" t="b">
        <f t="shared" si="21"/>
        <v>0</v>
      </c>
      <c r="J167" s="33" t="b">
        <f t="shared" si="22"/>
        <v>0</v>
      </c>
      <c r="K167" s="33">
        <f t="shared" si="26"/>
        <v>0.33333333333333331</v>
      </c>
      <c r="L167" s="43"/>
      <c r="M167" s="43"/>
      <c r="N167" s="44"/>
      <c r="O167" s="44"/>
      <c r="P167" s="44"/>
      <c r="Q167" s="44"/>
      <c r="R167" s="36" t="str">
        <f t="shared" si="23"/>
        <v>--</v>
      </c>
      <c r="S167" s="45"/>
      <c r="T167" s="48"/>
      <c r="U167" s="45"/>
      <c r="V167" s="45"/>
      <c r="W167" s="45"/>
      <c r="X167" s="45"/>
      <c r="Y167" s="45"/>
      <c r="Z167" s="77"/>
    </row>
    <row r="168" spans="1:26" ht="16.5" hidden="1" thickTop="1" x14ac:dyDescent="0.25">
      <c r="A168" s="37">
        <v>42532</v>
      </c>
      <c r="B168" s="84">
        <f t="shared" si="24"/>
        <v>23</v>
      </c>
      <c r="C168" s="41"/>
      <c r="D168" s="41"/>
      <c r="E168" s="42"/>
      <c r="F168" s="33" t="str">
        <f t="shared" si="19"/>
        <v>--</v>
      </c>
      <c r="G168" s="88" t="b">
        <f t="shared" si="25"/>
        <v>1</v>
      </c>
      <c r="H168" s="33" t="b">
        <f t="shared" si="20"/>
        <v>0</v>
      </c>
      <c r="I168" s="33" t="b">
        <f t="shared" si="21"/>
        <v>0</v>
      </c>
      <c r="J168" s="33" t="b">
        <f t="shared" si="22"/>
        <v>0</v>
      </c>
      <c r="K168" s="33">
        <f t="shared" si="26"/>
        <v>0</v>
      </c>
      <c r="L168" s="43"/>
      <c r="M168" s="43"/>
      <c r="N168" s="44"/>
      <c r="O168" s="44"/>
      <c r="P168" s="44"/>
      <c r="Q168" s="44"/>
      <c r="R168" s="36" t="str">
        <f t="shared" si="23"/>
        <v>--</v>
      </c>
      <c r="S168" s="45"/>
      <c r="T168" s="48"/>
      <c r="U168" s="45"/>
      <c r="V168" s="45"/>
      <c r="W168" s="45"/>
      <c r="X168" s="45"/>
      <c r="Y168" s="45"/>
      <c r="Z168" s="77"/>
    </row>
    <row r="169" spans="1:26" ht="16.5" hidden="1" thickTop="1" x14ac:dyDescent="0.25">
      <c r="A169" s="37">
        <v>42533</v>
      </c>
      <c r="B169" s="84">
        <f t="shared" si="24"/>
        <v>23</v>
      </c>
      <c r="C169" s="41"/>
      <c r="D169" s="41"/>
      <c r="E169" s="42"/>
      <c r="F169" s="33" t="str">
        <f t="shared" si="19"/>
        <v>--</v>
      </c>
      <c r="G169" s="88" t="b">
        <f t="shared" si="25"/>
        <v>1</v>
      </c>
      <c r="H169" s="33" t="b">
        <f t="shared" si="20"/>
        <v>0</v>
      </c>
      <c r="I169" s="33" t="b">
        <f t="shared" si="21"/>
        <v>0</v>
      </c>
      <c r="J169" s="33" t="b">
        <f t="shared" si="22"/>
        <v>0</v>
      </c>
      <c r="K169" s="33">
        <f t="shared" si="26"/>
        <v>0</v>
      </c>
      <c r="L169" s="43"/>
      <c r="M169" s="43"/>
      <c r="N169" s="44"/>
      <c r="O169" s="44"/>
      <c r="P169" s="44"/>
      <c r="Q169" s="44"/>
      <c r="R169" s="36" t="str">
        <f t="shared" si="23"/>
        <v>--</v>
      </c>
      <c r="S169" s="45"/>
      <c r="T169" s="48"/>
      <c r="U169" s="45"/>
      <c r="V169" s="45"/>
      <c r="W169" s="45"/>
      <c r="X169" s="45"/>
      <c r="Y169" s="45"/>
      <c r="Z169" s="77"/>
    </row>
    <row r="170" spans="1:26" ht="16.5" hidden="1" thickTop="1" x14ac:dyDescent="0.25">
      <c r="A170" s="37">
        <v>42534</v>
      </c>
      <c r="B170" s="84">
        <f t="shared" si="24"/>
        <v>24</v>
      </c>
      <c r="C170" s="41"/>
      <c r="D170" s="41">
        <v>3.125E-2</v>
      </c>
      <c r="E170" s="42"/>
      <c r="F170" s="33" t="str">
        <f t="shared" si="19"/>
        <v>--</v>
      </c>
      <c r="G170" s="88" t="b">
        <f t="shared" si="25"/>
        <v>0</v>
      </c>
      <c r="H170" s="33" t="b">
        <f t="shared" si="20"/>
        <v>0</v>
      </c>
      <c r="I170" s="33" t="b">
        <f t="shared" si="21"/>
        <v>0</v>
      </c>
      <c r="J170" s="33" t="b">
        <f t="shared" si="22"/>
        <v>0</v>
      </c>
      <c r="K170" s="33">
        <f t="shared" si="26"/>
        <v>0.33333333333333331</v>
      </c>
      <c r="L170" s="43"/>
      <c r="M170" s="43"/>
      <c r="N170" s="44"/>
      <c r="O170" s="44"/>
      <c r="P170" s="44"/>
      <c r="Q170" s="44"/>
      <c r="R170" s="36" t="str">
        <f t="shared" si="23"/>
        <v>--</v>
      </c>
      <c r="S170" s="45"/>
      <c r="T170" s="48"/>
      <c r="U170" s="45"/>
      <c r="V170" s="45"/>
      <c r="W170" s="45"/>
      <c r="X170" s="45"/>
      <c r="Y170" s="45"/>
      <c r="Z170" s="77"/>
    </row>
    <row r="171" spans="1:26" ht="16.5" hidden="1" thickTop="1" x14ac:dyDescent="0.25">
      <c r="A171" s="37">
        <v>42535</v>
      </c>
      <c r="B171" s="84">
        <f t="shared" si="24"/>
        <v>24</v>
      </c>
      <c r="C171" s="41"/>
      <c r="D171" s="41">
        <v>3.125E-2</v>
      </c>
      <c r="E171" s="42"/>
      <c r="F171" s="33" t="str">
        <f t="shared" si="19"/>
        <v>--</v>
      </c>
      <c r="G171" s="88" t="b">
        <f t="shared" si="25"/>
        <v>0</v>
      </c>
      <c r="H171" s="33" t="b">
        <f t="shared" si="20"/>
        <v>0</v>
      </c>
      <c r="I171" s="33" t="b">
        <f t="shared" si="21"/>
        <v>0</v>
      </c>
      <c r="J171" s="33" t="b">
        <f t="shared" si="22"/>
        <v>0</v>
      </c>
      <c r="K171" s="33">
        <f t="shared" si="26"/>
        <v>0.33333333333333331</v>
      </c>
      <c r="L171" s="43"/>
      <c r="M171" s="43"/>
      <c r="N171" s="44"/>
      <c r="O171" s="44"/>
      <c r="P171" s="44"/>
      <c r="Q171" s="44"/>
      <c r="R171" s="36" t="str">
        <f t="shared" si="23"/>
        <v>--</v>
      </c>
      <c r="S171" s="45"/>
      <c r="T171" s="48"/>
      <c r="U171" s="45"/>
      <c r="V171" s="45"/>
      <c r="W171" s="45"/>
      <c r="X171" s="45"/>
      <c r="Y171" s="45"/>
      <c r="Z171" s="77"/>
    </row>
    <row r="172" spans="1:26" ht="16.5" hidden="1" thickTop="1" x14ac:dyDescent="0.25">
      <c r="A172" s="37">
        <v>42536</v>
      </c>
      <c r="B172" s="84">
        <f t="shared" si="24"/>
        <v>24</v>
      </c>
      <c r="C172" s="41"/>
      <c r="D172" s="41">
        <v>3.125E-2</v>
      </c>
      <c r="E172" s="42"/>
      <c r="F172" s="33" t="str">
        <f t="shared" si="19"/>
        <v>--</v>
      </c>
      <c r="G172" s="88" t="b">
        <f t="shared" si="25"/>
        <v>0</v>
      </c>
      <c r="H172" s="33" t="b">
        <f t="shared" si="20"/>
        <v>0</v>
      </c>
      <c r="I172" s="33" t="b">
        <f t="shared" si="21"/>
        <v>0</v>
      </c>
      <c r="J172" s="33" t="b">
        <f t="shared" si="22"/>
        <v>0</v>
      </c>
      <c r="K172" s="33">
        <f t="shared" si="26"/>
        <v>0.33333333333333331</v>
      </c>
      <c r="L172" s="43"/>
      <c r="M172" s="43"/>
      <c r="N172" s="44"/>
      <c r="O172" s="44"/>
      <c r="P172" s="44"/>
      <c r="Q172" s="44"/>
      <c r="R172" s="36" t="str">
        <f t="shared" si="23"/>
        <v>--</v>
      </c>
      <c r="S172" s="45"/>
      <c r="T172" s="48"/>
      <c r="U172" s="45"/>
      <c r="V172" s="45"/>
      <c r="W172" s="45"/>
      <c r="X172" s="45"/>
      <c r="Y172" s="45"/>
      <c r="Z172" s="77"/>
    </row>
    <row r="173" spans="1:26" ht="16.5" hidden="1" thickTop="1" x14ac:dyDescent="0.25">
      <c r="A173" s="37">
        <v>42537</v>
      </c>
      <c r="B173" s="84">
        <f t="shared" si="24"/>
        <v>24</v>
      </c>
      <c r="C173" s="41"/>
      <c r="D173" s="41">
        <v>3.125E-2</v>
      </c>
      <c r="E173" s="42"/>
      <c r="F173" s="33" t="str">
        <f t="shared" si="19"/>
        <v>--</v>
      </c>
      <c r="G173" s="88" t="b">
        <f t="shared" si="25"/>
        <v>0</v>
      </c>
      <c r="H173" s="33" t="b">
        <f t="shared" si="20"/>
        <v>0</v>
      </c>
      <c r="I173" s="33" t="b">
        <f t="shared" si="21"/>
        <v>0</v>
      </c>
      <c r="J173" s="33" t="b">
        <f t="shared" si="22"/>
        <v>0</v>
      </c>
      <c r="K173" s="33">
        <f t="shared" si="26"/>
        <v>0.33333333333333331</v>
      </c>
      <c r="L173" s="43"/>
      <c r="M173" s="43"/>
      <c r="N173" s="44"/>
      <c r="O173" s="44"/>
      <c r="P173" s="44"/>
      <c r="Q173" s="44"/>
      <c r="R173" s="36" t="str">
        <f t="shared" si="23"/>
        <v>--</v>
      </c>
      <c r="S173" s="45"/>
      <c r="T173" s="48"/>
      <c r="U173" s="45"/>
      <c r="V173" s="45"/>
      <c r="W173" s="45"/>
      <c r="X173" s="45"/>
      <c r="Y173" s="45"/>
      <c r="Z173" s="77"/>
    </row>
    <row r="174" spans="1:26" ht="16.5" hidden="1" thickTop="1" x14ac:dyDescent="0.25">
      <c r="A174" s="37">
        <v>42538</v>
      </c>
      <c r="B174" s="84">
        <f t="shared" si="24"/>
        <v>24</v>
      </c>
      <c r="C174" s="41"/>
      <c r="D174" s="41">
        <v>3.125E-2</v>
      </c>
      <c r="E174" s="42"/>
      <c r="F174" s="33" t="str">
        <f t="shared" si="19"/>
        <v>--</v>
      </c>
      <c r="G174" s="88" t="b">
        <f t="shared" si="25"/>
        <v>0</v>
      </c>
      <c r="H174" s="33" t="b">
        <f t="shared" si="20"/>
        <v>0</v>
      </c>
      <c r="I174" s="33" t="b">
        <f t="shared" si="21"/>
        <v>0</v>
      </c>
      <c r="J174" s="33" t="b">
        <f t="shared" si="22"/>
        <v>0</v>
      </c>
      <c r="K174" s="33">
        <f t="shared" si="26"/>
        <v>0.33333333333333331</v>
      </c>
      <c r="L174" s="43"/>
      <c r="M174" s="43"/>
      <c r="N174" s="44"/>
      <c r="O174" s="44"/>
      <c r="P174" s="44"/>
      <c r="Q174" s="44"/>
      <c r="R174" s="36" t="str">
        <f t="shared" si="23"/>
        <v>--</v>
      </c>
      <c r="S174" s="45"/>
      <c r="T174" s="48"/>
      <c r="U174" s="45"/>
      <c r="V174" s="45"/>
      <c r="W174" s="45"/>
      <c r="X174" s="45"/>
      <c r="Y174" s="45"/>
      <c r="Z174" s="77"/>
    </row>
    <row r="175" spans="1:26" ht="16.5" hidden="1" thickTop="1" x14ac:dyDescent="0.25">
      <c r="A175" s="37">
        <v>42539</v>
      </c>
      <c r="B175" s="84">
        <f t="shared" si="24"/>
        <v>24</v>
      </c>
      <c r="C175" s="41"/>
      <c r="D175" s="41"/>
      <c r="E175" s="42"/>
      <c r="F175" s="33" t="str">
        <f t="shared" si="19"/>
        <v>--</v>
      </c>
      <c r="G175" s="88" t="b">
        <f t="shared" si="25"/>
        <v>1</v>
      </c>
      <c r="H175" s="33" t="b">
        <f t="shared" si="20"/>
        <v>0</v>
      </c>
      <c r="I175" s="33" t="b">
        <f t="shared" si="21"/>
        <v>0</v>
      </c>
      <c r="J175" s="33" t="b">
        <f t="shared" si="22"/>
        <v>0</v>
      </c>
      <c r="K175" s="33">
        <f t="shared" si="26"/>
        <v>0</v>
      </c>
      <c r="L175" s="43"/>
      <c r="M175" s="43"/>
      <c r="N175" s="44"/>
      <c r="O175" s="44"/>
      <c r="P175" s="44"/>
      <c r="Q175" s="44"/>
      <c r="R175" s="36" t="str">
        <f t="shared" si="23"/>
        <v>--</v>
      </c>
      <c r="S175" s="45"/>
      <c r="T175" s="48"/>
      <c r="U175" s="45"/>
      <c r="V175" s="45"/>
      <c r="W175" s="45"/>
      <c r="X175" s="45"/>
      <c r="Y175" s="45"/>
      <c r="Z175" s="77"/>
    </row>
    <row r="176" spans="1:26" ht="16.5" hidden="1" thickTop="1" x14ac:dyDescent="0.25">
      <c r="A176" s="37">
        <v>42540</v>
      </c>
      <c r="B176" s="84">
        <f t="shared" si="24"/>
        <v>24</v>
      </c>
      <c r="C176" s="41"/>
      <c r="D176" s="41"/>
      <c r="E176" s="42"/>
      <c r="F176" s="33" t="str">
        <f t="shared" si="19"/>
        <v>--</v>
      </c>
      <c r="G176" s="88" t="b">
        <f t="shared" si="25"/>
        <v>1</v>
      </c>
      <c r="H176" s="33" t="b">
        <f t="shared" si="20"/>
        <v>0</v>
      </c>
      <c r="I176" s="33" t="b">
        <f t="shared" si="21"/>
        <v>0</v>
      </c>
      <c r="J176" s="33" t="b">
        <f t="shared" si="22"/>
        <v>0</v>
      </c>
      <c r="K176" s="33">
        <f t="shared" si="26"/>
        <v>0</v>
      </c>
      <c r="L176" s="43"/>
      <c r="M176" s="43"/>
      <c r="N176" s="44"/>
      <c r="O176" s="44"/>
      <c r="P176" s="44"/>
      <c r="Q176" s="44"/>
      <c r="R176" s="36" t="str">
        <f t="shared" si="23"/>
        <v>--</v>
      </c>
      <c r="S176" s="45"/>
      <c r="T176" s="48"/>
      <c r="U176" s="45"/>
      <c r="V176" s="45"/>
      <c r="W176" s="45"/>
      <c r="X176" s="45"/>
      <c r="Y176" s="45"/>
      <c r="Z176" s="77"/>
    </row>
    <row r="177" spans="1:26" ht="16.5" hidden="1" thickTop="1" x14ac:dyDescent="0.25">
      <c r="A177" s="37">
        <v>42541</v>
      </c>
      <c r="B177" s="84">
        <f t="shared" si="24"/>
        <v>25</v>
      </c>
      <c r="C177" s="41"/>
      <c r="D177" s="41">
        <v>3.125E-2</v>
      </c>
      <c r="E177" s="42"/>
      <c r="F177" s="33" t="str">
        <f t="shared" si="19"/>
        <v>--</v>
      </c>
      <c r="G177" s="88" t="b">
        <f t="shared" si="25"/>
        <v>0</v>
      </c>
      <c r="H177" s="33" t="b">
        <f t="shared" si="20"/>
        <v>0</v>
      </c>
      <c r="I177" s="33" t="b">
        <f t="shared" si="21"/>
        <v>0</v>
      </c>
      <c r="J177" s="33" t="b">
        <f t="shared" si="22"/>
        <v>0</v>
      </c>
      <c r="K177" s="33">
        <f t="shared" si="26"/>
        <v>0.33333333333333331</v>
      </c>
      <c r="L177" s="43"/>
      <c r="M177" s="43"/>
      <c r="N177" s="44"/>
      <c r="O177" s="44"/>
      <c r="P177" s="44"/>
      <c r="Q177" s="44"/>
      <c r="R177" s="36" t="str">
        <f t="shared" si="23"/>
        <v>--</v>
      </c>
      <c r="S177" s="45"/>
      <c r="T177" s="48"/>
      <c r="U177" s="45"/>
      <c r="V177" s="45"/>
      <c r="W177" s="45"/>
      <c r="X177" s="45"/>
      <c r="Y177" s="45"/>
      <c r="Z177" s="77"/>
    </row>
    <row r="178" spans="1:26" ht="16.5" hidden="1" thickTop="1" x14ac:dyDescent="0.25">
      <c r="A178" s="37">
        <v>42542</v>
      </c>
      <c r="B178" s="84">
        <f t="shared" si="24"/>
        <v>25</v>
      </c>
      <c r="C178" s="41"/>
      <c r="D178" s="41">
        <v>3.125E-2</v>
      </c>
      <c r="E178" s="42"/>
      <c r="F178" s="33" t="str">
        <f t="shared" si="19"/>
        <v>--</v>
      </c>
      <c r="G178" s="88" t="b">
        <f t="shared" si="25"/>
        <v>0</v>
      </c>
      <c r="H178" s="33" t="b">
        <f t="shared" si="20"/>
        <v>0</v>
      </c>
      <c r="I178" s="33" t="b">
        <f t="shared" si="21"/>
        <v>0</v>
      </c>
      <c r="J178" s="33" t="b">
        <f t="shared" si="22"/>
        <v>0</v>
      </c>
      <c r="K178" s="33">
        <f t="shared" si="26"/>
        <v>0.33333333333333331</v>
      </c>
      <c r="L178" s="43"/>
      <c r="M178" s="43"/>
      <c r="N178" s="44"/>
      <c r="O178" s="44"/>
      <c r="P178" s="44"/>
      <c r="Q178" s="44"/>
      <c r="R178" s="36" t="str">
        <f t="shared" si="23"/>
        <v>--</v>
      </c>
      <c r="S178" s="45"/>
      <c r="T178" s="48"/>
      <c r="U178" s="45"/>
      <c r="V178" s="45"/>
      <c r="W178" s="45"/>
      <c r="X178" s="45"/>
      <c r="Y178" s="45"/>
      <c r="Z178" s="77"/>
    </row>
    <row r="179" spans="1:26" ht="16.5" hidden="1" thickTop="1" x14ac:dyDescent="0.25">
      <c r="A179" s="37">
        <v>42543</v>
      </c>
      <c r="B179" s="84">
        <f t="shared" si="24"/>
        <v>25</v>
      </c>
      <c r="C179" s="41"/>
      <c r="D179" s="41">
        <v>3.125E-2</v>
      </c>
      <c r="E179" s="42"/>
      <c r="F179" s="33" t="str">
        <f t="shared" si="19"/>
        <v>--</v>
      </c>
      <c r="G179" s="88" t="b">
        <f t="shared" si="25"/>
        <v>0</v>
      </c>
      <c r="H179" s="33" t="b">
        <f t="shared" si="20"/>
        <v>0</v>
      </c>
      <c r="I179" s="33" t="b">
        <f t="shared" si="21"/>
        <v>0</v>
      </c>
      <c r="J179" s="33" t="b">
        <f t="shared" si="22"/>
        <v>0</v>
      </c>
      <c r="K179" s="33">
        <f t="shared" si="26"/>
        <v>0.33333333333333331</v>
      </c>
      <c r="L179" s="43"/>
      <c r="M179" s="43"/>
      <c r="N179" s="44"/>
      <c r="O179" s="44"/>
      <c r="P179" s="44"/>
      <c r="Q179" s="44"/>
      <c r="R179" s="36" t="str">
        <f t="shared" si="23"/>
        <v>--</v>
      </c>
      <c r="S179" s="45"/>
      <c r="T179" s="48"/>
      <c r="U179" s="45"/>
      <c r="V179" s="45"/>
      <c r="W179" s="45"/>
      <c r="X179" s="45"/>
      <c r="Y179" s="45"/>
      <c r="Z179" s="77"/>
    </row>
    <row r="180" spans="1:26" ht="16.5" hidden="1" thickTop="1" x14ac:dyDescent="0.25">
      <c r="A180" s="37">
        <v>42544</v>
      </c>
      <c r="B180" s="84">
        <f t="shared" si="24"/>
        <v>25</v>
      </c>
      <c r="C180" s="41"/>
      <c r="D180" s="41">
        <v>3.125E-2</v>
      </c>
      <c r="E180" s="42"/>
      <c r="F180" s="33" t="str">
        <f t="shared" si="19"/>
        <v>--</v>
      </c>
      <c r="G180" s="88" t="b">
        <f t="shared" si="25"/>
        <v>0</v>
      </c>
      <c r="H180" s="33" t="b">
        <f t="shared" si="20"/>
        <v>0</v>
      </c>
      <c r="I180" s="33" t="b">
        <f t="shared" si="21"/>
        <v>0</v>
      </c>
      <c r="J180" s="33" t="b">
        <f t="shared" si="22"/>
        <v>0</v>
      </c>
      <c r="K180" s="33">
        <f t="shared" si="26"/>
        <v>0.33333333333333331</v>
      </c>
      <c r="L180" s="43"/>
      <c r="M180" s="43"/>
      <c r="N180" s="44"/>
      <c r="O180" s="44"/>
      <c r="P180" s="44"/>
      <c r="Q180" s="44"/>
      <c r="R180" s="36" t="str">
        <f t="shared" si="23"/>
        <v>--</v>
      </c>
      <c r="S180" s="45"/>
      <c r="T180" s="48"/>
      <c r="U180" s="45"/>
      <c r="V180" s="45"/>
      <c r="W180" s="45"/>
      <c r="X180" s="45"/>
      <c r="Y180" s="45"/>
      <c r="Z180" s="77"/>
    </row>
    <row r="181" spans="1:26" ht="16.5" hidden="1" thickTop="1" x14ac:dyDescent="0.25">
      <c r="A181" s="37">
        <v>42545</v>
      </c>
      <c r="B181" s="84">
        <f t="shared" si="24"/>
        <v>25</v>
      </c>
      <c r="C181" s="41"/>
      <c r="D181" s="41"/>
      <c r="E181" s="42"/>
      <c r="F181" s="33" t="str">
        <f t="shared" si="19"/>
        <v>--</v>
      </c>
      <c r="G181" s="88" t="b">
        <f t="shared" si="25"/>
        <v>0</v>
      </c>
      <c r="H181" s="33" t="b">
        <f t="shared" si="20"/>
        <v>0</v>
      </c>
      <c r="I181" s="33" t="b">
        <f t="shared" si="21"/>
        <v>0</v>
      </c>
      <c r="J181" s="33" t="b">
        <f t="shared" si="22"/>
        <v>1</v>
      </c>
      <c r="K181" s="33">
        <f t="shared" si="26"/>
        <v>0</v>
      </c>
      <c r="L181" s="43"/>
      <c r="M181" s="43"/>
      <c r="N181" s="44"/>
      <c r="O181" s="44"/>
      <c r="P181" s="44"/>
      <c r="Q181" s="44"/>
      <c r="R181" s="36" t="str">
        <f t="shared" si="23"/>
        <v>--</v>
      </c>
      <c r="S181" s="45"/>
      <c r="T181" s="48"/>
      <c r="U181" s="45"/>
      <c r="V181" s="45"/>
      <c r="W181" s="45"/>
      <c r="X181" s="45"/>
      <c r="Y181" s="45"/>
      <c r="Z181" s="77"/>
    </row>
    <row r="182" spans="1:26" ht="16.5" hidden="1" thickTop="1" x14ac:dyDescent="0.25">
      <c r="A182" s="37">
        <v>42546</v>
      </c>
      <c r="B182" s="84">
        <f t="shared" si="24"/>
        <v>25</v>
      </c>
      <c r="C182" s="41"/>
      <c r="D182" s="41"/>
      <c r="E182" s="42"/>
      <c r="F182" s="33" t="str">
        <f t="shared" si="19"/>
        <v>--</v>
      </c>
      <c r="G182" s="88" t="b">
        <f t="shared" si="25"/>
        <v>1</v>
      </c>
      <c r="H182" s="33" t="b">
        <f t="shared" si="20"/>
        <v>0</v>
      </c>
      <c r="I182" s="33" t="b">
        <f t="shared" si="21"/>
        <v>0</v>
      </c>
      <c r="J182" s="33" t="b">
        <f t="shared" si="22"/>
        <v>1</v>
      </c>
      <c r="K182" s="33">
        <f t="shared" si="26"/>
        <v>0</v>
      </c>
      <c r="L182" s="43"/>
      <c r="M182" s="43"/>
      <c r="N182" s="44"/>
      <c r="O182" s="44"/>
      <c r="P182" s="44"/>
      <c r="Q182" s="44"/>
      <c r="R182" s="36" t="str">
        <f t="shared" si="23"/>
        <v>--</v>
      </c>
      <c r="S182" s="45"/>
      <c r="T182" s="48"/>
      <c r="U182" s="45"/>
      <c r="V182" s="45"/>
      <c r="W182" s="45"/>
      <c r="X182" s="45"/>
      <c r="Y182" s="45"/>
      <c r="Z182" s="77"/>
    </row>
    <row r="183" spans="1:26" ht="16.5" hidden="1" thickTop="1" x14ac:dyDescent="0.25">
      <c r="A183" s="37">
        <v>42547</v>
      </c>
      <c r="B183" s="84">
        <f t="shared" si="24"/>
        <v>25</v>
      </c>
      <c r="C183" s="41"/>
      <c r="D183" s="41"/>
      <c r="E183" s="42"/>
      <c r="F183" s="33" t="str">
        <f t="shared" si="19"/>
        <v>--</v>
      </c>
      <c r="G183" s="88" t="b">
        <f t="shared" si="25"/>
        <v>1</v>
      </c>
      <c r="H183" s="33" t="b">
        <f t="shared" si="20"/>
        <v>0</v>
      </c>
      <c r="I183" s="33" t="b">
        <f t="shared" si="21"/>
        <v>0</v>
      </c>
      <c r="J183" s="33" t="b">
        <f t="shared" si="22"/>
        <v>0</v>
      </c>
      <c r="K183" s="33">
        <f t="shared" si="26"/>
        <v>0</v>
      </c>
      <c r="L183" s="43"/>
      <c r="M183" s="43"/>
      <c r="N183" s="44"/>
      <c r="O183" s="44"/>
      <c r="P183" s="44"/>
      <c r="Q183" s="44"/>
      <c r="R183" s="36" t="str">
        <f t="shared" si="23"/>
        <v>--</v>
      </c>
      <c r="S183" s="45"/>
      <c r="T183" s="48"/>
      <c r="U183" s="45"/>
      <c r="V183" s="45"/>
      <c r="W183" s="45"/>
      <c r="X183" s="45"/>
      <c r="Y183" s="45"/>
      <c r="Z183" s="77"/>
    </row>
    <row r="184" spans="1:26" ht="16.5" hidden="1" thickTop="1" x14ac:dyDescent="0.25">
      <c r="A184" s="37">
        <v>42548</v>
      </c>
      <c r="B184" s="84">
        <f t="shared" si="24"/>
        <v>26</v>
      </c>
      <c r="C184" s="41"/>
      <c r="D184" s="41">
        <v>3.125E-2</v>
      </c>
      <c r="E184" s="42"/>
      <c r="F184" s="33" t="str">
        <f t="shared" si="19"/>
        <v>--</v>
      </c>
      <c r="G184" s="88" t="b">
        <f t="shared" si="25"/>
        <v>0</v>
      </c>
      <c r="H184" s="33" t="b">
        <f t="shared" si="20"/>
        <v>0</v>
      </c>
      <c r="I184" s="33" t="b">
        <f t="shared" si="21"/>
        <v>0</v>
      </c>
      <c r="J184" s="33" t="b">
        <f t="shared" si="22"/>
        <v>0</v>
      </c>
      <c r="K184" s="33">
        <f t="shared" si="26"/>
        <v>0.33333333333333331</v>
      </c>
      <c r="L184" s="43"/>
      <c r="M184" s="43"/>
      <c r="N184" s="44"/>
      <c r="O184" s="44"/>
      <c r="P184" s="44"/>
      <c r="Q184" s="44"/>
      <c r="R184" s="36" t="str">
        <f t="shared" si="23"/>
        <v>--</v>
      </c>
      <c r="S184" s="45"/>
      <c r="T184" s="48"/>
      <c r="U184" s="45"/>
      <c r="V184" s="45"/>
      <c r="W184" s="45"/>
      <c r="X184" s="45"/>
      <c r="Y184" s="45"/>
      <c r="Z184" s="77"/>
    </row>
    <row r="185" spans="1:26" ht="16.5" hidden="1" thickTop="1" x14ac:dyDescent="0.25">
      <c r="A185" s="37">
        <v>42549</v>
      </c>
      <c r="B185" s="84">
        <f t="shared" si="24"/>
        <v>26</v>
      </c>
      <c r="C185" s="41"/>
      <c r="D185" s="41">
        <v>3.125E-2</v>
      </c>
      <c r="E185" s="42"/>
      <c r="F185" s="33" t="str">
        <f t="shared" si="19"/>
        <v>--</v>
      </c>
      <c r="G185" s="88" t="b">
        <f t="shared" si="25"/>
        <v>0</v>
      </c>
      <c r="H185" s="33" t="b">
        <f t="shared" si="20"/>
        <v>0</v>
      </c>
      <c r="I185" s="33" t="b">
        <f t="shared" si="21"/>
        <v>0</v>
      </c>
      <c r="J185" s="33" t="b">
        <f t="shared" si="22"/>
        <v>0</v>
      </c>
      <c r="K185" s="33">
        <f t="shared" si="26"/>
        <v>0.33333333333333331</v>
      </c>
      <c r="L185" s="43"/>
      <c r="M185" s="43"/>
      <c r="N185" s="44"/>
      <c r="O185" s="44"/>
      <c r="P185" s="44"/>
      <c r="Q185" s="44"/>
      <c r="R185" s="36" t="str">
        <f t="shared" si="23"/>
        <v>--</v>
      </c>
      <c r="S185" s="45"/>
      <c r="T185" s="48"/>
      <c r="U185" s="45"/>
      <c r="V185" s="45"/>
      <c r="W185" s="45"/>
      <c r="X185" s="45"/>
      <c r="Y185" s="45"/>
      <c r="Z185" s="77"/>
    </row>
    <row r="186" spans="1:26" ht="16.5" hidden="1" thickTop="1" x14ac:dyDescent="0.25">
      <c r="A186" s="37">
        <v>42550</v>
      </c>
      <c r="B186" s="84">
        <f t="shared" si="24"/>
        <v>26</v>
      </c>
      <c r="C186" s="41"/>
      <c r="D186" s="41">
        <v>3.125E-2</v>
      </c>
      <c r="E186" s="42"/>
      <c r="F186" s="33" t="str">
        <f t="shared" si="19"/>
        <v>--</v>
      </c>
      <c r="G186" s="88" t="b">
        <f t="shared" si="25"/>
        <v>0</v>
      </c>
      <c r="H186" s="33" t="b">
        <f t="shared" si="20"/>
        <v>0</v>
      </c>
      <c r="I186" s="33" t="b">
        <f t="shared" si="21"/>
        <v>0</v>
      </c>
      <c r="J186" s="33" t="b">
        <f t="shared" si="22"/>
        <v>0</v>
      </c>
      <c r="K186" s="33">
        <f t="shared" si="26"/>
        <v>0.33333333333333331</v>
      </c>
      <c r="L186" s="43"/>
      <c r="M186" s="43"/>
      <c r="N186" s="44"/>
      <c r="O186" s="44"/>
      <c r="P186" s="44"/>
      <c r="Q186" s="44"/>
      <c r="R186" s="36" t="str">
        <f t="shared" si="23"/>
        <v>--</v>
      </c>
      <c r="S186" s="45"/>
      <c r="T186" s="48"/>
      <c r="U186" s="45"/>
      <c r="V186" s="45"/>
      <c r="W186" s="45"/>
      <c r="X186" s="45"/>
      <c r="Y186" s="45"/>
      <c r="Z186" s="77"/>
    </row>
    <row r="187" spans="1:26" ht="16.5" hidden="1" thickTop="1" x14ac:dyDescent="0.25">
      <c r="A187" s="37">
        <v>42551</v>
      </c>
      <c r="B187" s="84">
        <f t="shared" si="24"/>
        <v>26</v>
      </c>
      <c r="C187" s="41"/>
      <c r="D187" s="41">
        <v>3.125E-2</v>
      </c>
      <c r="E187" s="42"/>
      <c r="F187" s="33" t="str">
        <f t="shared" si="19"/>
        <v>--</v>
      </c>
      <c r="G187" s="88" t="b">
        <f t="shared" si="25"/>
        <v>0</v>
      </c>
      <c r="H187" s="33" t="b">
        <f t="shared" si="20"/>
        <v>0</v>
      </c>
      <c r="I187" s="33" t="b">
        <f t="shared" si="21"/>
        <v>0</v>
      </c>
      <c r="J187" s="33" t="b">
        <f t="shared" si="22"/>
        <v>0</v>
      </c>
      <c r="K187" s="33">
        <f t="shared" si="26"/>
        <v>0.33333333333333331</v>
      </c>
      <c r="L187" s="43"/>
      <c r="M187" s="43"/>
      <c r="N187" s="44"/>
      <c r="O187" s="44"/>
      <c r="P187" s="44"/>
      <c r="Q187" s="44"/>
      <c r="R187" s="36" t="str">
        <f t="shared" si="23"/>
        <v>--</v>
      </c>
      <c r="S187" s="45"/>
      <c r="T187" s="48"/>
      <c r="U187" s="45"/>
      <c r="V187" s="45"/>
      <c r="W187" s="45"/>
      <c r="X187" s="45"/>
      <c r="Y187" s="45"/>
      <c r="Z187" s="77"/>
    </row>
    <row r="188" spans="1:26" ht="16.5" thickTop="1" x14ac:dyDescent="0.25">
      <c r="A188" s="37">
        <v>42552</v>
      </c>
      <c r="B188" s="84">
        <f t="shared" si="24"/>
        <v>26</v>
      </c>
      <c r="C188" s="41"/>
      <c r="D188" s="41">
        <v>3.125E-2</v>
      </c>
      <c r="E188" s="42"/>
      <c r="F188" s="33" t="str">
        <f t="shared" si="19"/>
        <v>--</v>
      </c>
      <c r="G188" s="88" t="b">
        <f t="shared" si="25"/>
        <v>0</v>
      </c>
      <c r="H188" s="33" t="b">
        <f t="shared" si="20"/>
        <v>0</v>
      </c>
      <c r="I188" s="33" t="b">
        <f t="shared" si="21"/>
        <v>0</v>
      </c>
      <c r="J188" s="33" t="b">
        <f t="shared" si="22"/>
        <v>0</v>
      </c>
      <c r="K188" s="33">
        <f t="shared" si="26"/>
        <v>0.33333333333333331</v>
      </c>
      <c r="L188" s="43"/>
      <c r="M188" s="43"/>
      <c r="N188" s="44"/>
      <c r="O188" s="44"/>
      <c r="P188" s="44"/>
      <c r="Q188" s="44"/>
      <c r="R188" s="36" t="str">
        <f t="shared" si="23"/>
        <v>--</v>
      </c>
      <c r="S188" s="45"/>
      <c r="T188" s="48"/>
      <c r="U188" s="45"/>
      <c r="V188" s="45"/>
      <c r="W188" s="45"/>
      <c r="X188" s="45"/>
      <c r="Y188" s="45"/>
      <c r="Z188" s="77"/>
    </row>
    <row r="189" spans="1:26" ht="15.75" x14ac:dyDescent="0.25">
      <c r="A189" s="37">
        <v>42553</v>
      </c>
      <c r="B189" s="84">
        <f t="shared" si="24"/>
        <v>26</v>
      </c>
      <c r="C189" s="41"/>
      <c r="D189" s="41"/>
      <c r="E189" s="42"/>
      <c r="F189" s="33" t="str">
        <f t="shared" si="19"/>
        <v>--</v>
      </c>
      <c r="G189" s="88" t="b">
        <f t="shared" si="25"/>
        <v>1</v>
      </c>
      <c r="H189" s="33" t="b">
        <f t="shared" si="20"/>
        <v>0</v>
      </c>
      <c r="I189" s="33" t="b">
        <f t="shared" si="21"/>
        <v>0</v>
      </c>
      <c r="J189" s="33" t="b">
        <f t="shared" si="22"/>
        <v>0</v>
      </c>
      <c r="K189" s="33">
        <f t="shared" si="26"/>
        <v>0</v>
      </c>
      <c r="L189" s="43"/>
      <c r="M189" s="43"/>
      <c r="N189" s="44"/>
      <c r="O189" s="44"/>
      <c r="P189" s="44"/>
      <c r="Q189" s="44"/>
      <c r="R189" s="36" t="str">
        <f t="shared" si="23"/>
        <v>--</v>
      </c>
      <c r="S189" s="45"/>
      <c r="T189" s="48"/>
      <c r="U189" s="45"/>
      <c r="V189" s="45"/>
      <c r="W189" s="45"/>
      <c r="X189" s="45"/>
      <c r="Y189" s="45"/>
      <c r="Z189" s="77"/>
    </row>
    <row r="190" spans="1:26" ht="15.75" x14ac:dyDescent="0.25">
      <c r="A190" s="37">
        <v>42554</v>
      </c>
      <c r="B190" s="84">
        <f t="shared" si="24"/>
        <v>26</v>
      </c>
      <c r="C190" s="41"/>
      <c r="D190" s="41"/>
      <c r="E190" s="42"/>
      <c r="F190" s="33" t="str">
        <f t="shared" si="19"/>
        <v>--</v>
      </c>
      <c r="G190" s="88" t="b">
        <f t="shared" si="25"/>
        <v>1</v>
      </c>
      <c r="H190" s="33" t="b">
        <f t="shared" si="20"/>
        <v>0</v>
      </c>
      <c r="I190" s="33" t="b">
        <f t="shared" si="21"/>
        <v>0</v>
      </c>
      <c r="J190" s="33" t="b">
        <f t="shared" si="22"/>
        <v>0</v>
      </c>
      <c r="K190" s="33">
        <f t="shared" si="26"/>
        <v>0</v>
      </c>
      <c r="L190" s="43"/>
      <c r="M190" s="43"/>
      <c r="N190" s="44"/>
      <c r="O190" s="44"/>
      <c r="P190" s="44"/>
      <c r="Q190" s="44"/>
      <c r="R190" s="36" t="str">
        <f t="shared" si="23"/>
        <v>--</v>
      </c>
      <c r="S190" s="45"/>
      <c r="T190" s="48"/>
      <c r="U190" s="45"/>
      <c r="V190" s="45"/>
      <c r="W190" s="45"/>
      <c r="X190" s="45"/>
      <c r="Y190" s="45"/>
      <c r="Z190" s="77"/>
    </row>
    <row r="191" spans="1:26" ht="15.75" x14ac:dyDescent="0.25">
      <c r="A191" s="37">
        <v>42555</v>
      </c>
      <c r="B191" s="84">
        <f t="shared" si="24"/>
        <v>27</v>
      </c>
      <c r="C191" s="41"/>
      <c r="D191" s="41">
        <v>3.125E-2</v>
      </c>
      <c r="E191" s="42"/>
      <c r="F191" s="33" t="str">
        <f t="shared" si="19"/>
        <v>--</v>
      </c>
      <c r="G191" s="88" t="b">
        <f t="shared" si="25"/>
        <v>0</v>
      </c>
      <c r="H191" s="33" t="b">
        <f t="shared" si="20"/>
        <v>0</v>
      </c>
      <c r="I191" s="33" t="b">
        <f t="shared" si="21"/>
        <v>0</v>
      </c>
      <c r="J191" s="33" t="b">
        <f t="shared" si="22"/>
        <v>0</v>
      </c>
      <c r="K191" s="33">
        <f t="shared" si="26"/>
        <v>0.33333333333333331</v>
      </c>
      <c r="L191" s="43"/>
      <c r="M191" s="43"/>
      <c r="N191" s="44"/>
      <c r="O191" s="44"/>
      <c r="P191" s="44"/>
      <c r="Q191" s="44"/>
      <c r="R191" s="36" t="str">
        <f t="shared" si="23"/>
        <v>--</v>
      </c>
      <c r="S191" s="45"/>
      <c r="T191" s="48"/>
      <c r="U191" s="45"/>
      <c r="V191" s="45"/>
      <c r="W191" s="45"/>
      <c r="X191" s="45"/>
      <c r="Y191" s="45"/>
      <c r="Z191" s="77"/>
    </row>
    <row r="192" spans="1:26" ht="15.75" x14ac:dyDescent="0.25">
      <c r="A192" s="37">
        <v>42556</v>
      </c>
      <c r="B192" s="84">
        <f t="shared" si="24"/>
        <v>27</v>
      </c>
      <c r="C192" s="41"/>
      <c r="D192" s="41">
        <v>3.125E-2</v>
      </c>
      <c r="E192" s="42"/>
      <c r="F192" s="33" t="str">
        <f t="shared" si="19"/>
        <v>--</v>
      </c>
      <c r="G192" s="88" t="b">
        <f t="shared" si="25"/>
        <v>0</v>
      </c>
      <c r="H192" s="33" t="b">
        <f t="shared" si="20"/>
        <v>0</v>
      </c>
      <c r="I192" s="33" t="b">
        <f t="shared" si="21"/>
        <v>0</v>
      </c>
      <c r="J192" s="33" t="b">
        <f t="shared" si="22"/>
        <v>0</v>
      </c>
      <c r="K192" s="33">
        <f t="shared" si="26"/>
        <v>0.33333333333333331</v>
      </c>
      <c r="L192" s="43"/>
      <c r="M192" s="43"/>
      <c r="N192" s="44"/>
      <c r="O192" s="44"/>
      <c r="P192" s="44"/>
      <c r="Q192" s="44"/>
      <c r="R192" s="36" t="str">
        <f t="shared" si="23"/>
        <v>--</v>
      </c>
      <c r="S192" s="45"/>
      <c r="T192" s="48"/>
      <c r="U192" s="45"/>
      <c r="V192" s="45"/>
      <c r="W192" s="45"/>
      <c r="X192" s="45"/>
      <c r="Y192" s="45"/>
      <c r="Z192" s="77"/>
    </row>
    <row r="193" spans="1:26" ht="15.75" x14ac:dyDescent="0.25">
      <c r="A193" s="37">
        <v>42557</v>
      </c>
      <c r="B193" s="84">
        <f t="shared" si="24"/>
        <v>27</v>
      </c>
      <c r="C193" s="41"/>
      <c r="D193" s="41">
        <v>3.125E-2</v>
      </c>
      <c r="E193" s="42"/>
      <c r="F193" s="33" t="str">
        <f t="shared" si="19"/>
        <v>--</v>
      </c>
      <c r="G193" s="88" t="b">
        <f t="shared" si="25"/>
        <v>0</v>
      </c>
      <c r="H193" s="33" t="b">
        <f t="shared" si="20"/>
        <v>0</v>
      </c>
      <c r="I193" s="33" t="b">
        <f t="shared" si="21"/>
        <v>0</v>
      </c>
      <c r="J193" s="33" t="b">
        <f t="shared" si="22"/>
        <v>0</v>
      </c>
      <c r="K193" s="33">
        <f t="shared" si="26"/>
        <v>0.33333333333333331</v>
      </c>
      <c r="L193" s="43"/>
      <c r="M193" s="43"/>
      <c r="N193" s="44"/>
      <c r="O193" s="44"/>
      <c r="P193" s="44"/>
      <c r="Q193" s="44"/>
      <c r="R193" s="36" t="str">
        <f t="shared" si="23"/>
        <v>--</v>
      </c>
      <c r="S193" s="45"/>
      <c r="T193" s="48"/>
      <c r="U193" s="45"/>
      <c r="V193" s="45"/>
      <c r="W193" s="45"/>
      <c r="X193" s="45"/>
      <c r="Y193" s="45"/>
      <c r="Z193" s="77"/>
    </row>
    <row r="194" spans="1:26" ht="15.75" x14ac:dyDescent="0.25">
      <c r="A194" s="37">
        <v>42558</v>
      </c>
      <c r="B194" s="84">
        <f t="shared" si="24"/>
        <v>27</v>
      </c>
      <c r="C194" s="41"/>
      <c r="D194" s="41">
        <v>3.125E-2</v>
      </c>
      <c r="E194" s="42"/>
      <c r="F194" s="33" t="str">
        <f t="shared" si="19"/>
        <v>--</v>
      </c>
      <c r="G194" s="88" t="b">
        <f t="shared" si="25"/>
        <v>0</v>
      </c>
      <c r="H194" s="33" t="b">
        <f t="shared" si="20"/>
        <v>0</v>
      </c>
      <c r="I194" s="33" t="b">
        <f t="shared" si="21"/>
        <v>0</v>
      </c>
      <c r="J194" s="33" t="b">
        <f t="shared" si="22"/>
        <v>0</v>
      </c>
      <c r="K194" s="33">
        <f t="shared" si="26"/>
        <v>0.33333333333333331</v>
      </c>
      <c r="L194" s="43"/>
      <c r="M194" s="43"/>
      <c r="N194" s="44"/>
      <c r="O194" s="44"/>
      <c r="P194" s="44"/>
      <c r="Q194" s="44"/>
      <c r="R194" s="36" t="str">
        <f t="shared" si="23"/>
        <v>--</v>
      </c>
      <c r="S194" s="45"/>
      <c r="T194" s="48"/>
      <c r="U194" s="45"/>
      <c r="V194" s="45"/>
      <c r="W194" s="45"/>
      <c r="X194" s="45"/>
      <c r="Y194" s="45"/>
      <c r="Z194" s="77"/>
    </row>
    <row r="195" spans="1:26" ht="15.75" x14ac:dyDescent="0.25">
      <c r="A195" s="37">
        <v>42559</v>
      </c>
      <c r="B195" s="84">
        <f t="shared" si="24"/>
        <v>27</v>
      </c>
      <c r="C195" s="41"/>
      <c r="D195" s="41">
        <v>3.125E-2</v>
      </c>
      <c r="E195" s="42"/>
      <c r="F195" s="33" t="str">
        <f t="shared" si="19"/>
        <v>--</v>
      </c>
      <c r="G195" s="88" t="b">
        <f t="shared" si="25"/>
        <v>0</v>
      </c>
      <c r="H195" s="33" t="b">
        <f t="shared" si="20"/>
        <v>0</v>
      </c>
      <c r="I195" s="33" t="b">
        <f t="shared" si="21"/>
        <v>0</v>
      </c>
      <c r="J195" s="33" t="b">
        <f t="shared" si="22"/>
        <v>0</v>
      </c>
      <c r="K195" s="33">
        <f t="shared" si="26"/>
        <v>0.33333333333333331</v>
      </c>
      <c r="L195" s="43"/>
      <c r="M195" s="43"/>
      <c r="N195" s="44"/>
      <c r="O195" s="44"/>
      <c r="P195" s="44"/>
      <c r="Q195" s="44"/>
      <c r="R195" s="36" t="str">
        <f t="shared" si="23"/>
        <v>--</v>
      </c>
      <c r="S195" s="45"/>
      <c r="T195" s="48"/>
      <c r="U195" s="45"/>
      <c r="V195" s="45"/>
      <c r="W195" s="45"/>
      <c r="X195" s="45"/>
      <c r="Y195" s="45"/>
      <c r="Z195" s="77"/>
    </row>
    <row r="196" spans="1:26" ht="15.75" x14ac:dyDescent="0.25">
      <c r="A196" s="37">
        <v>42560</v>
      </c>
      <c r="B196" s="84">
        <f t="shared" si="24"/>
        <v>27</v>
      </c>
      <c r="C196" s="41"/>
      <c r="D196" s="41"/>
      <c r="E196" s="42"/>
      <c r="F196" s="33" t="str">
        <f t="shared" si="19"/>
        <v>--</v>
      </c>
      <c r="G196" s="88" t="b">
        <f t="shared" si="25"/>
        <v>1</v>
      </c>
      <c r="H196" s="33" t="b">
        <f t="shared" si="20"/>
        <v>0</v>
      </c>
      <c r="I196" s="33" t="b">
        <f t="shared" si="21"/>
        <v>0</v>
      </c>
      <c r="J196" s="33" t="b">
        <f t="shared" si="22"/>
        <v>0</v>
      </c>
      <c r="K196" s="33">
        <f t="shared" si="26"/>
        <v>0</v>
      </c>
      <c r="L196" s="43"/>
      <c r="M196" s="43"/>
      <c r="N196" s="44"/>
      <c r="O196" s="44"/>
      <c r="P196" s="44"/>
      <c r="Q196" s="44"/>
      <c r="R196" s="36" t="str">
        <f t="shared" si="23"/>
        <v>--</v>
      </c>
      <c r="S196" s="45"/>
      <c r="T196" s="48"/>
      <c r="U196" s="45"/>
      <c r="V196" s="45"/>
      <c r="W196" s="45"/>
      <c r="X196" s="45"/>
      <c r="Y196" s="45"/>
      <c r="Z196" s="77"/>
    </row>
    <row r="197" spans="1:26" ht="15.75" x14ac:dyDescent="0.25">
      <c r="A197" s="37">
        <v>42561</v>
      </c>
      <c r="B197" s="84">
        <f t="shared" si="24"/>
        <v>27</v>
      </c>
      <c r="C197" s="41"/>
      <c r="D197" s="41"/>
      <c r="E197" s="42"/>
      <c r="F197" s="33" t="str">
        <f t="shared" si="19"/>
        <v>--</v>
      </c>
      <c r="G197" s="88" t="b">
        <f t="shared" si="25"/>
        <v>1</v>
      </c>
      <c r="H197" s="33" t="b">
        <f t="shared" si="20"/>
        <v>0</v>
      </c>
      <c r="I197" s="33" t="b">
        <f t="shared" si="21"/>
        <v>0</v>
      </c>
      <c r="J197" s="33" t="b">
        <f t="shared" si="22"/>
        <v>0</v>
      </c>
      <c r="K197" s="33">
        <f t="shared" si="26"/>
        <v>0</v>
      </c>
      <c r="L197" s="43"/>
      <c r="M197" s="43"/>
      <c r="N197" s="44"/>
      <c r="O197" s="44"/>
      <c r="P197" s="44"/>
      <c r="Q197" s="44"/>
      <c r="R197" s="36" t="str">
        <f t="shared" si="23"/>
        <v>--</v>
      </c>
      <c r="S197" s="45"/>
      <c r="T197" s="48"/>
      <c r="U197" s="45"/>
      <c r="V197" s="45"/>
      <c r="W197" s="45"/>
      <c r="X197" s="45"/>
      <c r="Y197" s="45"/>
      <c r="Z197" s="77"/>
    </row>
    <row r="198" spans="1:26" ht="15.75" x14ac:dyDescent="0.25">
      <c r="A198" s="37">
        <v>42562</v>
      </c>
      <c r="B198" s="84">
        <f t="shared" si="24"/>
        <v>28</v>
      </c>
      <c r="C198" s="41"/>
      <c r="D198" s="41">
        <v>3.125E-2</v>
      </c>
      <c r="E198" s="42"/>
      <c r="F198" s="33" t="str">
        <f t="shared" ref="F198:F261" si="27">IF(E198-C198&lt;=0,"--",E198-D198-C198)</f>
        <v>--</v>
      </c>
      <c r="G198" s="88" t="b">
        <f t="shared" si="25"/>
        <v>0</v>
      </c>
      <c r="H198" s="33" t="b">
        <f t="shared" ref="H198:H261" si="28">ISNUMBER(MATCH($A198,rSemester,0))</f>
        <v>0</v>
      </c>
      <c r="I198" s="33" t="b">
        <f t="shared" ref="I198:I261" si="29">ISNUMBER(MATCH($A198,rATK,0))</f>
        <v>0</v>
      </c>
      <c r="J198" s="33" t="b">
        <f t="shared" ref="J198:J261" si="30">ISNUMBER(MATCH($A198,rHelger,0))</f>
        <v>0</v>
      </c>
      <c r="K198" s="33">
        <f t="shared" si="26"/>
        <v>0.33333333333333331</v>
      </c>
      <c r="L198" s="43"/>
      <c r="M198" s="43"/>
      <c r="N198" s="44"/>
      <c r="O198" s="44"/>
      <c r="P198" s="44"/>
      <c r="Q198" s="44"/>
      <c r="R198" s="36" t="str">
        <f t="shared" ref="R198:R261" si="31">IF(F198="--","--",IF(F198&lt;=0,"--",60*((F198-K198)*24-L198+S198+T198*8+U198+V198+Y198+W198+X198)))</f>
        <v>--</v>
      </c>
      <c r="S198" s="45"/>
      <c r="T198" s="48"/>
      <c r="U198" s="45"/>
      <c r="V198" s="45"/>
      <c r="W198" s="45"/>
      <c r="X198" s="45"/>
      <c r="Y198" s="45"/>
      <c r="Z198" s="77"/>
    </row>
    <row r="199" spans="1:26" ht="15.75" x14ac:dyDescent="0.25">
      <c r="A199" s="37">
        <v>42563</v>
      </c>
      <c r="B199" s="84">
        <f t="shared" ref="B199:B262" si="32">IsoWeekNumber(A199)</f>
        <v>28</v>
      </c>
      <c r="C199" s="41"/>
      <c r="D199" s="41">
        <v>3.125E-2</v>
      </c>
      <c r="E199" s="42"/>
      <c r="F199" s="33" t="str">
        <f t="shared" si="27"/>
        <v>--</v>
      </c>
      <c r="G199" s="88" t="b">
        <f t="shared" ref="G199:G262" si="33">IF(WEEKDAY(A199,2)&gt;5,TRUE)</f>
        <v>0</v>
      </c>
      <c r="H199" s="33" t="b">
        <f t="shared" si="28"/>
        <v>0</v>
      </c>
      <c r="I199" s="33" t="b">
        <f t="shared" si="29"/>
        <v>0</v>
      </c>
      <c r="J199" s="33" t="b">
        <f t="shared" si="30"/>
        <v>0</v>
      </c>
      <c r="K199" s="33">
        <f t="shared" ref="K199:K211" si="34">IF(OR(G199,H199,I199,J199),0,8/24)</f>
        <v>0.33333333333333331</v>
      </c>
      <c r="L199" s="43"/>
      <c r="M199" s="43"/>
      <c r="N199" s="44"/>
      <c r="O199" s="44"/>
      <c r="P199" s="44"/>
      <c r="Q199" s="44"/>
      <c r="R199" s="36" t="str">
        <f t="shared" si="31"/>
        <v>--</v>
      </c>
      <c r="S199" s="45"/>
      <c r="T199" s="48"/>
      <c r="U199" s="45"/>
      <c r="V199" s="45"/>
      <c r="W199" s="45"/>
      <c r="X199" s="45"/>
      <c r="Y199" s="45"/>
      <c r="Z199" s="77"/>
    </row>
    <row r="200" spans="1:26" ht="15.75" x14ac:dyDescent="0.25">
      <c r="A200" s="37">
        <v>42564</v>
      </c>
      <c r="B200" s="84">
        <f t="shared" si="32"/>
        <v>28</v>
      </c>
      <c r="C200" s="41"/>
      <c r="D200" s="41">
        <v>3.125E-2</v>
      </c>
      <c r="E200" s="42"/>
      <c r="F200" s="33" t="str">
        <f t="shared" si="27"/>
        <v>--</v>
      </c>
      <c r="G200" s="88" t="b">
        <f t="shared" si="33"/>
        <v>0</v>
      </c>
      <c r="H200" s="33" t="b">
        <f t="shared" si="28"/>
        <v>0</v>
      </c>
      <c r="I200" s="33" t="b">
        <f t="shared" si="29"/>
        <v>0</v>
      </c>
      <c r="J200" s="33" t="b">
        <f t="shared" si="30"/>
        <v>0</v>
      </c>
      <c r="K200" s="33">
        <f t="shared" si="34"/>
        <v>0.33333333333333331</v>
      </c>
      <c r="L200" s="43"/>
      <c r="M200" s="43"/>
      <c r="N200" s="44"/>
      <c r="O200" s="44"/>
      <c r="P200" s="44"/>
      <c r="Q200" s="44"/>
      <c r="R200" s="36" t="str">
        <f t="shared" si="31"/>
        <v>--</v>
      </c>
      <c r="S200" s="45"/>
      <c r="T200" s="48"/>
      <c r="U200" s="45"/>
      <c r="V200" s="45"/>
      <c r="W200" s="45"/>
      <c r="X200" s="45"/>
      <c r="Y200" s="45"/>
      <c r="Z200" s="77"/>
    </row>
    <row r="201" spans="1:26" ht="15.75" x14ac:dyDescent="0.25">
      <c r="A201" s="37">
        <v>42565</v>
      </c>
      <c r="B201" s="84">
        <f t="shared" si="32"/>
        <v>28</v>
      </c>
      <c r="C201" s="41"/>
      <c r="D201" s="41">
        <v>3.125E-2</v>
      </c>
      <c r="E201" s="42"/>
      <c r="F201" s="33" t="str">
        <f t="shared" si="27"/>
        <v>--</v>
      </c>
      <c r="G201" s="88" t="b">
        <f t="shared" si="33"/>
        <v>0</v>
      </c>
      <c r="H201" s="33" t="b">
        <f t="shared" si="28"/>
        <v>0</v>
      </c>
      <c r="I201" s="33" t="b">
        <f t="shared" si="29"/>
        <v>0</v>
      </c>
      <c r="J201" s="33" t="b">
        <f t="shared" si="30"/>
        <v>0</v>
      </c>
      <c r="K201" s="33">
        <f t="shared" si="34"/>
        <v>0.33333333333333331</v>
      </c>
      <c r="L201" s="43"/>
      <c r="M201" s="43"/>
      <c r="N201" s="44"/>
      <c r="O201" s="44"/>
      <c r="P201" s="44"/>
      <c r="Q201" s="44"/>
      <c r="R201" s="36" t="str">
        <f t="shared" si="31"/>
        <v>--</v>
      </c>
      <c r="S201" s="45"/>
      <c r="T201" s="48"/>
      <c r="U201" s="45"/>
      <c r="V201" s="45"/>
      <c r="W201" s="45"/>
      <c r="X201" s="45"/>
      <c r="Y201" s="45"/>
      <c r="Z201" s="77"/>
    </row>
    <row r="202" spans="1:26" ht="15.75" x14ac:dyDescent="0.25">
      <c r="A202" s="37">
        <v>42566</v>
      </c>
      <c r="B202" s="84">
        <f t="shared" si="32"/>
        <v>28</v>
      </c>
      <c r="C202" s="41"/>
      <c r="D202" s="41">
        <v>3.125E-2</v>
      </c>
      <c r="E202" s="42"/>
      <c r="F202" s="33" t="str">
        <f t="shared" si="27"/>
        <v>--</v>
      </c>
      <c r="G202" s="88" t="b">
        <f t="shared" si="33"/>
        <v>0</v>
      </c>
      <c r="H202" s="33" t="b">
        <f t="shared" si="28"/>
        <v>0</v>
      </c>
      <c r="I202" s="33" t="b">
        <f t="shared" si="29"/>
        <v>0</v>
      </c>
      <c r="J202" s="33" t="b">
        <f t="shared" si="30"/>
        <v>0</v>
      </c>
      <c r="K202" s="33">
        <f t="shared" si="34"/>
        <v>0.33333333333333331</v>
      </c>
      <c r="L202" s="43"/>
      <c r="M202" s="43"/>
      <c r="N202" s="44"/>
      <c r="O202" s="44"/>
      <c r="P202" s="44"/>
      <c r="Q202" s="44"/>
      <c r="R202" s="36" t="str">
        <f t="shared" si="31"/>
        <v>--</v>
      </c>
      <c r="S202" s="45"/>
      <c r="T202" s="48"/>
      <c r="U202" s="45"/>
      <c r="V202" s="45"/>
      <c r="W202" s="45"/>
      <c r="X202" s="45"/>
      <c r="Y202" s="45"/>
      <c r="Z202" s="77"/>
    </row>
    <row r="203" spans="1:26" ht="15.75" x14ac:dyDescent="0.25">
      <c r="A203" s="37">
        <v>42567</v>
      </c>
      <c r="B203" s="84">
        <f t="shared" si="32"/>
        <v>28</v>
      </c>
      <c r="C203" s="41"/>
      <c r="D203" s="41"/>
      <c r="E203" s="42"/>
      <c r="F203" s="33" t="str">
        <f t="shared" si="27"/>
        <v>--</v>
      </c>
      <c r="G203" s="88" t="b">
        <f t="shared" si="33"/>
        <v>1</v>
      </c>
      <c r="H203" s="33" t="b">
        <f t="shared" si="28"/>
        <v>0</v>
      </c>
      <c r="I203" s="33" t="b">
        <f t="shared" si="29"/>
        <v>0</v>
      </c>
      <c r="J203" s="33" t="b">
        <f t="shared" si="30"/>
        <v>0</v>
      </c>
      <c r="K203" s="33">
        <f t="shared" si="34"/>
        <v>0</v>
      </c>
      <c r="L203" s="43"/>
      <c r="M203" s="43"/>
      <c r="N203" s="44"/>
      <c r="O203" s="44"/>
      <c r="P203" s="44"/>
      <c r="Q203" s="44"/>
      <c r="R203" s="36" t="str">
        <f t="shared" si="31"/>
        <v>--</v>
      </c>
      <c r="S203" s="45"/>
      <c r="T203" s="48"/>
      <c r="U203" s="45"/>
      <c r="V203" s="45"/>
      <c r="W203" s="45"/>
      <c r="X203" s="45"/>
      <c r="Y203" s="45"/>
      <c r="Z203" s="77"/>
    </row>
    <row r="204" spans="1:26" ht="15.75" x14ac:dyDescent="0.25">
      <c r="A204" s="37">
        <v>42568</v>
      </c>
      <c r="B204" s="84">
        <f t="shared" si="32"/>
        <v>28</v>
      </c>
      <c r="C204" s="41"/>
      <c r="D204" s="41"/>
      <c r="E204" s="42"/>
      <c r="F204" s="33" t="str">
        <f t="shared" si="27"/>
        <v>--</v>
      </c>
      <c r="G204" s="88" t="b">
        <f t="shared" si="33"/>
        <v>1</v>
      </c>
      <c r="H204" s="33" t="b">
        <f t="shared" si="28"/>
        <v>0</v>
      </c>
      <c r="I204" s="33" t="b">
        <f t="shared" si="29"/>
        <v>0</v>
      </c>
      <c r="J204" s="33" t="b">
        <f t="shared" si="30"/>
        <v>0</v>
      </c>
      <c r="K204" s="33">
        <f t="shared" si="34"/>
        <v>0</v>
      </c>
      <c r="L204" s="43"/>
      <c r="M204" s="43"/>
      <c r="N204" s="44"/>
      <c r="O204" s="44"/>
      <c r="P204" s="44"/>
      <c r="Q204" s="44"/>
      <c r="R204" s="36" t="str">
        <f t="shared" si="31"/>
        <v>--</v>
      </c>
      <c r="S204" s="45"/>
      <c r="T204" s="48"/>
      <c r="U204" s="45"/>
      <c r="V204" s="45"/>
      <c r="W204" s="45"/>
      <c r="X204" s="45"/>
      <c r="Y204" s="45"/>
      <c r="Z204" s="77"/>
    </row>
    <row r="205" spans="1:26" ht="15.75" x14ac:dyDescent="0.25">
      <c r="A205" s="37">
        <v>42569</v>
      </c>
      <c r="B205" s="84">
        <f t="shared" si="32"/>
        <v>29</v>
      </c>
      <c r="C205" s="41"/>
      <c r="D205" s="41">
        <v>3.125E-2</v>
      </c>
      <c r="E205" s="42"/>
      <c r="F205" s="33" t="str">
        <f t="shared" si="27"/>
        <v>--</v>
      </c>
      <c r="G205" s="88" t="b">
        <f t="shared" si="33"/>
        <v>0</v>
      </c>
      <c r="H205" s="33" t="b">
        <f t="shared" si="28"/>
        <v>0</v>
      </c>
      <c r="I205" s="33" t="b">
        <f t="shared" si="29"/>
        <v>0</v>
      </c>
      <c r="J205" s="33" t="b">
        <f t="shared" si="30"/>
        <v>0</v>
      </c>
      <c r="K205" s="33">
        <f t="shared" si="34"/>
        <v>0.33333333333333331</v>
      </c>
      <c r="L205" s="43"/>
      <c r="M205" s="43"/>
      <c r="N205" s="44"/>
      <c r="O205" s="44"/>
      <c r="P205" s="44"/>
      <c r="Q205" s="44"/>
      <c r="R205" s="36" t="str">
        <f t="shared" si="31"/>
        <v>--</v>
      </c>
      <c r="S205" s="45"/>
      <c r="T205" s="48"/>
      <c r="U205" s="45"/>
      <c r="V205" s="45"/>
      <c r="W205" s="45"/>
      <c r="X205" s="45"/>
      <c r="Y205" s="45"/>
      <c r="Z205" s="77"/>
    </row>
    <row r="206" spans="1:26" ht="15.75" x14ac:dyDescent="0.25">
      <c r="A206" s="37">
        <v>42570</v>
      </c>
      <c r="B206" s="84">
        <f t="shared" si="32"/>
        <v>29</v>
      </c>
      <c r="C206" s="41"/>
      <c r="D206" s="41">
        <v>3.125E-2</v>
      </c>
      <c r="E206" s="42"/>
      <c r="F206" s="33" t="str">
        <f t="shared" si="27"/>
        <v>--</v>
      </c>
      <c r="G206" s="88" t="b">
        <f t="shared" si="33"/>
        <v>0</v>
      </c>
      <c r="H206" s="33" t="b">
        <f t="shared" si="28"/>
        <v>0</v>
      </c>
      <c r="I206" s="33" t="b">
        <f t="shared" si="29"/>
        <v>0</v>
      </c>
      <c r="J206" s="33" t="b">
        <f t="shared" si="30"/>
        <v>0</v>
      </c>
      <c r="K206" s="33">
        <f t="shared" si="34"/>
        <v>0.33333333333333331</v>
      </c>
      <c r="L206" s="43"/>
      <c r="M206" s="43"/>
      <c r="N206" s="44"/>
      <c r="O206" s="44"/>
      <c r="P206" s="44"/>
      <c r="Q206" s="44"/>
      <c r="R206" s="36" t="str">
        <f t="shared" si="31"/>
        <v>--</v>
      </c>
      <c r="S206" s="45"/>
      <c r="T206" s="48"/>
      <c r="U206" s="45"/>
      <c r="V206" s="45"/>
      <c r="W206" s="45"/>
      <c r="X206" s="45"/>
      <c r="Y206" s="45"/>
      <c r="Z206" s="77"/>
    </row>
    <row r="207" spans="1:26" ht="15.75" x14ac:dyDescent="0.25">
      <c r="A207" s="37">
        <v>42571</v>
      </c>
      <c r="B207" s="84">
        <f t="shared" si="32"/>
        <v>29</v>
      </c>
      <c r="C207" s="41"/>
      <c r="D207" s="41">
        <v>3.125E-2</v>
      </c>
      <c r="E207" s="42"/>
      <c r="F207" s="33" t="str">
        <f t="shared" si="27"/>
        <v>--</v>
      </c>
      <c r="G207" s="88" t="b">
        <f t="shared" si="33"/>
        <v>0</v>
      </c>
      <c r="H207" s="33" t="b">
        <f t="shared" si="28"/>
        <v>0</v>
      </c>
      <c r="I207" s="33" t="b">
        <f t="shared" si="29"/>
        <v>0</v>
      </c>
      <c r="J207" s="33" t="b">
        <f t="shared" si="30"/>
        <v>0</v>
      </c>
      <c r="K207" s="33">
        <f t="shared" si="34"/>
        <v>0.33333333333333331</v>
      </c>
      <c r="L207" s="43"/>
      <c r="M207" s="43"/>
      <c r="N207" s="44"/>
      <c r="O207" s="44"/>
      <c r="P207" s="44"/>
      <c r="Q207" s="44"/>
      <c r="R207" s="36" t="str">
        <f t="shared" si="31"/>
        <v>--</v>
      </c>
      <c r="S207" s="45"/>
      <c r="T207" s="48"/>
      <c r="U207" s="45"/>
      <c r="V207" s="45"/>
      <c r="W207" s="45"/>
      <c r="X207" s="45"/>
      <c r="Y207" s="45"/>
      <c r="Z207" s="77"/>
    </row>
    <row r="208" spans="1:26" ht="15.75" x14ac:dyDescent="0.25">
      <c r="A208" s="37">
        <v>42572</v>
      </c>
      <c r="B208" s="84">
        <f t="shared" si="32"/>
        <v>29</v>
      </c>
      <c r="C208" s="41"/>
      <c r="D208" s="41">
        <v>3.125E-2</v>
      </c>
      <c r="E208" s="42"/>
      <c r="F208" s="33" t="str">
        <f t="shared" si="27"/>
        <v>--</v>
      </c>
      <c r="G208" s="88" t="b">
        <f t="shared" si="33"/>
        <v>0</v>
      </c>
      <c r="H208" s="33" t="b">
        <f t="shared" si="28"/>
        <v>0</v>
      </c>
      <c r="I208" s="33" t="b">
        <f t="shared" si="29"/>
        <v>0</v>
      </c>
      <c r="J208" s="33" t="b">
        <f t="shared" si="30"/>
        <v>0</v>
      </c>
      <c r="K208" s="33">
        <f t="shared" si="34"/>
        <v>0.33333333333333331</v>
      </c>
      <c r="L208" s="43"/>
      <c r="M208" s="43"/>
      <c r="N208" s="44"/>
      <c r="O208" s="44"/>
      <c r="P208" s="44"/>
      <c r="Q208" s="44"/>
      <c r="R208" s="36" t="str">
        <f t="shared" si="31"/>
        <v>--</v>
      </c>
      <c r="S208" s="45"/>
      <c r="T208" s="48"/>
      <c r="U208" s="45"/>
      <c r="V208" s="45"/>
      <c r="W208" s="45"/>
      <c r="X208" s="45"/>
      <c r="Y208" s="45"/>
      <c r="Z208" s="77"/>
    </row>
    <row r="209" spans="1:26" ht="15.75" x14ac:dyDescent="0.25">
      <c r="A209" s="37">
        <v>42573</v>
      </c>
      <c r="B209" s="84">
        <f t="shared" si="32"/>
        <v>29</v>
      </c>
      <c r="C209" s="41"/>
      <c r="D209" s="41">
        <v>3.125E-2</v>
      </c>
      <c r="E209" s="42"/>
      <c r="F209" s="33" t="str">
        <f t="shared" si="27"/>
        <v>--</v>
      </c>
      <c r="G209" s="88" t="b">
        <f t="shared" si="33"/>
        <v>0</v>
      </c>
      <c r="H209" s="33" t="b">
        <f t="shared" si="28"/>
        <v>0</v>
      </c>
      <c r="I209" s="33" t="b">
        <f t="shared" si="29"/>
        <v>0</v>
      </c>
      <c r="J209" s="33" t="b">
        <f t="shared" si="30"/>
        <v>0</v>
      </c>
      <c r="K209" s="33">
        <f t="shared" si="34"/>
        <v>0.33333333333333331</v>
      </c>
      <c r="L209" s="43"/>
      <c r="M209" s="43"/>
      <c r="N209" s="44"/>
      <c r="O209" s="44"/>
      <c r="P209" s="44"/>
      <c r="Q209" s="44"/>
      <c r="R209" s="36" t="str">
        <f t="shared" si="31"/>
        <v>--</v>
      </c>
      <c r="S209" s="45"/>
      <c r="T209" s="48"/>
      <c r="U209" s="45"/>
      <c r="V209" s="45"/>
      <c r="W209" s="45"/>
      <c r="X209" s="45"/>
      <c r="Y209" s="45"/>
      <c r="Z209" s="77"/>
    </row>
    <row r="210" spans="1:26" ht="15.75" x14ac:dyDescent="0.25">
      <c r="A210" s="37">
        <v>42574</v>
      </c>
      <c r="B210" s="84">
        <f t="shared" si="32"/>
        <v>29</v>
      </c>
      <c r="C210" s="41"/>
      <c r="D210" s="41"/>
      <c r="E210" s="42"/>
      <c r="F210" s="33" t="str">
        <f t="shared" si="27"/>
        <v>--</v>
      </c>
      <c r="G210" s="88" t="b">
        <f t="shared" si="33"/>
        <v>1</v>
      </c>
      <c r="H210" s="33" t="b">
        <f t="shared" si="28"/>
        <v>0</v>
      </c>
      <c r="I210" s="33" t="b">
        <f t="shared" si="29"/>
        <v>0</v>
      </c>
      <c r="J210" s="33" t="b">
        <f t="shared" si="30"/>
        <v>0</v>
      </c>
      <c r="K210" s="33">
        <f t="shared" si="34"/>
        <v>0</v>
      </c>
      <c r="L210" s="43"/>
      <c r="M210" s="43"/>
      <c r="N210" s="44"/>
      <c r="O210" s="44"/>
      <c r="P210" s="44"/>
      <c r="Q210" s="44"/>
      <c r="R210" s="36" t="str">
        <f t="shared" si="31"/>
        <v>--</v>
      </c>
      <c r="S210" s="45"/>
      <c r="T210" s="48"/>
      <c r="U210" s="45"/>
      <c r="V210" s="45"/>
      <c r="W210" s="45"/>
      <c r="X210" s="45"/>
      <c r="Y210" s="45"/>
      <c r="Z210" s="77"/>
    </row>
    <row r="211" spans="1:26" ht="15.75" x14ac:dyDescent="0.25">
      <c r="A211" s="37">
        <v>42575</v>
      </c>
      <c r="B211" s="84">
        <f t="shared" si="32"/>
        <v>29</v>
      </c>
      <c r="C211" s="41"/>
      <c r="D211" s="41"/>
      <c r="E211" s="42"/>
      <c r="F211" s="33" t="str">
        <f t="shared" si="27"/>
        <v>--</v>
      </c>
      <c r="G211" s="88" t="b">
        <f t="shared" si="33"/>
        <v>1</v>
      </c>
      <c r="H211" s="33" t="b">
        <f t="shared" si="28"/>
        <v>0</v>
      </c>
      <c r="I211" s="33" t="b">
        <f t="shared" si="29"/>
        <v>0</v>
      </c>
      <c r="J211" s="33" t="b">
        <f t="shared" si="30"/>
        <v>0</v>
      </c>
      <c r="K211" s="33">
        <f t="shared" si="34"/>
        <v>0</v>
      </c>
      <c r="L211" s="43"/>
      <c r="M211" s="43"/>
      <c r="N211" s="44"/>
      <c r="O211" s="44"/>
      <c r="P211" s="44"/>
      <c r="Q211" s="44"/>
      <c r="R211" s="36" t="str">
        <f t="shared" si="31"/>
        <v>--</v>
      </c>
      <c r="S211" s="45"/>
      <c r="T211" s="48"/>
      <c r="U211" s="45"/>
      <c r="V211" s="45"/>
      <c r="W211" s="45"/>
      <c r="X211" s="45"/>
      <c r="Y211" s="45"/>
      <c r="Z211" s="77"/>
    </row>
    <row r="212" spans="1:26" ht="15.75" x14ac:dyDescent="0.25">
      <c r="A212" s="37">
        <v>42576</v>
      </c>
      <c r="B212" s="84">
        <f t="shared" si="32"/>
        <v>30</v>
      </c>
      <c r="C212" s="41"/>
      <c r="D212" s="41">
        <v>3.125E-2</v>
      </c>
      <c r="E212" s="42"/>
      <c r="F212" s="33" t="str">
        <f t="shared" si="27"/>
        <v>--</v>
      </c>
      <c r="G212" s="88" t="b">
        <f t="shared" si="33"/>
        <v>0</v>
      </c>
      <c r="H212" s="33" t="b">
        <f t="shared" si="28"/>
        <v>0</v>
      </c>
      <c r="I212" s="33" t="b">
        <f t="shared" si="29"/>
        <v>0</v>
      </c>
      <c r="J212" s="33" t="b">
        <f t="shared" si="30"/>
        <v>0</v>
      </c>
      <c r="K212" s="33">
        <f>IF(OR(G212,H212,I212,J212),0,8/24)</f>
        <v>0.33333333333333331</v>
      </c>
      <c r="L212" s="43"/>
      <c r="M212" s="43"/>
      <c r="N212" s="44"/>
      <c r="O212" s="44"/>
      <c r="P212" s="44"/>
      <c r="Q212" s="44"/>
      <c r="R212" s="36" t="str">
        <f t="shared" si="31"/>
        <v>--</v>
      </c>
      <c r="S212" s="45"/>
      <c r="T212" s="48"/>
      <c r="U212" s="45"/>
      <c r="V212" s="45"/>
      <c r="W212" s="45"/>
      <c r="X212" s="45"/>
      <c r="Y212" s="45"/>
      <c r="Z212" s="77"/>
    </row>
    <row r="213" spans="1:26" ht="15.75" x14ac:dyDescent="0.25">
      <c r="A213" s="37">
        <v>42577</v>
      </c>
      <c r="B213" s="84">
        <f t="shared" si="32"/>
        <v>30</v>
      </c>
      <c r="C213" s="41"/>
      <c r="D213" s="41">
        <v>3.125E-2</v>
      </c>
      <c r="E213" s="42"/>
      <c r="F213" s="33" t="str">
        <f t="shared" si="27"/>
        <v>--</v>
      </c>
      <c r="G213" s="88" t="b">
        <f t="shared" si="33"/>
        <v>0</v>
      </c>
      <c r="H213" s="33" t="b">
        <f t="shared" si="28"/>
        <v>0</v>
      </c>
      <c r="I213" s="33" t="b">
        <f t="shared" si="29"/>
        <v>0</v>
      </c>
      <c r="J213" s="33" t="b">
        <f t="shared" si="30"/>
        <v>0</v>
      </c>
      <c r="K213" s="33">
        <f t="shared" ref="K213:K276" si="35">IF(OR(G213,H213,I213,J213),0,8/24)</f>
        <v>0.33333333333333331</v>
      </c>
      <c r="L213" s="43"/>
      <c r="M213" s="43"/>
      <c r="N213" s="44"/>
      <c r="O213" s="44"/>
      <c r="P213" s="44"/>
      <c r="Q213" s="44"/>
      <c r="R213" s="36" t="str">
        <f t="shared" si="31"/>
        <v>--</v>
      </c>
      <c r="S213" s="45"/>
      <c r="T213" s="48"/>
      <c r="U213" s="45"/>
      <c r="V213" s="45"/>
      <c r="W213" s="45"/>
      <c r="X213" s="45"/>
      <c r="Y213" s="45"/>
      <c r="Z213" s="77"/>
    </row>
    <row r="214" spans="1:26" ht="15.75" x14ac:dyDescent="0.25">
      <c r="A214" s="37">
        <v>42578</v>
      </c>
      <c r="B214" s="84">
        <f t="shared" si="32"/>
        <v>30</v>
      </c>
      <c r="C214" s="41"/>
      <c r="D214" s="41">
        <v>3.125E-2</v>
      </c>
      <c r="E214" s="42"/>
      <c r="F214" s="33" t="str">
        <f t="shared" si="27"/>
        <v>--</v>
      </c>
      <c r="G214" s="88" t="b">
        <f t="shared" si="33"/>
        <v>0</v>
      </c>
      <c r="H214" s="33" t="b">
        <f t="shared" si="28"/>
        <v>0</v>
      </c>
      <c r="I214" s="33" t="b">
        <f t="shared" si="29"/>
        <v>0</v>
      </c>
      <c r="J214" s="33" t="b">
        <f t="shared" si="30"/>
        <v>0</v>
      </c>
      <c r="K214" s="33">
        <f t="shared" si="35"/>
        <v>0.33333333333333331</v>
      </c>
      <c r="L214" s="43"/>
      <c r="M214" s="43"/>
      <c r="N214" s="44"/>
      <c r="O214" s="44"/>
      <c r="P214" s="44"/>
      <c r="Q214" s="44"/>
      <c r="R214" s="36" t="str">
        <f t="shared" si="31"/>
        <v>--</v>
      </c>
      <c r="S214" s="45"/>
      <c r="T214" s="48"/>
      <c r="U214" s="45"/>
      <c r="V214" s="45"/>
      <c r="W214" s="45"/>
      <c r="X214" s="45"/>
      <c r="Y214" s="45"/>
      <c r="Z214" s="77"/>
    </row>
    <row r="215" spans="1:26" ht="15.75" x14ac:dyDescent="0.25">
      <c r="A215" s="37">
        <v>42579</v>
      </c>
      <c r="B215" s="84">
        <f t="shared" si="32"/>
        <v>30</v>
      </c>
      <c r="C215" s="41"/>
      <c r="D215" s="41">
        <v>3.125E-2</v>
      </c>
      <c r="E215" s="42"/>
      <c r="F215" s="33" t="str">
        <f t="shared" si="27"/>
        <v>--</v>
      </c>
      <c r="G215" s="88" t="b">
        <f t="shared" si="33"/>
        <v>0</v>
      </c>
      <c r="H215" s="33" t="b">
        <f t="shared" si="28"/>
        <v>0</v>
      </c>
      <c r="I215" s="33" t="b">
        <f t="shared" si="29"/>
        <v>0</v>
      </c>
      <c r="J215" s="33" t="b">
        <f t="shared" si="30"/>
        <v>0</v>
      </c>
      <c r="K215" s="33">
        <f t="shared" si="35"/>
        <v>0.33333333333333331</v>
      </c>
      <c r="L215" s="43"/>
      <c r="M215" s="43"/>
      <c r="N215" s="44"/>
      <c r="O215" s="44"/>
      <c r="P215" s="44"/>
      <c r="Q215" s="44"/>
      <c r="R215" s="36" t="str">
        <f t="shared" si="31"/>
        <v>--</v>
      </c>
      <c r="S215" s="45"/>
      <c r="T215" s="48"/>
      <c r="U215" s="45"/>
      <c r="V215" s="45"/>
      <c r="W215" s="45"/>
      <c r="X215" s="45"/>
      <c r="Y215" s="45"/>
      <c r="Z215" s="77"/>
    </row>
    <row r="216" spans="1:26" ht="15.75" x14ac:dyDescent="0.25">
      <c r="A216" s="37">
        <v>42580</v>
      </c>
      <c r="B216" s="84">
        <f t="shared" si="32"/>
        <v>30</v>
      </c>
      <c r="C216" s="41"/>
      <c r="D216" s="41">
        <v>3.125E-2</v>
      </c>
      <c r="E216" s="42"/>
      <c r="F216" s="33" t="str">
        <f t="shared" si="27"/>
        <v>--</v>
      </c>
      <c r="G216" s="88" t="b">
        <f t="shared" si="33"/>
        <v>0</v>
      </c>
      <c r="H216" s="33" t="b">
        <f t="shared" si="28"/>
        <v>0</v>
      </c>
      <c r="I216" s="33" t="b">
        <f t="shared" si="29"/>
        <v>0</v>
      </c>
      <c r="J216" s="33" t="b">
        <f t="shared" si="30"/>
        <v>0</v>
      </c>
      <c r="K216" s="33">
        <f t="shared" si="35"/>
        <v>0.33333333333333331</v>
      </c>
      <c r="L216" s="43"/>
      <c r="M216" s="43"/>
      <c r="N216" s="44"/>
      <c r="O216" s="44"/>
      <c r="P216" s="44"/>
      <c r="Q216" s="44"/>
      <c r="R216" s="36" t="str">
        <f t="shared" si="31"/>
        <v>--</v>
      </c>
      <c r="S216" s="45"/>
      <c r="T216" s="48"/>
      <c r="U216" s="45"/>
      <c r="V216" s="45"/>
      <c r="W216" s="45"/>
      <c r="X216" s="45"/>
      <c r="Y216" s="45"/>
      <c r="Z216" s="77"/>
    </row>
    <row r="217" spans="1:26" ht="15.75" x14ac:dyDescent="0.25">
      <c r="A217" s="37">
        <v>42581</v>
      </c>
      <c r="B217" s="84">
        <f t="shared" si="32"/>
        <v>30</v>
      </c>
      <c r="C217" s="41"/>
      <c r="D217" s="41"/>
      <c r="E217" s="42"/>
      <c r="F217" s="33" t="str">
        <f t="shared" si="27"/>
        <v>--</v>
      </c>
      <c r="G217" s="88" t="b">
        <f t="shared" si="33"/>
        <v>1</v>
      </c>
      <c r="H217" s="33" t="b">
        <f t="shared" si="28"/>
        <v>0</v>
      </c>
      <c r="I217" s="33" t="b">
        <f t="shared" si="29"/>
        <v>0</v>
      </c>
      <c r="J217" s="33" t="b">
        <f t="shared" si="30"/>
        <v>0</v>
      </c>
      <c r="K217" s="33">
        <f t="shared" si="35"/>
        <v>0</v>
      </c>
      <c r="L217" s="43"/>
      <c r="M217" s="43"/>
      <c r="N217" s="44"/>
      <c r="O217" s="44"/>
      <c r="P217" s="44"/>
      <c r="Q217" s="44"/>
      <c r="R217" s="36" t="str">
        <f t="shared" si="31"/>
        <v>--</v>
      </c>
      <c r="S217" s="45"/>
      <c r="T217" s="48"/>
      <c r="U217" s="45"/>
      <c r="V217" s="45"/>
      <c r="W217" s="45"/>
      <c r="X217" s="45"/>
      <c r="Y217" s="45"/>
      <c r="Z217" s="77"/>
    </row>
    <row r="218" spans="1:26" ht="15.75" x14ac:dyDescent="0.25">
      <c r="A218" s="37">
        <v>42582</v>
      </c>
      <c r="B218" s="84">
        <f t="shared" si="32"/>
        <v>30</v>
      </c>
      <c r="C218" s="41"/>
      <c r="D218" s="41"/>
      <c r="E218" s="42"/>
      <c r="F218" s="33" t="str">
        <f t="shared" si="27"/>
        <v>--</v>
      </c>
      <c r="G218" s="88" t="b">
        <f t="shared" si="33"/>
        <v>1</v>
      </c>
      <c r="H218" s="33" t="b">
        <f t="shared" si="28"/>
        <v>0</v>
      </c>
      <c r="I218" s="33" t="b">
        <f t="shared" si="29"/>
        <v>0</v>
      </c>
      <c r="J218" s="33" t="b">
        <f t="shared" si="30"/>
        <v>0</v>
      </c>
      <c r="K218" s="33">
        <f t="shared" si="35"/>
        <v>0</v>
      </c>
      <c r="L218" s="43"/>
      <c r="M218" s="43"/>
      <c r="N218" s="44"/>
      <c r="O218" s="44"/>
      <c r="P218" s="44"/>
      <c r="Q218" s="44"/>
      <c r="R218" s="36" t="str">
        <f t="shared" si="31"/>
        <v>--</v>
      </c>
      <c r="S218" s="45"/>
      <c r="T218" s="48"/>
      <c r="U218" s="45"/>
      <c r="V218" s="45"/>
      <c r="W218" s="45"/>
      <c r="X218" s="45"/>
      <c r="Y218" s="45"/>
      <c r="Z218" s="77"/>
    </row>
    <row r="219" spans="1:26" ht="15.75" hidden="1" x14ac:dyDescent="0.25">
      <c r="A219" s="37">
        <v>42583</v>
      </c>
      <c r="B219" s="84">
        <f t="shared" si="32"/>
        <v>31</v>
      </c>
      <c r="C219" s="41"/>
      <c r="D219" s="41">
        <v>3.125E-2</v>
      </c>
      <c r="E219" s="42"/>
      <c r="F219" s="33" t="str">
        <f t="shared" si="27"/>
        <v>--</v>
      </c>
      <c r="G219" s="88" t="b">
        <f t="shared" si="33"/>
        <v>0</v>
      </c>
      <c r="H219" s="33" t="b">
        <f t="shared" si="28"/>
        <v>0</v>
      </c>
      <c r="I219" s="33" t="b">
        <f t="shared" si="29"/>
        <v>0</v>
      </c>
      <c r="J219" s="33" t="b">
        <f t="shared" si="30"/>
        <v>0</v>
      </c>
      <c r="K219" s="33">
        <f t="shared" si="35"/>
        <v>0.33333333333333331</v>
      </c>
      <c r="L219" s="43"/>
      <c r="M219" s="43"/>
      <c r="N219" s="44"/>
      <c r="O219" s="44"/>
      <c r="P219" s="44"/>
      <c r="Q219" s="44"/>
      <c r="R219" s="36" t="str">
        <f t="shared" si="31"/>
        <v>--</v>
      </c>
      <c r="S219" s="45"/>
      <c r="T219" s="48"/>
      <c r="U219" s="45"/>
      <c r="V219" s="45"/>
      <c r="W219" s="45"/>
      <c r="X219" s="45"/>
      <c r="Y219" s="45"/>
      <c r="Z219" s="77"/>
    </row>
    <row r="220" spans="1:26" ht="15.75" hidden="1" x14ac:dyDescent="0.25">
      <c r="A220" s="37">
        <v>42584</v>
      </c>
      <c r="B220" s="84">
        <f t="shared" si="32"/>
        <v>31</v>
      </c>
      <c r="C220" s="41"/>
      <c r="D220" s="41">
        <v>3.125E-2</v>
      </c>
      <c r="E220" s="42"/>
      <c r="F220" s="33" t="str">
        <f t="shared" si="27"/>
        <v>--</v>
      </c>
      <c r="G220" s="88" t="b">
        <f t="shared" si="33"/>
        <v>0</v>
      </c>
      <c r="H220" s="33" t="b">
        <f t="shared" si="28"/>
        <v>0</v>
      </c>
      <c r="I220" s="33" t="b">
        <f t="shared" si="29"/>
        <v>0</v>
      </c>
      <c r="J220" s="33" t="b">
        <f t="shared" si="30"/>
        <v>0</v>
      </c>
      <c r="K220" s="33">
        <f t="shared" si="35"/>
        <v>0.33333333333333331</v>
      </c>
      <c r="L220" s="43"/>
      <c r="M220" s="43"/>
      <c r="N220" s="44"/>
      <c r="O220" s="44"/>
      <c r="P220" s="44"/>
      <c r="Q220" s="44"/>
      <c r="R220" s="36" t="str">
        <f t="shared" si="31"/>
        <v>--</v>
      </c>
      <c r="S220" s="45"/>
      <c r="T220" s="48"/>
      <c r="U220" s="45"/>
      <c r="V220" s="45"/>
      <c r="W220" s="45"/>
      <c r="X220" s="45"/>
      <c r="Y220" s="45"/>
      <c r="Z220" s="77"/>
    </row>
    <row r="221" spans="1:26" ht="15.75" hidden="1" x14ac:dyDescent="0.25">
      <c r="A221" s="37">
        <v>42585</v>
      </c>
      <c r="B221" s="84">
        <f t="shared" si="32"/>
        <v>31</v>
      </c>
      <c r="C221" s="41"/>
      <c r="D221" s="41">
        <v>3.125E-2</v>
      </c>
      <c r="E221" s="42"/>
      <c r="F221" s="33" t="str">
        <f t="shared" si="27"/>
        <v>--</v>
      </c>
      <c r="G221" s="88" t="b">
        <f t="shared" si="33"/>
        <v>0</v>
      </c>
      <c r="H221" s="33" t="b">
        <f t="shared" si="28"/>
        <v>0</v>
      </c>
      <c r="I221" s="33" t="b">
        <f t="shared" si="29"/>
        <v>0</v>
      </c>
      <c r="J221" s="33" t="b">
        <f t="shared" si="30"/>
        <v>0</v>
      </c>
      <c r="K221" s="33">
        <f t="shared" si="35"/>
        <v>0.33333333333333331</v>
      </c>
      <c r="L221" s="43"/>
      <c r="M221" s="43"/>
      <c r="N221" s="44"/>
      <c r="O221" s="44"/>
      <c r="P221" s="44"/>
      <c r="Q221" s="44"/>
      <c r="R221" s="36" t="str">
        <f t="shared" si="31"/>
        <v>--</v>
      </c>
      <c r="S221" s="45"/>
      <c r="T221" s="48"/>
      <c r="U221" s="45"/>
      <c r="V221" s="45"/>
      <c r="W221" s="45"/>
      <c r="X221" s="45"/>
      <c r="Y221" s="45"/>
      <c r="Z221" s="77"/>
    </row>
    <row r="222" spans="1:26" ht="15.75" hidden="1" x14ac:dyDescent="0.25">
      <c r="A222" s="37">
        <v>42586</v>
      </c>
      <c r="B222" s="84">
        <f t="shared" si="32"/>
        <v>31</v>
      </c>
      <c r="C222" s="41"/>
      <c r="D222" s="41">
        <v>3.125E-2</v>
      </c>
      <c r="E222" s="42"/>
      <c r="F222" s="33" t="str">
        <f t="shared" si="27"/>
        <v>--</v>
      </c>
      <c r="G222" s="88" t="b">
        <f t="shared" si="33"/>
        <v>0</v>
      </c>
      <c r="H222" s="33" t="b">
        <f t="shared" si="28"/>
        <v>0</v>
      </c>
      <c r="I222" s="33" t="b">
        <f t="shared" si="29"/>
        <v>0</v>
      </c>
      <c r="J222" s="33" t="b">
        <f t="shared" si="30"/>
        <v>0</v>
      </c>
      <c r="K222" s="33">
        <f t="shared" si="35"/>
        <v>0.33333333333333331</v>
      </c>
      <c r="L222" s="43"/>
      <c r="M222" s="43"/>
      <c r="N222" s="44"/>
      <c r="O222" s="44"/>
      <c r="P222" s="44"/>
      <c r="Q222" s="44"/>
      <c r="R222" s="36" t="str">
        <f t="shared" si="31"/>
        <v>--</v>
      </c>
      <c r="S222" s="45"/>
      <c r="T222" s="48"/>
      <c r="U222" s="45"/>
      <c r="V222" s="45"/>
      <c r="W222" s="45"/>
      <c r="X222" s="45"/>
      <c r="Y222" s="45"/>
      <c r="Z222" s="77"/>
    </row>
    <row r="223" spans="1:26" ht="15.75" hidden="1" x14ac:dyDescent="0.25">
      <c r="A223" s="37">
        <v>42587</v>
      </c>
      <c r="B223" s="84">
        <f t="shared" si="32"/>
        <v>31</v>
      </c>
      <c r="C223" s="41"/>
      <c r="D223" s="41">
        <v>3.125E-2</v>
      </c>
      <c r="E223" s="42"/>
      <c r="F223" s="33" t="str">
        <f t="shared" si="27"/>
        <v>--</v>
      </c>
      <c r="G223" s="88" t="b">
        <f t="shared" si="33"/>
        <v>0</v>
      </c>
      <c r="H223" s="33" t="b">
        <f t="shared" si="28"/>
        <v>0</v>
      </c>
      <c r="I223" s="33" t="b">
        <f t="shared" si="29"/>
        <v>0</v>
      </c>
      <c r="J223" s="33" t="b">
        <f t="shared" si="30"/>
        <v>0</v>
      </c>
      <c r="K223" s="33">
        <f t="shared" si="35"/>
        <v>0.33333333333333331</v>
      </c>
      <c r="L223" s="43"/>
      <c r="M223" s="43"/>
      <c r="N223" s="44"/>
      <c r="O223" s="44"/>
      <c r="P223" s="44"/>
      <c r="Q223" s="44"/>
      <c r="R223" s="36" t="str">
        <f t="shared" si="31"/>
        <v>--</v>
      </c>
      <c r="S223" s="45"/>
      <c r="T223" s="48"/>
      <c r="U223" s="45"/>
      <c r="V223" s="45"/>
      <c r="W223" s="45"/>
      <c r="X223" s="45"/>
      <c r="Y223" s="45"/>
      <c r="Z223" s="77"/>
    </row>
    <row r="224" spans="1:26" ht="15.75" hidden="1" x14ac:dyDescent="0.25">
      <c r="A224" s="37">
        <v>42588</v>
      </c>
      <c r="B224" s="84">
        <f t="shared" si="32"/>
        <v>31</v>
      </c>
      <c r="C224" s="41"/>
      <c r="D224" s="41"/>
      <c r="E224" s="42"/>
      <c r="F224" s="33" t="str">
        <f t="shared" si="27"/>
        <v>--</v>
      </c>
      <c r="G224" s="88" t="b">
        <f t="shared" si="33"/>
        <v>1</v>
      </c>
      <c r="H224" s="33" t="b">
        <f t="shared" si="28"/>
        <v>0</v>
      </c>
      <c r="I224" s="33" t="b">
        <f t="shared" si="29"/>
        <v>0</v>
      </c>
      <c r="J224" s="33" t="b">
        <f t="shared" si="30"/>
        <v>0</v>
      </c>
      <c r="K224" s="33">
        <f t="shared" si="35"/>
        <v>0</v>
      </c>
      <c r="L224" s="43"/>
      <c r="M224" s="43"/>
      <c r="N224" s="44"/>
      <c r="O224" s="44"/>
      <c r="P224" s="44"/>
      <c r="Q224" s="44"/>
      <c r="R224" s="36" t="str">
        <f t="shared" si="31"/>
        <v>--</v>
      </c>
      <c r="S224" s="45"/>
      <c r="T224" s="48"/>
      <c r="U224" s="45"/>
      <c r="V224" s="45"/>
      <c r="W224" s="45"/>
      <c r="X224" s="45"/>
      <c r="Y224" s="45"/>
      <c r="Z224" s="77"/>
    </row>
    <row r="225" spans="1:26" ht="15.75" hidden="1" x14ac:dyDescent="0.25">
      <c r="A225" s="37">
        <v>42589</v>
      </c>
      <c r="B225" s="84">
        <f t="shared" si="32"/>
        <v>31</v>
      </c>
      <c r="C225" s="41"/>
      <c r="D225" s="41"/>
      <c r="E225" s="42"/>
      <c r="F225" s="33" t="str">
        <f t="shared" si="27"/>
        <v>--</v>
      </c>
      <c r="G225" s="88" t="b">
        <f t="shared" si="33"/>
        <v>1</v>
      </c>
      <c r="H225" s="33" t="b">
        <f t="shared" si="28"/>
        <v>0</v>
      </c>
      <c r="I225" s="33" t="b">
        <f t="shared" si="29"/>
        <v>0</v>
      </c>
      <c r="J225" s="33" t="b">
        <f t="shared" si="30"/>
        <v>0</v>
      </c>
      <c r="K225" s="33">
        <f t="shared" si="35"/>
        <v>0</v>
      </c>
      <c r="L225" s="43"/>
      <c r="M225" s="43"/>
      <c r="N225" s="44"/>
      <c r="O225" s="44"/>
      <c r="P225" s="44"/>
      <c r="Q225" s="44"/>
      <c r="R225" s="36" t="str">
        <f t="shared" si="31"/>
        <v>--</v>
      </c>
      <c r="S225" s="45"/>
      <c r="T225" s="48"/>
      <c r="U225" s="45"/>
      <c r="V225" s="45"/>
      <c r="W225" s="45"/>
      <c r="X225" s="45"/>
      <c r="Y225" s="45"/>
      <c r="Z225" s="77"/>
    </row>
    <row r="226" spans="1:26" ht="15.75" hidden="1" x14ac:dyDescent="0.25">
      <c r="A226" s="37">
        <v>42590</v>
      </c>
      <c r="B226" s="84">
        <f t="shared" si="32"/>
        <v>32</v>
      </c>
      <c r="C226" s="41"/>
      <c r="D226" s="41">
        <v>3.125E-2</v>
      </c>
      <c r="E226" s="42"/>
      <c r="F226" s="33" t="str">
        <f t="shared" si="27"/>
        <v>--</v>
      </c>
      <c r="G226" s="88" t="b">
        <f t="shared" si="33"/>
        <v>0</v>
      </c>
      <c r="H226" s="33" t="b">
        <f t="shared" si="28"/>
        <v>0</v>
      </c>
      <c r="I226" s="33" t="b">
        <f t="shared" si="29"/>
        <v>0</v>
      </c>
      <c r="J226" s="33" t="b">
        <f t="shared" si="30"/>
        <v>0</v>
      </c>
      <c r="K226" s="33">
        <f t="shared" si="35"/>
        <v>0.33333333333333331</v>
      </c>
      <c r="L226" s="43"/>
      <c r="M226" s="43"/>
      <c r="N226" s="44"/>
      <c r="O226" s="44"/>
      <c r="P226" s="44"/>
      <c r="Q226" s="44"/>
      <c r="R226" s="36" t="str">
        <f t="shared" si="31"/>
        <v>--</v>
      </c>
      <c r="S226" s="45"/>
      <c r="T226" s="48"/>
      <c r="U226" s="45"/>
      <c r="V226" s="45"/>
      <c r="W226" s="45"/>
      <c r="X226" s="45"/>
      <c r="Y226" s="45"/>
      <c r="Z226" s="77"/>
    </row>
    <row r="227" spans="1:26" ht="15.75" hidden="1" x14ac:dyDescent="0.25">
      <c r="A227" s="37">
        <v>42591</v>
      </c>
      <c r="B227" s="84">
        <f t="shared" si="32"/>
        <v>32</v>
      </c>
      <c r="C227" s="41"/>
      <c r="D227" s="41">
        <v>3.125E-2</v>
      </c>
      <c r="E227" s="42"/>
      <c r="F227" s="33" t="str">
        <f t="shared" si="27"/>
        <v>--</v>
      </c>
      <c r="G227" s="88" t="b">
        <f t="shared" si="33"/>
        <v>0</v>
      </c>
      <c r="H227" s="33" t="b">
        <f t="shared" si="28"/>
        <v>0</v>
      </c>
      <c r="I227" s="33" t="b">
        <f t="shared" si="29"/>
        <v>0</v>
      </c>
      <c r="J227" s="33" t="b">
        <f t="shared" si="30"/>
        <v>0</v>
      </c>
      <c r="K227" s="33">
        <f t="shared" si="35"/>
        <v>0.33333333333333331</v>
      </c>
      <c r="L227" s="43"/>
      <c r="M227" s="43"/>
      <c r="N227" s="44"/>
      <c r="O227" s="44"/>
      <c r="P227" s="44"/>
      <c r="Q227" s="44"/>
      <c r="R227" s="36" t="str">
        <f t="shared" si="31"/>
        <v>--</v>
      </c>
      <c r="S227" s="45"/>
      <c r="T227" s="48"/>
      <c r="U227" s="45"/>
      <c r="V227" s="45"/>
      <c r="W227" s="45"/>
      <c r="X227" s="45"/>
      <c r="Y227" s="45"/>
      <c r="Z227" s="77"/>
    </row>
    <row r="228" spans="1:26" ht="15.75" hidden="1" x14ac:dyDescent="0.25">
      <c r="A228" s="37">
        <v>42592</v>
      </c>
      <c r="B228" s="84">
        <f t="shared" si="32"/>
        <v>32</v>
      </c>
      <c r="C228" s="41"/>
      <c r="D228" s="41">
        <v>3.125E-2</v>
      </c>
      <c r="E228" s="42"/>
      <c r="F228" s="33" t="str">
        <f t="shared" si="27"/>
        <v>--</v>
      </c>
      <c r="G228" s="88" t="b">
        <f t="shared" si="33"/>
        <v>0</v>
      </c>
      <c r="H228" s="33" t="b">
        <f t="shared" si="28"/>
        <v>0</v>
      </c>
      <c r="I228" s="33" t="b">
        <f t="shared" si="29"/>
        <v>0</v>
      </c>
      <c r="J228" s="33" t="b">
        <f t="shared" si="30"/>
        <v>0</v>
      </c>
      <c r="K228" s="33">
        <f t="shared" si="35"/>
        <v>0.33333333333333331</v>
      </c>
      <c r="L228" s="43"/>
      <c r="M228" s="43"/>
      <c r="N228" s="44"/>
      <c r="O228" s="44"/>
      <c r="P228" s="44"/>
      <c r="Q228" s="44"/>
      <c r="R228" s="36" t="str">
        <f t="shared" si="31"/>
        <v>--</v>
      </c>
      <c r="S228" s="45"/>
      <c r="T228" s="48"/>
      <c r="U228" s="45"/>
      <c r="V228" s="45"/>
      <c r="W228" s="45"/>
      <c r="X228" s="45"/>
      <c r="Y228" s="45"/>
      <c r="Z228" s="77"/>
    </row>
    <row r="229" spans="1:26" ht="15.75" hidden="1" x14ac:dyDescent="0.25">
      <c r="A229" s="37">
        <v>42593</v>
      </c>
      <c r="B229" s="84">
        <f t="shared" si="32"/>
        <v>32</v>
      </c>
      <c r="C229" s="41"/>
      <c r="D229" s="41">
        <v>3.125E-2</v>
      </c>
      <c r="E229" s="42"/>
      <c r="F229" s="33" t="str">
        <f t="shared" si="27"/>
        <v>--</v>
      </c>
      <c r="G229" s="88" t="b">
        <f t="shared" si="33"/>
        <v>0</v>
      </c>
      <c r="H229" s="33" t="b">
        <f t="shared" si="28"/>
        <v>0</v>
      </c>
      <c r="I229" s="33" t="b">
        <f t="shared" si="29"/>
        <v>0</v>
      </c>
      <c r="J229" s="33" t="b">
        <f t="shared" si="30"/>
        <v>0</v>
      </c>
      <c r="K229" s="33">
        <f t="shared" si="35"/>
        <v>0.33333333333333331</v>
      </c>
      <c r="L229" s="43"/>
      <c r="M229" s="43"/>
      <c r="N229" s="44"/>
      <c r="O229" s="44"/>
      <c r="P229" s="44"/>
      <c r="Q229" s="44"/>
      <c r="R229" s="36" t="str">
        <f t="shared" si="31"/>
        <v>--</v>
      </c>
      <c r="S229" s="45"/>
      <c r="T229" s="48"/>
      <c r="U229" s="45"/>
      <c r="V229" s="45"/>
      <c r="W229" s="45"/>
      <c r="X229" s="45"/>
      <c r="Y229" s="45"/>
      <c r="Z229" s="77"/>
    </row>
    <row r="230" spans="1:26" ht="15.75" hidden="1" x14ac:dyDescent="0.25">
      <c r="A230" s="37">
        <v>42594</v>
      </c>
      <c r="B230" s="84">
        <f t="shared" si="32"/>
        <v>32</v>
      </c>
      <c r="C230" s="41"/>
      <c r="D230" s="41">
        <v>3.125E-2</v>
      </c>
      <c r="E230" s="42"/>
      <c r="F230" s="33" t="str">
        <f t="shared" si="27"/>
        <v>--</v>
      </c>
      <c r="G230" s="88" t="b">
        <f t="shared" si="33"/>
        <v>0</v>
      </c>
      <c r="H230" s="33" t="b">
        <f t="shared" si="28"/>
        <v>0</v>
      </c>
      <c r="I230" s="33" t="b">
        <f t="shared" si="29"/>
        <v>0</v>
      </c>
      <c r="J230" s="33" t="b">
        <f t="shared" si="30"/>
        <v>0</v>
      </c>
      <c r="K230" s="33">
        <f t="shared" si="35"/>
        <v>0.33333333333333331</v>
      </c>
      <c r="L230" s="43"/>
      <c r="M230" s="43"/>
      <c r="N230" s="44"/>
      <c r="O230" s="44"/>
      <c r="P230" s="44"/>
      <c r="Q230" s="44"/>
      <c r="R230" s="36" t="str">
        <f t="shared" si="31"/>
        <v>--</v>
      </c>
      <c r="S230" s="45"/>
      <c r="T230" s="48"/>
      <c r="U230" s="45"/>
      <c r="V230" s="45"/>
      <c r="W230" s="45"/>
      <c r="X230" s="45"/>
      <c r="Y230" s="45"/>
      <c r="Z230" s="77"/>
    </row>
    <row r="231" spans="1:26" ht="15.75" hidden="1" x14ac:dyDescent="0.25">
      <c r="A231" s="37">
        <v>42595</v>
      </c>
      <c r="B231" s="84">
        <f t="shared" si="32"/>
        <v>32</v>
      </c>
      <c r="C231" s="41"/>
      <c r="D231" s="41"/>
      <c r="E231" s="42"/>
      <c r="F231" s="33" t="str">
        <f t="shared" si="27"/>
        <v>--</v>
      </c>
      <c r="G231" s="88" t="b">
        <f t="shared" si="33"/>
        <v>1</v>
      </c>
      <c r="H231" s="33" t="b">
        <f t="shared" si="28"/>
        <v>0</v>
      </c>
      <c r="I231" s="33" t="b">
        <f t="shared" si="29"/>
        <v>0</v>
      </c>
      <c r="J231" s="33" t="b">
        <f t="shared" si="30"/>
        <v>0</v>
      </c>
      <c r="K231" s="33">
        <f t="shared" si="35"/>
        <v>0</v>
      </c>
      <c r="L231" s="43"/>
      <c r="M231" s="43"/>
      <c r="N231" s="44"/>
      <c r="O231" s="44"/>
      <c r="P231" s="44"/>
      <c r="Q231" s="44"/>
      <c r="R231" s="36" t="str">
        <f t="shared" si="31"/>
        <v>--</v>
      </c>
      <c r="S231" s="45"/>
      <c r="T231" s="48"/>
      <c r="U231" s="45"/>
      <c r="V231" s="45"/>
      <c r="W231" s="45"/>
      <c r="X231" s="45"/>
      <c r="Y231" s="45"/>
      <c r="Z231" s="77"/>
    </row>
    <row r="232" spans="1:26" ht="15.75" hidden="1" x14ac:dyDescent="0.25">
      <c r="A232" s="37">
        <v>42596</v>
      </c>
      <c r="B232" s="84">
        <f t="shared" si="32"/>
        <v>32</v>
      </c>
      <c r="C232" s="41"/>
      <c r="D232" s="41"/>
      <c r="E232" s="42"/>
      <c r="F232" s="33" t="str">
        <f t="shared" si="27"/>
        <v>--</v>
      </c>
      <c r="G232" s="88" t="b">
        <f t="shared" si="33"/>
        <v>1</v>
      </c>
      <c r="H232" s="33" t="b">
        <f t="shared" si="28"/>
        <v>0</v>
      </c>
      <c r="I232" s="33" t="b">
        <f t="shared" si="29"/>
        <v>0</v>
      </c>
      <c r="J232" s="33" t="b">
        <f t="shared" si="30"/>
        <v>0</v>
      </c>
      <c r="K232" s="33">
        <f t="shared" si="35"/>
        <v>0</v>
      </c>
      <c r="L232" s="43"/>
      <c r="M232" s="43"/>
      <c r="N232" s="44"/>
      <c r="O232" s="44"/>
      <c r="P232" s="44"/>
      <c r="Q232" s="44"/>
      <c r="R232" s="36" t="str">
        <f t="shared" si="31"/>
        <v>--</v>
      </c>
      <c r="S232" s="45"/>
      <c r="T232" s="48"/>
      <c r="U232" s="45"/>
      <c r="V232" s="45"/>
      <c r="W232" s="45"/>
      <c r="X232" s="45"/>
      <c r="Y232" s="45"/>
      <c r="Z232" s="77"/>
    </row>
    <row r="233" spans="1:26" ht="15.75" hidden="1" x14ac:dyDescent="0.25">
      <c r="A233" s="37">
        <v>42597</v>
      </c>
      <c r="B233" s="84">
        <f t="shared" si="32"/>
        <v>33</v>
      </c>
      <c r="C233" s="41"/>
      <c r="D233" s="41">
        <v>3.125E-2</v>
      </c>
      <c r="E233" s="42"/>
      <c r="F233" s="33" t="str">
        <f t="shared" si="27"/>
        <v>--</v>
      </c>
      <c r="G233" s="88" t="b">
        <f t="shared" si="33"/>
        <v>0</v>
      </c>
      <c r="H233" s="33" t="b">
        <f t="shared" si="28"/>
        <v>0</v>
      </c>
      <c r="I233" s="33" t="b">
        <f t="shared" si="29"/>
        <v>0</v>
      </c>
      <c r="J233" s="33" t="b">
        <f t="shared" si="30"/>
        <v>0</v>
      </c>
      <c r="K233" s="33">
        <f t="shared" si="35"/>
        <v>0.33333333333333331</v>
      </c>
      <c r="L233" s="43"/>
      <c r="M233" s="43"/>
      <c r="N233" s="44"/>
      <c r="O233" s="44"/>
      <c r="P233" s="44"/>
      <c r="Q233" s="44"/>
      <c r="R233" s="36" t="str">
        <f t="shared" si="31"/>
        <v>--</v>
      </c>
      <c r="S233" s="45"/>
      <c r="T233" s="48"/>
      <c r="U233" s="45"/>
      <c r="V233" s="45"/>
      <c r="W233" s="45"/>
      <c r="X233" s="45"/>
      <c r="Y233" s="45"/>
      <c r="Z233" s="77"/>
    </row>
    <row r="234" spans="1:26" ht="15.75" hidden="1" x14ac:dyDescent="0.25">
      <c r="A234" s="37">
        <v>42598</v>
      </c>
      <c r="B234" s="84">
        <f t="shared" si="32"/>
        <v>33</v>
      </c>
      <c r="C234" s="41"/>
      <c r="D234" s="41">
        <v>3.125E-2</v>
      </c>
      <c r="E234" s="42"/>
      <c r="F234" s="33" t="str">
        <f t="shared" si="27"/>
        <v>--</v>
      </c>
      <c r="G234" s="88" t="b">
        <f t="shared" si="33"/>
        <v>0</v>
      </c>
      <c r="H234" s="33" t="b">
        <f t="shared" si="28"/>
        <v>0</v>
      </c>
      <c r="I234" s="33" t="b">
        <f t="shared" si="29"/>
        <v>0</v>
      </c>
      <c r="J234" s="33" t="b">
        <f t="shared" si="30"/>
        <v>0</v>
      </c>
      <c r="K234" s="33">
        <f t="shared" si="35"/>
        <v>0.33333333333333331</v>
      </c>
      <c r="L234" s="43"/>
      <c r="M234" s="43"/>
      <c r="N234" s="44"/>
      <c r="O234" s="44"/>
      <c r="P234" s="44"/>
      <c r="Q234" s="44"/>
      <c r="R234" s="36" t="str">
        <f t="shared" si="31"/>
        <v>--</v>
      </c>
      <c r="S234" s="45"/>
      <c r="T234" s="48"/>
      <c r="U234" s="45"/>
      <c r="V234" s="45"/>
      <c r="W234" s="45"/>
      <c r="X234" s="45"/>
      <c r="Y234" s="45"/>
      <c r="Z234" s="77"/>
    </row>
    <row r="235" spans="1:26" ht="15.75" hidden="1" x14ac:dyDescent="0.25">
      <c r="A235" s="37">
        <v>42599</v>
      </c>
      <c r="B235" s="84">
        <f t="shared" si="32"/>
        <v>33</v>
      </c>
      <c r="C235" s="41"/>
      <c r="D235" s="41">
        <v>3.125E-2</v>
      </c>
      <c r="E235" s="42"/>
      <c r="F235" s="33" t="str">
        <f t="shared" si="27"/>
        <v>--</v>
      </c>
      <c r="G235" s="88" t="b">
        <f t="shared" si="33"/>
        <v>0</v>
      </c>
      <c r="H235" s="33" t="b">
        <f t="shared" si="28"/>
        <v>0</v>
      </c>
      <c r="I235" s="33" t="b">
        <f t="shared" si="29"/>
        <v>0</v>
      </c>
      <c r="J235" s="33" t="b">
        <f t="shared" si="30"/>
        <v>0</v>
      </c>
      <c r="K235" s="33">
        <f t="shared" si="35"/>
        <v>0.33333333333333331</v>
      </c>
      <c r="L235" s="43"/>
      <c r="M235" s="43"/>
      <c r="N235" s="44"/>
      <c r="O235" s="44"/>
      <c r="P235" s="44"/>
      <c r="Q235" s="44"/>
      <c r="R235" s="36" t="str">
        <f t="shared" si="31"/>
        <v>--</v>
      </c>
      <c r="S235" s="45"/>
      <c r="T235" s="48"/>
      <c r="U235" s="45"/>
      <c r="V235" s="45"/>
      <c r="W235" s="45"/>
      <c r="X235" s="45"/>
      <c r="Y235" s="45"/>
      <c r="Z235" s="77"/>
    </row>
    <row r="236" spans="1:26" ht="15.75" hidden="1" x14ac:dyDescent="0.25">
      <c r="A236" s="37">
        <v>42600</v>
      </c>
      <c r="B236" s="84">
        <f t="shared" si="32"/>
        <v>33</v>
      </c>
      <c r="C236" s="41"/>
      <c r="D236" s="41">
        <v>3.125E-2</v>
      </c>
      <c r="E236" s="42"/>
      <c r="F236" s="33" t="str">
        <f t="shared" si="27"/>
        <v>--</v>
      </c>
      <c r="G236" s="88" t="b">
        <f t="shared" si="33"/>
        <v>0</v>
      </c>
      <c r="H236" s="33" t="b">
        <f t="shared" si="28"/>
        <v>0</v>
      </c>
      <c r="I236" s="33" t="b">
        <f t="shared" si="29"/>
        <v>0</v>
      </c>
      <c r="J236" s="33" t="b">
        <f t="shared" si="30"/>
        <v>0</v>
      </c>
      <c r="K236" s="33">
        <f t="shared" si="35"/>
        <v>0.33333333333333331</v>
      </c>
      <c r="L236" s="43"/>
      <c r="M236" s="43"/>
      <c r="N236" s="44"/>
      <c r="O236" s="44"/>
      <c r="P236" s="44"/>
      <c r="Q236" s="44"/>
      <c r="R236" s="36" t="str">
        <f t="shared" si="31"/>
        <v>--</v>
      </c>
      <c r="S236" s="45"/>
      <c r="T236" s="48"/>
      <c r="U236" s="45"/>
      <c r="V236" s="45"/>
      <c r="W236" s="45"/>
      <c r="X236" s="45"/>
      <c r="Y236" s="45"/>
      <c r="Z236" s="77"/>
    </row>
    <row r="237" spans="1:26" ht="15.75" hidden="1" x14ac:dyDescent="0.25">
      <c r="A237" s="37">
        <v>42601</v>
      </c>
      <c r="B237" s="84">
        <f t="shared" si="32"/>
        <v>33</v>
      </c>
      <c r="C237" s="41"/>
      <c r="D237" s="41">
        <v>3.125E-2</v>
      </c>
      <c r="E237" s="42"/>
      <c r="F237" s="33" t="str">
        <f t="shared" si="27"/>
        <v>--</v>
      </c>
      <c r="G237" s="88" t="b">
        <f t="shared" si="33"/>
        <v>0</v>
      </c>
      <c r="H237" s="33" t="b">
        <f t="shared" si="28"/>
        <v>0</v>
      </c>
      <c r="I237" s="33" t="b">
        <f t="shared" si="29"/>
        <v>0</v>
      </c>
      <c r="J237" s="33" t="b">
        <f t="shared" si="30"/>
        <v>0</v>
      </c>
      <c r="K237" s="33">
        <f t="shared" si="35"/>
        <v>0.33333333333333331</v>
      </c>
      <c r="L237" s="43"/>
      <c r="M237" s="43"/>
      <c r="N237" s="44"/>
      <c r="O237" s="44"/>
      <c r="P237" s="44"/>
      <c r="Q237" s="44"/>
      <c r="R237" s="36" t="str">
        <f t="shared" si="31"/>
        <v>--</v>
      </c>
      <c r="S237" s="45"/>
      <c r="T237" s="48"/>
      <c r="U237" s="45"/>
      <c r="V237" s="45"/>
      <c r="W237" s="45"/>
      <c r="X237" s="45"/>
      <c r="Y237" s="45"/>
      <c r="Z237" s="77"/>
    </row>
    <row r="238" spans="1:26" ht="15.75" hidden="1" x14ac:dyDescent="0.25">
      <c r="A238" s="37">
        <v>42602</v>
      </c>
      <c r="B238" s="84">
        <f t="shared" si="32"/>
        <v>33</v>
      </c>
      <c r="C238" s="41"/>
      <c r="D238" s="41"/>
      <c r="E238" s="42"/>
      <c r="F238" s="33" t="str">
        <f t="shared" si="27"/>
        <v>--</v>
      </c>
      <c r="G238" s="88" t="b">
        <f t="shared" si="33"/>
        <v>1</v>
      </c>
      <c r="H238" s="33" t="b">
        <f t="shared" si="28"/>
        <v>0</v>
      </c>
      <c r="I238" s="33" t="b">
        <f t="shared" si="29"/>
        <v>0</v>
      </c>
      <c r="J238" s="33" t="b">
        <f t="shared" si="30"/>
        <v>0</v>
      </c>
      <c r="K238" s="33">
        <f t="shared" si="35"/>
        <v>0</v>
      </c>
      <c r="L238" s="43"/>
      <c r="M238" s="43"/>
      <c r="N238" s="44"/>
      <c r="O238" s="44"/>
      <c r="P238" s="44"/>
      <c r="Q238" s="44"/>
      <c r="R238" s="36" t="str">
        <f t="shared" si="31"/>
        <v>--</v>
      </c>
      <c r="S238" s="45"/>
      <c r="T238" s="48"/>
      <c r="U238" s="45"/>
      <c r="V238" s="45"/>
      <c r="W238" s="45"/>
      <c r="X238" s="45"/>
      <c r="Y238" s="45"/>
      <c r="Z238" s="77"/>
    </row>
    <row r="239" spans="1:26" ht="15.75" hidden="1" x14ac:dyDescent="0.25">
      <c r="A239" s="37">
        <v>42603</v>
      </c>
      <c r="B239" s="84">
        <f t="shared" si="32"/>
        <v>33</v>
      </c>
      <c r="C239" s="41"/>
      <c r="D239" s="41"/>
      <c r="E239" s="42"/>
      <c r="F239" s="33" t="str">
        <f t="shared" si="27"/>
        <v>--</v>
      </c>
      <c r="G239" s="88" t="b">
        <f t="shared" si="33"/>
        <v>1</v>
      </c>
      <c r="H239" s="33" t="b">
        <f t="shared" si="28"/>
        <v>0</v>
      </c>
      <c r="I239" s="33" t="b">
        <f t="shared" si="29"/>
        <v>0</v>
      </c>
      <c r="J239" s="33" t="b">
        <f t="shared" si="30"/>
        <v>0</v>
      </c>
      <c r="K239" s="33">
        <f t="shared" si="35"/>
        <v>0</v>
      </c>
      <c r="L239" s="43"/>
      <c r="M239" s="43"/>
      <c r="N239" s="44"/>
      <c r="O239" s="44"/>
      <c r="P239" s="44"/>
      <c r="Q239" s="44"/>
      <c r="R239" s="36" t="str">
        <f t="shared" si="31"/>
        <v>--</v>
      </c>
      <c r="S239" s="45"/>
      <c r="T239" s="48"/>
      <c r="U239" s="45"/>
      <c r="V239" s="45"/>
      <c r="W239" s="45"/>
      <c r="X239" s="45"/>
      <c r="Y239" s="45"/>
      <c r="Z239" s="77"/>
    </row>
    <row r="240" spans="1:26" ht="15.75" hidden="1" x14ac:dyDescent="0.25">
      <c r="A240" s="37">
        <v>42604</v>
      </c>
      <c r="B240" s="84">
        <f t="shared" si="32"/>
        <v>34</v>
      </c>
      <c r="C240" s="41"/>
      <c r="D240" s="41">
        <v>3.125E-2</v>
      </c>
      <c r="E240" s="42"/>
      <c r="F240" s="33" t="str">
        <f t="shared" si="27"/>
        <v>--</v>
      </c>
      <c r="G240" s="88" t="b">
        <f t="shared" si="33"/>
        <v>0</v>
      </c>
      <c r="H240" s="33" t="b">
        <f t="shared" si="28"/>
        <v>0</v>
      </c>
      <c r="I240" s="33" t="b">
        <f t="shared" si="29"/>
        <v>0</v>
      </c>
      <c r="J240" s="33" t="b">
        <f t="shared" si="30"/>
        <v>0</v>
      </c>
      <c r="K240" s="33">
        <f t="shared" si="35"/>
        <v>0.33333333333333331</v>
      </c>
      <c r="L240" s="43"/>
      <c r="M240" s="43"/>
      <c r="N240" s="44"/>
      <c r="O240" s="44"/>
      <c r="P240" s="44"/>
      <c r="Q240" s="44"/>
      <c r="R240" s="36" t="str">
        <f t="shared" si="31"/>
        <v>--</v>
      </c>
      <c r="S240" s="45"/>
      <c r="T240" s="48"/>
      <c r="U240" s="45"/>
      <c r="V240" s="45"/>
      <c r="W240" s="45"/>
      <c r="X240" s="45"/>
      <c r="Y240" s="45"/>
      <c r="Z240" s="77"/>
    </row>
    <row r="241" spans="1:26" ht="15.75" hidden="1" x14ac:dyDescent="0.25">
      <c r="A241" s="37">
        <v>42605</v>
      </c>
      <c r="B241" s="84">
        <f t="shared" si="32"/>
        <v>34</v>
      </c>
      <c r="C241" s="41"/>
      <c r="D241" s="41">
        <v>3.125E-2</v>
      </c>
      <c r="E241" s="42"/>
      <c r="F241" s="33" t="str">
        <f t="shared" si="27"/>
        <v>--</v>
      </c>
      <c r="G241" s="88" t="b">
        <f t="shared" si="33"/>
        <v>0</v>
      </c>
      <c r="H241" s="33" t="b">
        <f t="shared" si="28"/>
        <v>0</v>
      </c>
      <c r="I241" s="33" t="b">
        <f t="shared" si="29"/>
        <v>0</v>
      </c>
      <c r="J241" s="33" t="b">
        <f t="shared" si="30"/>
        <v>0</v>
      </c>
      <c r="K241" s="33">
        <f t="shared" si="35"/>
        <v>0.33333333333333331</v>
      </c>
      <c r="L241" s="43"/>
      <c r="M241" s="43"/>
      <c r="N241" s="44"/>
      <c r="O241" s="44"/>
      <c r="P241" s="44"/>
      <c r="Q241" s="44"/>
      <c r="R241" s="36" t="str">
        <f t="shared" si="31"/>
        <v>--</v>
      </c>
      <c r="S241" s="45"/>
      <c r="T241" s="48"/>
      <c r="U241" s="45"/>
      <c r="V241" s="45"/>
      <c r="W241" s="45"/>
      <c r="X241" s="45"/>
      <c r="Y241" s="45"/>
      <c r="Z241" s="77"/>
    </row>
    <row r="242" spans="1:26" ht="15.75" hidden="1" x14ac:dyDescent="0.25">
      <c r="A242" s="37">
        <v>42606</v>
      </c>
      <c r="B242" s="84">
        <f t="shared" si="32"/>
        <v>34</v>
      </c>
      <c r="C242" s="41"/>
      <c r="D242" s="41">
        <v>3.125E-2</v>
      </c>
      <c r="E242" s="42"/>
      <c r="F242" s="33" t="str">
        <f t="shared" si="27"/>
        <v>--</v>
      </c>
      <c r="G242" s="88" t="b">
        <f t="shared" si="33"/>
        <v>0</v>
      </c>
      <c r="H242" s="33" t="b">
        <f t="shared" si="28"/>
        <v>0</v>
      </c>
      <c r="I242" s="33" t="b">
        <f t="shared" si="29"/>
        <v>0</v>
      </c>
      <c r="J242" s="33" t="b">
        <f t="shared" si="30"/>
        <v>0</v>
      </c>
      <c r="K242" s="33">
        <f t="shared" si="35"/>
        <v>0.33333333333333331</v>
      </c>
      <c r="L242" s="43"/>
      <c r="M242" s="43"/>
      <c r="N242" s="44"/>
      <c r="O242" s="44"/>
      <c r="P242" s="44"/>
      <c r="Q242" s="44"/>
      <c r="R242" s="36" t="str">
        <f t="shared" si="31"/>
        <v>--</v>
      </c>
      <c r="S242" s="45"/>
      <c r="T242" s="48"/>
      <c r="U242" s="45"/>
      <c r="V242" s="45"/>
      <c r="W242" s="45"/>
      <c r="X242" s="45"/>
      <c r="Y242" s="45"/>
      <c r="Z242" s="77"/>
    </row>
    <row r="243" spans="1:26" ht="15.75" hidden="1" x14ac:dyDescent="0.25">
      <c r="A243" s="37">
        <v>42607</v>
      </c>
      <c r="B243" s="84">
        <f t="shared" si="32"/>
        <v>34</v>
      </c>
      <c r="C243" s="41"/>
      <c r="D243" s="41">
        <v>3.125E-2</v>
      </c>
      <c r="E243" s="42"/>
      <c r="F243" s="33" t="str">
        <f t="shared" si="27"/>
        <v>--</v>
      </c>
      <c r="G243" s="88" t="b">
        <f t="shared" si="33"/>
        <v>0</v>
      </c>
      <c r="H243" s="33" t="b">
        <f t="shared" si="28"/>
        <v>0</v>
      </c>
      <c r="I243" s="33" t="b">
        <f t="shared" si="29"/>
        <v>0</v>
      </c>
      <c r="J243" s="33" t="b">
        <f t="shared" si="30"/>
        <v>0</v>
      </c>
      <c r="K243" s="33">
        <f t="shared" si="35"/>
        <v>0.33333333333333331</v>
      </c>
      <c r="L243" s="43"/>
      <c r="M243" s="43"/>
      <c r="N243" s="44"/>
      <c r="O243" s="44"/>
      <c r="P243" s="44"/>
      <c r="Q243" s="44"/>
      <c r="R243" s="36" t="str">
        <f t="shared" si="31"/>
        <v>--</v>
      </c>
      <c r="S243" s="45"/>
      <c r="T243" s="48"/>
      <c r="U243" s="45"/>
      <c r="V243" s="45"/>
      <c r="W243" s="45"/>
      <c r="X243" s="45"/>
      <c r="Y243" s="45"/>
      <c r="Z243" s="77"/>
    </row>
    <row r="244" spans="1:26" ht="15.75" hidden="1" x14ac:dyDescent="0.25">
      <c r="A244" s="37">
        <v>42608</v>
      </c>
      <c r="B244" s="84">
        <f t="shared" si="32"/>
        <v>34</v>
      </c>
      <c r="C244" s="41"/>
      <c r="D244" s="41">
        <v>3.125E-2</v>
      </c>
      <c r="E244" s="42"/>
      <c r="F244" s="33" t="str">
        <f t="shared" si="27"/>
        <v>--</v>
      </c>
      <c r="G244" s="88" t="b">
        <f t="shared" si="33"/>
        <v>0</v>
      </c>
      <c r="H244" s="33" t="b">
        <f t="shared" si="28"/>
        <v>0</v>
      </c>
      <c r="I244" s="33" t="b">
        <f t="shared" si="29"/>
        <v>0</v>
      </c>
      <c r="J244" s="33" t="b">
        <f t="shared" si="30"/>
        <v>0</v>
      </c>
      <c r="K244" s="33">
        <f t="shared" si="35"/>
        <v>0.33333333333333331</v>
      </c>
      <c r="L244" s="43"/>
      <c r="M244" s="43"/>
      <c r="N244" s="44"/>
      <c r="O244" s="44"/>
      <c r="P244" s="44"/>
      <c r="Q244" s="44"/>
      <c r="R244" s="36" t="str">
        <f t="shared" si="31"/>
        <v>--</v>
      </c>
      <c r="S244" s="45"/>
      <c r="T244" s="48"/>
      <c r="U244" s="45"/>
      <c r="V244" s="45"/>
      <c r="W244" s="45"/>
      <c r="X244" s="45"/>
      <c r="Y244" s="45"/>
      <c r="Z244" s="77"/>
    </row>
    <row r="245" spans="1:26" ht="15.75" hidden="1" x14ac:dyDescent="0.25">
      <c r="A245" s="37">
        <v>42609</v>
      </c>
      <c r="B245" s="84">
        <f t="shared" si="32"/>
        <v>34</v>
      </c>
      <c r="C245" s="41"/>
      <c r="D245" s="41"/>
      <c r="E245" s="42"/>
      <c r="F245" s="33" t="str">
        <f t="shared" si="27"/>
        <v>--</v>
      </c>
      <c r="G245" s="88" t="b">
        <f t="shared" si="33"/>
        <v>1</v>
      </c>
      <c r="H245" s="33" t="b">
        <f t="shared" si="28"/>
        <v>0</v>
      </c>
      <c r="I245" s="33" t="b">
        <f t="shared" si="29"/>
        <v>0</v>
      </c>
      <c r="J245" s="33" t="b">
        <f t="shared" si="30"/>
        <v>0</v>
      </c>
      <c r="K245" s="33">
        <f t="shared" si="35"/>
        <v>0</v>
      </c>
      <c r="L245" s="43"/>
      <c r="M245" s="43"/>
      <c r="N245" s="44"/>
      <c r="O245" s="44"/>
      <c r="P245" s="44"/>
      <c r="Q245" s="44"/>
      <c r="R245" s="36" t="str">
        <f t="shared" si="31"/>
        <v>--</v>
      </c>
      <c r="S245" s="45"/>
      <c r="T245" s="48"/>
      <c r="U245" s="45"/>
      <c r="V245" s="45"/>
      <c r="W245" s="45"/>
      <c r="X245" s="45"/>
      <c r="Y245" s="45"/>
      <c r="Z245" s="77"/>
    </row>
    <row r="246" spans="1:26" ht="15.75" hidden="1" x14ac:dyDescent="0.25">
      <c r="A246" s="37">
        <v>42610</v>
      </c>
      <c r="B246" s="84">
        <f t="shared" si="32"/>
        <v>34</v>
      </c>
      <c r="C246" s="41"/>
      <c r="D246" s="41"/>
      <c r="E246" s="42"/>
      <c r="F246" s="33" t="str">
        <f t="shared" si="27"/>
        <v>--</v>
      </c>
      <c r="G246" s="88" t="b">
        <f t="shared" si="33"/>
        <v>1</v>
      </c>
      <c r="H246" s="33" t="b">
        <f t="shared" si="28"/>
        <v>0</v>
      </c>
      <c r="I246" s="33" t="b">
        <f t="shared" si="29"/>
        <v>0</v>
      </c>
      <c r="J246" s="33" t="b">
        <f t="shared" si="30"/>
        <v>0</v>
      </c>
      <c r="K246" s="33">
        <f t="shared" si="35"/>
        <v>0</v>
      </c>
      <c r="L246" s="43"/>
      <c r="M246" s="43"/>
      <c r="N246" s="44"/>
      <c r="O246" s="44"/>
      <c r="P246" s="44"/>
      <c r="Q246" s="44"/>
      <c r="R246" s="36" t="str">
        <f t="shared" si="31"/>
        <v>--</v>
      </c>
      <c r="S246" s="45"/>
      <c r="T246" s="48"/>
      <c r="U246" s="45"/>
      <c r="V246" s="45"/>
      <c r="W246" s="45"/>
      <c r="X246" s="45"/>
      <c r="Y246" s="45"/>
      <c r="Z246" s="77"/>
    </row>
    <row r="247" spans="1:26" ht="15.75" hidden="1" x14ac:dyDescent="0.25">
      <c r="A247" s="37">
        <v>42611</v>
      </c>
      <c r="B247" s="84">
        <f t="shared" si="32"/>
        <v>35</v>
      </c>
      <c r="C247" s="41"/>
      <c r="D247" s="41">
        <v>3.125E-2</v>
      </c>
      <c r="E247" s="42"/>
      <c r="F247" s="33" t="str">
        <f t="shared" si="27"/>
        <v>--</v>
      </c>
      <c r="G247" s="88" t="b">
        <f t="shared" si="33"/>
        <v>0</v>
      </c>
      <c r="H247" s="33" t="b">
        <f t="shared" si="28"/>
        <v>0</v>
      </c>
      <c r="I247" s="33" t="b">
        <f t="shared" si="29"/>
        <v>0</v>
      </c>
      <c r="J247" s="33" t="b">
        <f t="shared" si="30"/>
        <v>0</v>
      </c>
      <c r="K247" s="33">
        <f t="shared" si="35"/>
        <v>0.33333333333333331</v>
      </c>
      <c r="L247" s="43"/>
      <c r="M247" s="43"/>
      <c r="N247" s="44"/>
      <c r="O247" s="44"/>
      <c r="P247" s="44"/>
      <c r="Q247" s="44"/>
      <c r="R247" s="36" t="str">
        <f t="shared" si="31"/>
        <v>--</v>
      </c>
      <c r="S247" s="45"/>
      <c r="T247" s="48"/>
      <c r="U247" s="45"/>
      <c r="V247" s="45"/>
      <c r="W247" s="45"/>
      <c r="X247" s="45"/>
      <c r="Y247" s="45"/>
      <c r="Z247" s="77"/>
    </row>
    <row r="248" spans="1:26" ht="15.75" hidden="1" x14ac:dyDescent="0.25">
      <c r="A248" s="37">
        <v>42612</v>
      </c>
      <c r="B248" s="84">
        <f t="shared" si="32"/>
        <v>35</v>
      </c>
      <c r="C248" s="41"/>
      <c r="D248" s="41">
        <v>3.125E-2</v>
      </c>
      <c r="E248" s="42"/>
      <c r="F248" s="33" t="str">
        <f t="shared" si="27"/>
        <v>--</v>
      </c>
      <c r="G248" s="88" t="b">
        <f t="shared" si="33"/>
        <v>0</v>
      </c>
      <c r="H248" s="33" t="b">
        <f t="shared" si="28"/>
        <v>0</v>
      </c>
      <c r="I248" s="33" t="b">
        <f t="shared" si="29"/>
        <v>0</v>
      </c>
      <c r="J248" s="33" t="b">
        <f t="shared" si="30"/>
        <v>0</v>
      </c>
      <c r="K248" s="33">
        <f t="shared" si="35"/>
        <v>0.33333333333333331</v>
      </c>
      <c r="L248" s="43"/>
      <c r="M248" s="43"/>
      <c r="N248" s="44"/>
      <c r="O248" s="44"/>
      <c r="P248" s="44"/>
      <c r="Q248" s="44"/>
      <c r="R248" s="36" t="str">
        <f t="shared" si="31"/>
        <v>--</v>
      </c>
      <c r="S248" s="45"/>
      <c r="T248" s="48"/>
      <c r="U248" s="45"/>
      <c r="V248" s="45"/>
      <c r="W248" s="45"/>
      <c r="X248" s="45"/>
      <c r="Y248" s="45"/>
      <c r="Z248" s="77"/>
    </row>
    <row r="249" spans="1:26" ht="15.75" hidden="1" x14ac:dyDescent="0.25">
      <c r="A249" s="37">
        <v>42613</v>
      </c>
      <c r="B249" s="84">
        <f t="shared" si="32"/>
        <v>35</v>
      </c>
      <c r="C249" s="41"/>
      <c r="D249" s="41">
        <v>3.125E-2</v>
      </c>
      <c r="E249" s="42"/>
      <c r="F249" s="33" t="str">
        <f t="shared" si="27"/>
        <v>--</v>
      </c>
      <c r="G249" s="88" t="b">
        <f t="shared" si="33"/>
        <v>0</v>
      </c>
      <c r="H249" s="33" t="b">
        <f t="shared" si="28"/>
        <v>0</v>
      </c>
      <c r="I249" s="33" t="b">
        <f t="shared" si="29"/>
        <v>0</v>
      </c>
      <c r="J249" s="33" t="b">
        <f t="shared" si="30"/>
        <v>0</v>
      </c>
      <c r="K249" s="33">
        <f t="shared" si="35"/>
        <v>0.33333333333333331</v>
      </c>
      <c r="L249" s="43"/>
      <c r="M249" s="43"/>
      <c r="N249" s="44"/>
      <c r="O249" s="44"/>
      <c r="P249" s="44"/>
      <c r="Q249" s="44"/>
      <c r="R249" s="36" t="str">
        <f t="shared" si="31"/>
        <v>--</v>
      </c>
      <c r="S249" s="45"/>
      <c r="T249" s="48"/>
      <c r="U249" s="45"/>
      <c r="V249" s="45"/>
      <c r="W249" s="45"/>
      <c r="X249" s="45"/>
      <c r="Y249" s="45"/>
      <c r="Z249" s="77"/>
    </row>
    <row r="250" spans="1:26" ht="15.75" hidden="1" x14ac:dyDescent="0.25">
      <c r="A250" s="37">
        <v>42614</v>
      </c>
      <c r="B250" s="84">
        <f t="shared" si="32"/>
        <v>35</v>
      </c>
      <c r="C250" s="41"/>
      <c r="D250" s="41">
        <v>3.125E-2</v>
      </c>
      <c r="E250" s="42"/>
      <c r="F250" s="33" t="str">
        <f t="shared" si="27"/>
        <v>--</v>
      </c>
      <c r="G250" s="88" t="b">
        <f t="shared" si="33"/>
        <v>0</v>
      </c>
      <c r="H250" s="33" t="b">
        <f t="shared" si="28"/>
        <v>0</v>
      </c>
      <c r="I250" s="33" t="b">
        <f t="shared" si="29"/>
        <v>0</v>
      </c>
      <c r="J250" s="33" t="b">
        <f t="shared" si="30"/>
        <v>0</v>
      </c>
      <c r="K250" s="33">
        <f t="shared" si="35"/>
        <v>0.33333333333333331</v>
      </c>
      <c r="L250" s="43"/>
      <c r="M250" s="43"/>
      <c r="N250" s="44"/>
      <c r="O250" s="44"/>
      <c r="P250" s="44"/>
      <c r="Q250" s="44"/>
      <c r="R250" s="36" t="str">
        <f t="shared" si="31"/>
        <v>--</v>
      </c>
      <c r="S250" s="45"/>
      <c r="T250" s="48"/>
      <c r="U250" s="45"/>
      <c r="V250" s="45"/>
      <c r="W250" s="45"/>
      <c r="X250" s="45"/>
      <c r="Y250" s="45"/>
      <c r="Z250" s="77"/>
    </row>
    <row r="251" spans="1:26" ht="15.75" hidden="1" x14ac:dyDescent="0.25">
      <c r="A251" s="37">
        <v>42615</v>
      </c>
      <c r="B251" s="84">
        <f t="shared" si="32"/>
        <v>35</v>
      </c>
      <c r="C251" s="41"/>
      <c r="D251" s="41">
        <v>3.125E-2</v>
      </c>
      <c r="E251" s="42"/>
      <c r="F251" s="33" t="str">
        <f t="shared" si="27"/>
        <v>--</v>
      </c>
      <c r="G251" s="88" t="b">
        <f t="shared" si="33"/>
        <v>0</v>
      </c>
      <c r="H251" s="33" t="b">
        <f t="shared" si="28"/>
        <v>0</v>
      </c>
      <c r="I251" s="33" t="b">
        <f t="shared" si="29"/>
        <v>0</v>
      </c>
      <c r="J251" s="33" t="b">
        <f t="shared" si="30"/>
        <v>0</v>
      </c>
      <c r="K251" s="33">
        <f t="shared" si="35"/>
        <v>0.33333333333333331</v>
      </c>
      <c r="L251" s="43"/>
      <c r="M251" s="43"/>
      <c r="N251" s="44"/>
      <c r="O251" s="44"/>
      <c r="P251" s="44"/>
      <c r="Q251" s="44"/>
      <c r="R251" s="36" t="str">
        <f t="shared" si="31"/>
        <v>--</v>
      </c>
      <c r="S251" s="45"/>
      <c r="T251" s="48"/>
      <c r="U251" s="45"/>
      <c r="V251" s="45"/>
      <c r="W251" s="45"/>
      <c r="X251" s="45"/>
      <c r="Y251" s="45"/>
      <c r="Z251" s="77"/>
    </row>
    <row r="252" spans="1:26" ht="15.75" hidden="1" x14ac:dyDescent="0.25">
      <c r="A252" s="37">
        <v>42616</v>
      </c>
      <c r="B252" s="84">
        <f t="shared" si="32"/>
        <v>35</v>
      </c>
      <c r="C252" s="41"/>
      <c r="D252" s="41"/>
      <c r="E252" s="42"/>
      <c r="F252" s="33" t="str">
        <f t="shared" si="27"/>
        <v>--</v>
      </c>
      <c r="G252" s="88" t="b">
        <f t="shared" si="33"/>
        <v>1</v>
      </c>
      <c r="H252" s="33" t="b">
        <f t="shared" si="28"/>
        <v>0</v>
      </c>
      <c r="I252" s="33" t="b">
        <f t="shared" si="29"/>
        <v>0</v>
      </c>
      <c r="J252" s="33" t="b">
        <f t="shared" si="30"/>
        <v>0</v>
      </c>
      <c r="K252" s="33">
        <f t="shared" si="35"/>
        <v>0</v>
      </c>
      <c r="L252" s="43"/>
      <c r="M252" s="43"/>
      <c r="N252" s="44"/>
      <c r="O252" s="44"/>
      <c r="P252" s="44"/>
      <c r="Q252" s="44"/>
      <c r="R252" s="36" t="str">
        <f t="shared" si="31"/>
        <v>--</v>
      </c>
      <c r="S252" s="45"/>
      <c r="T252" s="48"/>
      <c r="U252" s="45"/>
      <c r="V252" s="45"/>
      <c r="W252" s="45"/>
      <c r="X252" s="45"/>
      <c r="Y252" s="45"/>
      <c r="Z252" s="77"/>
    </row>
    <row r="253" spans="1:26" ht="15.75" hidden="1" x14ac:dyDescent="0.25">
      <c r="A253" s="37">
        <v>42617</v>
      </c>
      <c r="B253" s="84">
        <f t="shared" si="32"/>
        <v>35</v>
      </c>
      <c r="C253" s="41"/>
      <c r="D253" s="41"/>
      <c r="E253" s="42"/>
      <c r="F253" s="33" t="str">
        <f t="shared" si="27"/>
        <v>--</v>
      </c>
      <c r="G253" s="88" t="b">
        <f t="shared" si="33"/>
        <v>1</v>
      </c>
      <c r="H253" s="33" t="b">
        <f t="shared" si="28"/>
        <v>0</v>
      </c>
      <c r="I253" s="33" t="b">
        <f t="shared" si="29"/>
        <v>0</v>
      </c>
      <c r="J253" s="33" t="b">
        <f t="shared" si="30"/>
        <v>0</v>
      </c>
      <c r="K253" s="33">
        <f t="shared" si="35"/>
        <v>0</v>
      </c>
      <c r="L253" s="43"/>
      <c r="M253" s="43"/>
      <c r="N253" s="44"/>
      <c r="O253" s="44"/>
      <c r="P253" s="44"/>
      <c r="Q253" s="44"/>
      <c r="R253" s="36" t="str">
        <f t="shared" si="31"/>
        <v>--</v>
      </c>
      <c r="S253" s="45"/>
      <c r="T253" s="48"/>
      <c r="U253" s="45"/>
      <c r="V253" s="45"/>
      <c r="W253" s="45"/>
      <c r="X253" s="45"/>
      <c r="Y253" s="45"/>
      <c r="Z253" s="77"/>
    </row>
    <row r="254" spans="1:26" ht="15.75" hidden="1" x14ac:dyDescent="0.25">
      <c r="A254" s="37">
        <v>42618</v>
      </c>
      <c r="B254" s="84">
        <f t="shared" si="32"/>
        <v>36</v>
      </c>
      <c r="C254" s="41"/>
      <c r="D254" s="41">
        <v>3.125E-2</v>
      </c>
      <c r="E254" s="42"/>
      <c r="F254" s="33" t="str">
        <f t="shared" si="27"/>
        <v>--</v>
      </c>
      <c r="G254" s="88" t="b">
        <f t="shared" si="33"/>
        <v>0</v>
      </c>
      <c r="H254" s="33" t="b">
        <f t="shared" si="28"/>
        <v>0</v>
      </c>
      <c r="I254" s="33" t="b">
        <f t="shared" si="29"/>
        <v>0</v>
      </c>
      <c r="J254" s="33" t="b">
        <f t="shared" si="30"/>
        <v>0</v>
      </c>
      <c r="K254" s="33">
        <f t="shared" si="35"/>
        <v>0.33333333333333331</v>
      </c>
      <c r="L254" s="43"/>
      <c r="M254" s="43"/>
      <c r="N254" s="44"/>
      <c r="O254" s="44"/>
      <c r="P254" s="44"/>
      <c r="Q254" s="44"/>
      <c r="R254" s="36" t="str">
        <f t="shared" si="31"/>
        <v>--</v>
      </c>
      <c r="S254" s="45"/>
      <c r="T254" s="48"/>
      <c r="U254" s="45"/>
      <c r="V254" s="45"/>
      <c r="W254" s="45"/>
      <c r="X254" s="45"/>
      <c r="Y254" s="45"/>
      <c r="Z254" s="77"/>
    </row>
    <row r="255" spans="1:26" ht="15.75" hidden="1" x14ac:dyDescent="0.25">
      <c r="A255" s="37">
        <v>42619</v>
      </c>
      <c r="B255" s="84">
        <f t="shared" si="32"/>
        <v>36</v>
      </c>
      <c r="C255" s="41"/>
      <c r="D255" s="41">
        <v>3.125E-2</v>
      </c>
      <c r="E255" s="42"/>
      <c r="F255" s="33" t="str">
        <f t="shared" si="27"/>
        <v>--</v>
      </c>
      <c r="G255" s="88" t="b">
        <f t="shared" si="33"/>
        <v>0</v>
      </c>
      <c r="H255" s="33" t="b">
        <f t="shared" si="28"/>
        <v>0</v>
      </c>
      <c r="I255" s="33" t="b">
        <f t="shared" si="29"/>
        <v>0</v>
      </c>
      <c r="J255" s="33" t="b">
        <f t="shared" si="30"/>
        <v>0</v>
      </c>
      <c r="K255" s="33">
        <f t="shared" si="35"/>
        <v>0.33333333333333331</v>
      </c>
      <c r="L255" s="43"/>
      <c r="M255" s="43"/>
      <c r="N255" s="44"/>
      <c r="O255" s="44"/>
      <c r="P255" s="44"/>
      <c r="Q255" s="44"/>
      <c r="R255" s="36" t="str">
        <f t="shared" si="31"/>
        <v>--</v>
      </c>
      <c r="S255" s="45"/>
      <c r="T255" s="48"/>
      <c r="U255" s="45"/>
      <c r="V255" s="45"/>
      <c r="W255" s="45"/>
      <c r="X255" s="45"/>
      <c r="Y255" s="45"/>
      <c r="Z255" s="77"/>
    </row>
    <row r="256" spans="1:26" ht="15.75" hidden="1" x14ac:dyDescent="0.25">
      <c r="A256" s="37">
        <v>42620</v>
      </c>
      <c r="B256" s="84">
        <f t="shared" si="32"/>
        <v>36</v>
      </c>
      <c r="C256" s="41"/>
      <c r="D256" s="41">
        <v>3.125E-2</v>
      </c>
      <c r="E256" s="42"/>
      <c r="F256" s="33" t="str">
        <f t="shared" si="27"/>
        <v>--</v>
      </c>
      <c r="G256" s="88" t="b">
        <f t="shared" si="33"/>
        <v>0</v>
      </c>
      <c r="H256" s="33" t="b">
        <f t="shared" si="28"/>
        <v>0</v>
      </c>
      <c r="I256" s="33" t="b">
        <f t="shared" si="29"/>
        <v>0</v>
      </c>
      <c r="J256" s="33" t="b">
        <f t="shared" si="30"/>
        <v>0</v>
      </c>
      <c r="K256" s="33">
        <f t="shared" si="35"/>
        <v>0.33333333333333331</v>
      </c>
      <c r="L256" s="43"/>
      <c r="M256" s="43"/>
      <c r="N256" s="44"/>
      <c r="O256" s="44"/>
      <c r="P256" s="44"/>
      <c r="Q256" s="44"/>
      <c r="R256" s="36" t="str">
        <f t="shared" si="31"/>
        <v>--</v>
      </c>
      <c r="S256" s="45"/>
      <c r="T256" s="48"/>
      <c r="U256" s="45"/>
      <c r="V256" s="45"/>
      <c r="W256" s="45"/>
      <c r="X256" s="45"/>
      <c r="Y256" s="45"/>
      <c r="Z256" s="77"/>
    </row>
    <row r="257" spans="1:26" ht="15.75" hidden="1" x14ac:dyDescent="0.25">
      <c r="A257" s="37">
        <v>42621</v>
      </c>
      <c r="B257" s="84">
        <f t="shared" si="32"/>
        <v>36</v>
      </c>
      <c r="C257" s="41"/>
      <c r="D257" s="41">
        <v>3.125E-2</v>
      </c>
      <c r="E257" s="42"/>
      <c r="F257" s="33" t="str">
        <f t="shared" si="27"/>
        <v>--</v>
      </c>
      <c r="G257" s="88" t="b">
        <f t="shared" si="33"/>
        <v>0</v>
      </c>
      <c r="H257" s="33" t="b">
        <f t="shared" si="28"/>
        <v>0</v>
      </c>
      <c r="I257" s="33" t="b">
        <f t="shared" si="29"/>
        <v>0</v>
      </c>
      <c r="J257" s="33" t="b">
        <f t="shared" si="30"/>
        <v>0</v>
      </c>
      <c r="K257" s="33">
        <f t="shared" si="35"/>
        <v>0.33333333333333331</v>
      </c>
      <c r="L257" s="43"/>
      <c r="M257" s="43"/>
      <c r="N257" s="44"/>
      <c r="O257" s="44"/>
      <c r="P257" s="44"/>
      <c r="Q257" s="44"/>
      <c r="R257" s="36" t="str">
        <f t="shared" si="31"/>
        <v>--</v>
      </c>
      <c r="S257" s="45"/>
      <c r="T257" s="48"/>
      <c r="U257" s="45"/>
      <c r="V257" s="45"/>
      <c r="W257" s="45"/>
      <c r="X257" s="45"/>
      <c r="Y257" s="45"/>
      <c r="Z257" s="77"/>
    </row>
    <row r="258" spans="1:26" ht="15.75" hidden="1" x14ac:dyDescent="0.25">
      <c r="A258" s="37">
        <v>42622</v>
      </c>
      <c r="B258" s="84">
        <f t="shared" si="32"/>
        <v>36</v>
      </c>
      <c r="C258" s="41"/>
      <c r="D258" s="41">
        <v>3.125E-2</v>
      </c>
      <c r="E258" s="42"/>
      <c r="F258" s="33" t="str">
        <f t="shared" si="27"/>
        <v>--</v>
      </c>
      <c r="G258" s="88" t="b">
        <f t="shared" si="33"/>
        <v>0</v>
      </c>
      <c r="H258" s="33" t="b">
        <f t="shared" si="28"/>
        <v>0</v>
      </c>
      <c r="I258" s="33" t="b">
        <f t="shared" si="29"/>
        <v>0</v>
      </c>
      <c r="J258" s="33" t="b">
        <f t="shared" si="30"/>
        <v>0</v>
      </c>
      <c r="K258" s="33">
        <f t="shared" si="35"/>
        <v>0.33333333333333331</v>
      </c>
      <c r="L258" s="43"/>
      <c r="M258" s="43"/>
      <c r="N258" s="44"/>
      <c r="O258" s="44"/>
      <c r="P258" s="44"/>
      <c r="Q258" s="44"/>
      <c r="R258" s="36" t="str">
        <f t="shared" si="31"/>
        <v>--</v>
      </c>
      <c r="S258" s="45"/>
      <c r="T258" s="48"/>
      <c r="U258" s="45"/>
      <c r="V258" s="45"/>
      <c r="W258" s="45"/>
      <c r="X258" s="45"/>
      <c r="Y258" s="45"/>
      <c r="Z258" s="77"/>
    </row>
    <row r="259" spans="1:26" ht="15.75" hidden="1" x14ac:dyDescent="0.25">
      <c r="A259" s="37">
        <v>42623</v>
      </c>
      <c r="B259" s="84">
        <f t="shared" si="32"/>
        <v>36</v>
      </c>
      <c r="C259" s="41"/>
      <c r="D259" s="41"/>
      <c r="E259" s="42"/>
      <c r="F259" s="33" t="str">
        <f t="shared" si="27"/>
        <v>--</v>
      </c>
      <c r="G259" s="88" t="b">
        <f t="shared" si="33"/>
        <v>1</v>
      </c>
      <c r="H259" s="33" t="b">
        <f t="shared" si="28"/>
        <v>0</v>
      </c>
      <c r="I259" s="33" t="b">
        <f t="shared" si="29"/>
        <v>0</v>
      </c>
      <c r="J259" s="33" t="b">
        <f t="shared" si="30"/>
        <v>0</v>
      </c>
      <c r="K259" s="33">
        <f t="shared" si="35"/>
        <v>0</v>
      </c>
      <c r="L259" s="43"/>
      <c r="M259" s="43"/>
      <c r="N259" s="44"/>
      <c r="O259" s="44"/>
      <c r="P259" s="44"/>
      <c r="Q259" s="44"/>
      <c r="R259" s="36" t="str">
        <f t="shared" si="31"/>
        <v>--</v>
      </c>
      <c r="S259" s="45"/>
      <c r="T259" s="48"/>
      <c r="U259" s="45"/>
      <c r="V259" s="45"/>
      <c r="W259" s="45"/>
      <c r="X259" s="45"/>
      <c r="Y259" s="45"/>
      <c r="Z259" s="77"/>
    </row>
    <row r="260" spans="1:26" ht="15.75" hidden="1" x14ac:dyDescent="0.25">
      <c r="A260" s="37">
        <v>42624</v>
      </c>
      <c r="B260" s="84">
        <f t="shared" si="32"/>
        <v>36</v>
      </c>
      <c r="C260" s="41"/>
      <c r="D260" s="41"/>
      <c r="E260" s="42"/>
      <c r="F260" s="33" t="str">
        <f t="shared" si="27"/>
        <v>--</v>
      </c>
      <c r="G260" s="88" t="b">
        <f t="shared" si="33"/>
        <v>1</v>
      </c>
      <c r="H260" s="33" t="b">
        <f t="shared" si="28"/>
        <v>0</v>
      </c>
      <c r="I260" s="33" t="b">
        <f t="shared" si="29"/>
        <v>0</v>
      </c>
      <c r="J260" s="33" t="b">
        <f t="shared" si="30"/>
        <v>0</v>
      </c>
      <c r="K260" s="33">
        <f t="shared" si="35"/>
        <v>0</v>
      </c>
      <c r="L260" s="43"/>
      <c r="M260" s="43"/>
      <c r="N260" s="44"/>
      <c r="O260" s="44"/>
      <c r="P260" s="44"/>
      <c r="Q260" s="44"/>
      <c r="R260" s="36" t="str">
        <f t="shared" si="31"/>
        <v>--</v>
      </c>
      <c r="S260" s="45"/>
      <c r="T260" s="48"/>
      <c r="U260" s="45"/>
      <c r="V260" s="45"/>
      <c r="W260" s="45"/>
      <c r="X260" s="45"/>
      <c r="Y260" s="45"/>
      <c r="Z260" s="77"/>
    </row>
    <row r="261" spans="1:26" ht="15.75" hidden="1" x14ac:dyDescent="0.25">
      <c r="A261" s="37">
        <v>42625</v>
      </c>
      <c r="B261" s="84">
        <f t="shared" si="32"/>
        <v>37</v>
      </c>
      <c r="C261" s="41"/>
      <c r="D261" s="41">
        <v>3.125E-2</v>
      </c>
      <c r="E261" s="42"/>
      <c r="F261" s="33" t="str">
        <f t="shared" si="27"/>
        <v>--</v>
      </c>
      <c r="G261" s="88" t="b">
        <f t="shared" si="33"/>
        <v>0</v>
      </c>
      <c r="H261" s="33" t="b">
        <f t="shared" si="28"/>
        <v>0</v>
      </c>
      <c r="I261" s="33" t="b">
        <f t="shared" si="29"/>
        <v>0</v>
      </c>
      <c r="J261" s="33" t="b">
        <f t="shared" si="30"/>
        <v>0</v>
      </c>
      <c r="K261" s="33">
        <f t="shared" si="35"/>
        <v>0.33333333333333331</v>
      </c>
      <c r="L261" s="43"/>
      <c r="M261" s="43"/>
      <c r="N261" s="44"/>
      <c r="O261" s="44"/>
      <c r="P261" s="44"/>
      <c r="Q261" s="44"/>
      <c r="R261" s="36" t="str">
        <f t="shared" si="31"/>
        <v>--</v>
      </c>
      <c r="S261" s="45"/>
      <c r="T261" s="48"/>
      <c r="U261" s="45"/>
      <c r="V261" s="45"/>
      <c r="W261" s="45"/>
      <c r="X261" s="45"/>
      <c r="Y261" s="45"/>
      <c r="Z261" s="77"/>
    </row>
    <row r="262" spans="1:26" ht="15.75" hidden="1" x14ac:dyDescent="0.25">
      <c r="A262" s="37">
        <v>42626</v>
      </c>
      <c r="B262" s="84">
        <f t="shared" si="32"/>
        <v>37</v>
      </c>
      <c r="C262" s="41"/>
      <c r="D262" s="41">
        <v>3.125E-2</v>
      </c>
      <c r="E262" s="42"/>
      <c r="F262" s="33" t="str">
        <f t="shared" ref="F262:F325" si="36">IF(E262-C262&lt;=0,"--",E262-D262-C262)</f>
        <v>--</v>
      </c>
      <c r="G262" s="88" t="b">
        <f t="shared" si="33"/>
        <v>0</v>
      </c>
      <c r="H262" s="33" t="b">
        <f t="shared" ref="H262:H325" si="37">ISNUMBER(MATCH($A262,rSemester,0))</f>
        <v>0</v>
      </c>
      <c r="I262" s="33" t="b">
        <f t="shared" ref="I262:I325" si="38">ISNUMBER(MATCH($A262,rATK,0))</f>
        <v>0</v>
      </c>
      <c r="J262" s="33" t="b">
        <f t="shared" ref="J262:J325" si="39">ISNUMBER(MATCH($A262,rHelger,0))</f>
        <v>0</v>
      </c>
      <c r="K262" s="33">
        <f t="shared" si="35"/>
        <v>0.33333333333333331</v>
      </c>
      <c r="L262" s="43"/>
      <c r="M262" s="43"/>
      <c r="N262" s="44"/>
      <c r="O262" s="44"/>
      <c r="P262" s="44"/>
      <c r="Q262" s="44"/>
      <c r="R262" s="36" t="str">
        <f t="shared" ref="R262:R325" si="40">IF(F262="--","--",IF(F262&lt;=0,"--",60*((F262-K262)*24-L262+S262+T262*8+U262+V262+Y262+W262+X262)))</f>
        <v>--</v>
      </c>
      <c r="S262" s="45"/>
      <c r="T262" s="48"/>
      <c r="U262" s="45"/>
      <c r="V262" s="45"/>
      <c r="W262" s="45"/>
      <c r="X262" s="45"/>
      <c r="Y262" s="45"/>
      <c r="Z262" s="77"/>
    </row>
    <row r="263" spans="1:26" ht="15.75" hidden="1" x14ac:dyDescent="0.25">
      <c r="A263" s="37">
        <v>42627</v>
      </c>
      <c r="B263" s="84">
        <f t="shared" ref="B263:B326" si="41">IsoWeekNumber(A263)</f>
        <v>37</v>
      </c>
      <c r="C263" s="41"/>
      <c r="D263" s="41">
        <v>3.125E-2</v>
      </c>
      <c r="E263" s="42"/>
      <c r="F263" s="33" t="str">
        <f t="shared" si="36"/>
        <v>--</v>
      </c>
      <c r="G263" s="88" t="b">
        <f t="shared" ref="G263:G326" si="42">IF(WEEKDAY(A263,2)&gt;5,TRUE)</f>
        <v>0</v>
      </c>
      <c r="H263" s="33" t="b">
        <f t="shared" si="37"/>
        <v>0</v>
      </c>
      <c r="I263" s="33" t="b">
        <f t="shared" si="38"/>
        <v>0</v>
      </c>
      <c r="J263" s="33" t="b">
        <f t="shared" si="39"/>
        <v>0</v>
      </c>
      <c r="K263" s="33">
        <f t="shared" si="35"/>
        <v>0.33333333333333331</v>
      </c>
      <c r="L263" s="43"/>
      <c r="M263" s="43"/>
      <c r="N263" s="44"/>
      <c r="O263" s="44"/>
      <c r="P263" s="44"/>
      <c r="Q263" s="44"/>
      <c r="R263" s="36" t="str">
        <f t="shared" si="40"/>
        <v>--</v>
      </c>
      <c r="S263" s="45"/>
      <c r="T263" s="48"/>
      <c r="U263" s="45"/>
      <c r="V263" s="45"/>
      <c r="W263" s="45"/>
      <c r="X263" s="45"/>
      <c r="Y263" s="45"/>
      <c r="Z263" s="77"/>
    </row>
    <row r="264" spans="1:26" ht="15.75" hidden="1" x14ac:dyDescent="0.25">
      <c r="A264" s="37">
        <v>42628</v>
      </c>
      <c r="B264" s="84">
        <f t="shared" si="41"/>
        <v>37</v>
      </c>
      <c r="C264" s="41"/>
      <c r="D264" s="41">
        <v>3.125E-2</v>
      </c>
      <c r="E264" s="42"/>
      <c r="F264" s="33" t="str">
        <f t="shared" si="36"/>
        <v>--</v>
      </c>
      <c r="G264" s="88" t="b">
        <f t="shared" si="42"/>
        <v>0</v>
      </c>
      <c r="H264" s="33" t="b">
        <f t="shared" si="37"/>
        <v>0</v>
      </c>
      <c r="I264" s="33" t="b">
        <f t="shared" si="38"/>
        <v>0</v>
      </c>
      <c r="J264" s="33" t="b">
        <f t="shared" si="39"/>
        <v>0</v>
      </c>
      <c r="K264" s="33">
        <f t="shared" si="35"/>
        <v>0.33333333333333331</v>
      </c>
      <c r="L264" s="43"/>
      <c r="M264" s="43"/>
      <c r="N264" s="44"/>
      <c r="O264" s="44"/>
      <c r="P264" s="44"/>
      <c r="Q264" s="44"/>
      <c r="R264" s="36" t="str">
        <f t="shared" si="40"/>
        <v>--</v>
      </c>
      <c r="S264" s="45"/>
      <c r="T264" s="48"/>
      <c r="U264" s="45"/>
      <c r="V264" s="45"/>
      <c r="W264" s="45"/>
      <c r="X264" s="45"/>
      <c r="Y264" s="45"/>
      <c r="Z264" s="77"/>
    </row>
    <row r="265" spans="1:26" ht="15.75" hidden="1" x14ac:dyDescent="0.25">
      <c r="A265" s="37">
        <v>42629</v>
      </c>
      <c r="B265" s="84">
        <f t="shared" si="41"/>
        <v>37</v>
      </c>
      <c r="C265" s="41"/>
      <c r="D265" s="41">
        <v>3.125E-2</v>
      </c>
      <c r="E265" s="42"/>
      <c r="F265" s="33" t="str">
        <f t="shared" si="36"/>
        <v>--</v>
      </c>
      <c r="G265" s="88" t="b">
        <f t="shared" si="42"/>
        <v>0</v>
      </c>
      <c r="H265" s="33" t="b">
        <f t="shared" si="37"/>
        <v>0</v>
      </c>
      <c r="I265" s="33" t="b">
        <f t="shared" si="38"/>
        <v>0</v>
      </c>
      <c r="J265" s="33" t="b">
        <f t="shared" si="39"/>
        <v>0</v>
      </c>
      <c r="K265" s="33">
        <f t="shared" si="35"/>
        <v>0.33333333333333331</v>
      </c>
      <c r="L265" s="43"/>
      <c r="M265" s="43"/>
      <c r="N265" s="44"/>
      <c r="O265" s="44"/>
      <c r="P265" s="44"/>
      <c r="Q265" s="44"/>
      <c r="R265" s="36" t="str">
        <f t="shared" si="40"/>
        <v>--</v>
      </c>
      <c r="S265" s="45"/>
      <c r="T265" s="48"/>
      <c r="U265" s="45"/>
      <c r="V265" s="45"/>
      <c r="W265" s="45"/>
      <c r="X265" s="45"/>
      <c r="Y265" s="45"/>
      <c r="Z265" s="77"/>
    </row>
    <row r="266" spans="1:26" ht="15.75" hidden="1" x14ac:dyDescent="0.25">
      <c r="A266" s="37">
        <v>42630</v>
      </c>
      <c r="B266" s="84">
        <f t="shared" si="41"/>
        <v>37</v>
      </c>
      <c r="C266" s="41"/>
      <c r="D266" s="41"/>
      <c r="E266" s="42"/>
      <c r="F266" s="33" t="str">
        <f t="shared" si="36"/>
        <v>--</v>
      </c>
      <c r="G266" s="88" t="b">
        <f t="shared" si="42"/>
        <v>1</v>
      </c>
      <c r="H266" s="33" t="b">
        <f t="shared" si="37"/>
        <v>0</v>
      </c>
      <c r="I266" s="33" t="b">
        <f t="shared" si="38"/>
        <v>0</v>
      </c>
      <c r="J266" s="33" t="b">
        <f t="shared" si="39"/>
        <v>0</v>
      </c>
      <c r="K266" s="33">
        <f t="shared" si="35"/>
        <v>0</v>
      </c>
      <c r="L266" s="43"/>
      <c r="M266" s="43"/>
      <c r="N266" s="44"/>
      <c r="O266" s="44"/>
      <c r="P266" s="44"/>
      <c r="Q266" s="44"/>
      <c r="R266" s="36" t="str">
        <f t="shared" si="40"/>
        <v>--</v>
      </c>
      <c r="S266" s="45"/>
      <c r="T266" s="48"/>
      <c r="U266" s="45"/>
      <c r="V266" s="45"/>
      <c r="W266" s="45"/>
      <c r="X266" s="45"/>
      <c r="Y266" s="45"/>
      <c r="Z266" s="77"/>
    </row>
    <row r="267" spans="1:26" ht="15.75" hidden="1" x14ac:dyDescent="0.25">
      <c r="A267" s="37">
        <v>42631</v>
      </c>
      <c r="B267" s="84">
        <f t="shared" si="41"/>
        <v>37</v>
      </c>
      <c r="C267" s="41"/>
      <c r="D267" s="41"/>
      <c r="E267" s="42"/>
      <c r="F267" s="33" t="str">
        <f t="shared" si="36"/>
        <v>--</v>
      </c>
      <c r="G267" s="88" t="b">
        <f t="shared" si="42"/>
        <v>1</v>
      </c>
      <c r="H267" s="33" t="b">
        <f t="shared" si="37"/>
        <v>0</v>
      </c>
      <c r="I267" s="33" t="b">
        <f t="shared" si="38"/>
        <v>0</v>
      </c>
      <c r="J267" s="33" t="b">
        <f t="shared" si="39"/>
        <v>0</v>
      </c>
      <c r="K267" s="33">
        <f t="shared" si="35"/>
        <v>0</v>
      </c>
      <c r="L267" s="43"/>
      <c r="M267" s="43"/>
      <c r="N267" s="44"/>
      <c r="O267" s="44"/>
      <c r="P267" s="44"/>
      <c r="Q267" s="44"/>
      <c r="R267" s="36" t="str">
        <f t="shared" si="40"/>
        <v>--</v>
      </c>
      <c r="S267" s="45"/>
      <c r="T267" s="48"/>
      <c r="U267" s="45"/>
      <c r="V267" s="45"/>
      <c r="W267" s="45"/>
      <c r="X267" s="45"/>
      <c r="Y267" s="45"/>
      <c r="Z267" s="77"/>
    </row>
    <row r="268" spans="1:26" ht="15.75" hidden="1" x14ac:dyDescent="0.25">
      <c r="A268" s="37">
        <v>42632</v>
      </c>
      <c r="B268" s="84">
        <f t="shared" si="41"/>
        <v>38</v>
      </c>
      <c r="C268" s="41"/>
      <c r="D268" s="41">
        <v>3.125E-2</v>
      </c>
      <c r="E268" s="42"/>
      <c r="F268" s="33" t="str">
        <f t="shared" si="36"/>
        <v>--</v>
      </c>
      <c r="G268" s="88" t="b">
        <f t="shared" si="42"/>
        <v>0</v>
      </c>
      <c r="H268" s="33" t="b">
        <f t="shared" si="37"/>
        <v>0</v>
      </c>
      <c r="I268" s="33" t="b">
        <f t="shared" si="38"/>
        <v>0</v>
      </c>
      <c r="J268" s="33" t="b">
        <f t="shared" si="39"/>
        <v>0</v>
      </c>
      <c r="K268" s="33">
        <f t="shared" si="35"/>
        <v>0.33333333333333331</v>
      </c>
      <c r="L268" s="43"/>
      <c r="M268" s="43"/>
      <c r="N268" s="44"/>
      <c r="O268" s="44"/>
      <c r="P268" s="44"/>
      <c r="Q268" s="44"/>
      <c r="R268" s="36" t="str">
        <f t="shared" si="40"/>
        <v>--</v>
      </c>
      <c r="S268" s="45"/>
      <c r="T268" s="48"/>
      <c r="U268" s="45"/>
      <c r="V268" s="45"/>
      <c r="W268" s="45"/>
      <c r="X268" s="45"/>
      <c r="Y268" s="45"/>
      <c r="Z268" s="77"/>
    </row>
    <row r="269" spans="1:26" ht="15.75" hidden="1" x14ac:dyDescent="0.25">
      <c r="A269" s="37">
        <v>42633</v>
      </c>
      <c r="B269" s="84">
        <f t="shared" si="41"/>
        <v>38</v>
      </c>
      <c r="C269" s="41"/>
      <c r="D269" s="41">
        <v>3.125E-2</v>
      </c>
      <c r="E269" s="42"/>
      <c r="F269" s="33" t="str">
        <f t="shared" si="36"/>
        <v>--</v>
      </c>
      <c r="G269" s="88" t="b">
        <f t="shared" si="42"/>
        <v>0</v>
      </c>
      <c r="H269" s="33" t="b">
        <f t="shared" si="37"/>
        <v>0</v>
      </c>
      <c r="I269" s="33" t="b">
        <f t="shared" si="38"/>
        <v>0</v>
      </c>
      <c r="J269" s="33" t="b">
        <f t="shared" si="39"/>
        <v>0</v>
      </c>
      <c r="K269" s="33">
        <f t="shared" si="35"/>
        <v>0.33333333333333331</v>
      </c>
      <c r="L269" s="43"/>
      <c r="M269" s="43"/>
      <c r="N269" s="44"/>
      <c r="O269" s="44"/>
      <c r="P269" s="44"/>
      <c r="Q269" s="44"/>
      <c r="R269" s="36" t="str">
        <f t="shared" si="40"/>
        <v>--</v>
      </c>
      <c r="S269" s="45"/>
      <c r="T269" s="48"/>
      <c r="U269" s="45"/>
      <c r="V269" s="45"/>
      <c r="W269" s="45"/>
      <c r="X269" s="45"/>
      <c r="Y269" s="45"/>
      <c r="Z269" s="77"/>
    </row>
    <row r="270" spans="1:26" ht="15.75" hidden="1" x14ac:dyDescent="0.25">
      <c r="A270" s="37">
        <v>42634</v>
      </c>
      <c r="B270" s="84">
        <f t="shared" si="41"/>
        <v>38</v>
      </c>
      <c r="C270" s="41"/>
      <c r="D270" s="41">
        <v>3.125E-2</v>
      </c>
      <c r="E270" s="42"/>
      <c r="F270" s="33" t="str">
        <f t="shared" si="36"/>
        <v>--</v>
      </c>
      <c r="G270" s="88" t="b">
        <f t="shared" si="42"/>
        <v>0</v>
      </c>
      <c r="H270" s="33" t="b">
        <f t="shared" si="37"/>
        <v>0</v>
      </c>
      <c r="I270" s="33" t="b">
        <f t="shared" si="38"/>
        <v>0</v>
      </c>
      <c r="J270" s="33" t="b">
        <f t="shared" si="39"/>
        <v>0</v>
      </c>
      <c r="K270" s="33">
        <f t="shared" si="35"/>
        <v>0.33333333333333331</v>
      </c>
      <c r="L270" s="43"/>
      <c r="M270" s="43"/>
      <c r="N270" s="44"/>
      <c r="O270" s="44"/>
      <c r="P270" s="44"/>
      <c r="Q270" s="44"/>
      <c r="R270" s="36" t="str">
        <f t="shared" si="40"/>
        <v>--</v>
      </c>
      <c r="S270" s="45"/>
      <c r="T270" s="48"/>
      <c r="U270" s="45"/>
      <c r="V270" s="45"/>
      <c r="W270" s="45"/>
      <c r="X270" s="45"/>
      <c r="Y270" s="45"/>
      <c r="Z270" s="77"/>
    </row>
    <row r="271" spans="1:26" ht="15.75" hidden="1" x14ac:dyDescent="0.25">
      <c r="A271" s="37">
        <v>42635</v>
      </c>
      <c r="B271" s="84">
        <f t="shared" si="41"/>
        <v>38</v>
      </c>
      <c r="C271" s="41"/>
      <c r="D271" s="41">
        <v>3.125E-2</v>
      </c>
      <c r="E271" s="42"/>
      <c r="F271" s="33" t="str">
        <f t="shared" si="36"/>
        <v>--</v>
      </c>
      <c r="G271" s="88" t="b">
        <f t="shared" si="42"/>
        <v>0</v>
      </c>
      <c r="H271" s="33" t="b">
        <f t="shared" si="37"/>
        <v>0</v>
      </c>
      <c r="I271" s="33" t="b">
        <f t="shared" si="38"/>
        <v>0</v>
      </c>
      <c r="J271" s="33" t="b">
        <f t="shared" si="39"/>
        <v>0</v>
      </c>
      <c r="K271" s="33">
        <f t="shared" si="35"/>
        <v>0.33333333333333331</v>
      </c>
      <c r="L271" s="43"/>
      <c r="M271" s="43"/>
      <c r="N271" s="44"/>
      <c r="O271" s="44"/>
      <c r="P271" s="44"/>
      <c r="Q271" s="44"/>
      <c r="R271" s="36" t="str">
        <f t="shared" si="40"/>
        <v>--</v>
      </c>
      <c r="S271" s="45"/>
      <c r="T271" s="48"/>
      <c r="U271" s="45"/>
      <c r="V271" s="45"/>
      <c r="W271" s="45"/>
      <c r="X271" s="45"/>
      <c r="Y271" s="45"/>
      <c r="Z271" s="77"/>
    </row>
    <row r="272" spans="1:26" ht="15.75" hidden="1" x14ac:dyDescent="0.25">
      <c r="A272" s="37">
        <v>42636</v>
      </c>
      <c r="B272" s="84">
        <f t="shared" si="41"/>
        <v>38</v>
      </c>
      <c r="C272" s="41"/>
      <c r="D272" s="41">
        <v>3.125E-2</v>
      </c>
      <c r="E272" s="42"/>
      <c r="F272" s="33" t="str">
        <f t="shared" si="36"/>
        <v>--</v>
      </c>
      <c r="G272" s="88" t="b">
        <f t="shared" si="42"/>
        <v>0</v>
      </c>
      <c r="H272" s="33" t="b">
        <f t="shared" si="37"/>
        <v>0</v>
      </c>
      <c r="I272" s="33" t="b">
        <f t="shared" si="38"/>
        <v>0</v>
      </c>
      <c r="J272" s="33" t="b">
        <f t="shared" si="39"/>
        <v>0</v>
      </c>
      <c r="K272" s="33">
        <f t="shared" si="35"/>
        <v>0.33333333333333331</v>
      </c>
      <c r="L272" s="43"/>
      <c r="M272" s="43"/>
      <c r="N272" s="44"/>
      <c r="O272" s="44"/>
      <c r="P272" s="44"/>
      <c r="Q272" s="44"/>
      <c r="R272" s="36" t="str">
        <f t="shared" si="40"/>
        <v>--</v>
      </c>
      <c r="S272" s="45"/>
      <c r="T272" s="48"/>
      <c r="U272" s="45"/>
      <c r="V272" s="45"/>
      <c r="W272" s="45"/>
      <c r="X272" s="45"/>
      <c r="Y272" s="45"/>
      <c r="Z272" s="77"/>
    </row>
    <row r="273" spans="1:26" ht="15.75" hidden="1" x14ac:dyDescent="0.25">
      <c r="A273" s="37">
        <v>42637</v>
      </c>
      <c r="B273" s="84">
        <f t="shared" si="41"/>
        <v>38</v>
      </c>
      <c r="C273" s="41"/>
      <c r="D273" s="41"/>
      <c r="E273" s="42"/>
      <c r="F273" s="33" t="str">
        <f t="shared" si="36"/>
        <v>--</v>
      </c>
      <c r="G273" s="88" t="b">
        <f t="shared" si="42"/>
        <v>1</v>
      </c>
      <c r="H273" s="33" t="b">
        <f t="shared" si="37"/>
        <v>0</v>
      </c>
      <c r="I273" s="33" t="b">
        <f t="shared" si="38"/>
        <v>0</v>
      </c>
      <c r="J273" s="33" t="b">
        <f t="shared" si="39"/>
        <v>0</v>
      </c>
      <c r="K273" s="33">
        <f t="shared" si="35"/>
        <v>0</v>
      </c>
      <c r="L273" s="43"/>
      <c r="M273" s="43"/>
      <c r="N273" s="44"/>
      <c r="O273" s="44"/>
      <c r="P273" s="44"/>
      <c r="Q273" s="44"/>
      <c r="R273" s="36" t="str">
        <f t="shared" si="40"/>
        <v>--</v>
      </c>
      <c r="S273" s="45"/>
      <c r="T273" s="48"/>
      <c r="U273" s="45"/>
      <c r="V273" s="45"/>
      <c r="W273" s="45"/>
      <c r="X273" s="45"/>
      <c r="Y273" s="45"/>
      <c r="Z273" s="77"/>
    </row>
    <row r="274" spans="1:26" ht="15.75" hidden="1" x14ac:dyDescent="0.25">
      <c r="A274" s="37">
        <v>42638</v>
      </c>
      <c r="B274" s="84">
        <f t="shared" si="41"/>
        <v>38</v>
      </c>
      <c r="C274" s="41"/>
      <c r="D274" s="41"/>
      <c r="E274" s="42"/>
      <c r="F274" s="33" t="str">
        <f t="shared" si="36"/>
        <v>--</v>
      </c>
      <c r="G274" s="88" t="b">
        <f t="shared" si="42"/>
        <v>1</v>
      </c>
      <c r="H274" s="33" t="b">
        <f t="shared" si="37"/>
        <v>0</v>
      </c>
      <c r="I274" s="33" t="b">
        <f t="shared" si="38"/>
        <v>0</v>
      </c>
      <c r="J274" s="33" t="b">
        <f t="shared" si="39"/>
        <v>0</v>
      </c>
      <c r="K274" s="33">
        <f t="shared" si="35"/>
        <v>0</v>
      </c>
      <c r="L274" s="43"/>
      <c r="M274" s="43"/>
      <c r="N274" s="44"/>
      <c r="O274" s="44"/>
      <c r="P274" s="44"/>
      <c r="Q274" s="44"/>
      <c r="R274" s="36" t="str">
        <f t="shared" si="40"/>
        <v>--</v>
      </c>
      <c r="S274" s="45"/>
      <c r="T274" s="48"/>
      <c r="U274" s="45"/>
      <c r="V274" s="45"/>
      <c r="W274" s="45"/>
      <c r="X274" s="45"/>
      <c r="Y274" s="45"/>
      <c r="Z274" s="77"/>
    </row>
    <row r="275" spans="1:26" ht="15.75" hidden="1" x14ac:dyDescent="0.25">
      <c r="A275" s="37">
        <v>42639</v>
      </c>
      <c r="B275" s="84">
        <f t="shared" si="41"/>
        <v>39</v>
      </c>
      <c r="C275" s="41"/>
      <c r="D275" s="41">
        <v>3.125E-2</v>
      </c>
      <c r="E275" s="42"/>
      <c r="F275" s="33" t="str">
        <f t="shared" si="36"/>
        <v>--</v>
      </c>
      <c r="G275" s="88" t="b">
        <f t="shared" si="42"/>
        <v>0</v>
      </c>
      <c r="H275" s="33" t="b">
        <f t="shared" si="37"/>
        <v>0</v>
      </c>
      <c r="I275" s="33" t="b">
        <f t="shared" si="38"/>
        <v>0</v>
      </c>
      <c r="J275" s="33" t="b">
        <f t="shared" si="39"/>
        <v>0</v>
      </c>
      <c r="K275" s="33">
        <f t="shared" si="35"/>
        <v>0.33333333333333331</v>
      </c>
      <c r="L275" s="43"/>
      <c r="M275" s="43"/>
      <c r="N275" s="44"/>
      <c r="O275" s="44"/>
      <c r="P275" s="44"/>
      <c r="Q275" s="44"/>
      <c r="R275" s="36" t="str">
        <f t="shared" si="40"/>
        <v>--</v>
      </c>
      <c r="S275" s="45"/>
      <c r="T275" s="48"/>
      <c r="U275" s="45"/>
      <c r="V275" s="45"/>
      <c r="W275" s="45"/>
      <c r="X275" s="45"/>
      <c r="Y275" s="45"/>
      <c r="Z275" s="77"/>
    </row>
    <row r="276" spans="1:26" ht="15.75" hidden="1" x14ac:dyDescent="0.25">
      <c r="A276" s="37">
        <v>42640</v>
      </c>
      <c r="B276" s="84">
        <f t="shared" si="41"/>
        <v>39</v>
      </c>
      <c r="C276" s="41"/>
      <c r="D276" s="41">
        <v>3.125E-2</v>
      </c>
      <c r="E276" s="42"/>
      <c r="F276" s="33" t="str">
        <f t="shared" si="36"/>
        <v>--</v>
      </c>
      <c r="G276" s="88" t="b">
        <f t="shared" si="42"/>
        <v>0</v>
      </c>
      <c r="H276" s="33" t="b">
        <f t="shared" si="37"/>
        <v>0</v>
      </c>
      <c r="I276" s="33" t="b">
        <f t="shared" si="38"/>
        <v>0</v>
      </c>
      <c r="J276" s="33" t="b">
        <f t="shared" si="39"/>
        <v>0</v>
      </c>
      <c r="K276" s="33">
        <f t="shared" si="35"/>
        <v>0.33333333333333331</v>
      </c>
      <c r="L276" s="43"/>
      <c r="M276" s="43"/>
      <c r="N276" s="44"/>
      <c r="O276" s="44"/>
      <c r="P276" s="44"/>
      <c r="Q276" s="44"/>
      <c r="R276" s="36" t="str">
        <f t="shared" si="40"/>
        <v>--</v>
      </c>
      <c r="S276" s="45"/>
      <c r="T276" s="48"/>
      <c r="U276" s="45"/>
      <c r="V276" s="45"/>
      <c r="W276" s="45"/>
      <c r="X276" s="45"/>
      <c r="Y276" s="45"/>
      <c r="Z276" s="77"/>
    </row>
    <row r="277" spans="1:26" ht="15.75" hidden="1" x14ac:dyDescent="0.25">
      <c r="A277" s="37">
        <v>42641</v>
      </c>
      <c r="B277" s="84">
        <f t="shared" si="41"/>
        <v>39</v>
      </c>
      <c r="C277" s="41"/>
      <c r="D277" s="41">
        <v>3.125E-2</v>
      </c>
      <c r="E277" s="42"/>
      <c r="F277" s="33" t="str">
        <f t="shared" si="36"/>
        <v>--</v>
      </c>
      <c r="G277" s="88" t="b">
        <f t="shared" si="42"/>
        <v>0</v>
      </c>
      <c r="H277" s="33" t="b">
        <f t="shared" si="37"/>
        <v>0</v>
      </c>
      <c r="I277" s="33" t="b">
        <f t="shared" si="38"/>
        <v>0</v>
      </c>
      <c r="J277" s="33" t="b">
        <f t="shared" si="39"/>
        <v>0</v>
      </c>
      <c r="K277" s="33">
        <f t="shared" ref="K277:K340" si="43">IF(OR(G277,H277,I277,J277),0,8/24)</f>
        <v>0.33333333333333331</v>
      </c>
      <c r="L277" s="43"/>
      <c r="M277" s="43"/>
      <c r="N277" s="44"/>
      <c r="O277" s="44"/>
      <c r="P277" s="44"/>
      <c r="Q277" s="44"/>
      <c r="R277" s="36" t="str">
        <f t="shared" si="40"/>
        <v>--</v>
      </c>
      <c r="S277" s="45"/>
      <c r="T277" s="48"/>
      <c r="U277" s="45"/>
      <c r="V277" s="45"/>
      <c r="W277" s="45"/>
      <c r="X277" s="45"/>
      <c r="Y277" s="45"/>
      <c r="Z277" s="77"/>
    </row>
    <row r="278" spans="1:26" ht="15.75" hidden="1" x14ac:dyDescent="0.25">
      <c r="A278" s="37">
        <v>42642</v>
      </c>
      <c r="B278" s="84">
        <f t="shared" si="41"/>
        <v>39</v>
      </c>
      <c r="C278" s="41"/>
      <c r="D278" s="41">
        <v>3.125E-2</v>
      </c>
      <c r="E278" s="42"/>
      <c r="F278" s="33" t="str">
        <f t="shared" si="36"/>
        <v>--</v>
      </c>
      <c r="G278" s="88" t="b">
        <f t="shared" si="42"/>
        <v>0</v>
      </c>
      <c r="H278" s="33" t="b">
        <f t="shared" si="37"/>
        <v>0</v>
      </c>
      <c r="I278" s="33" t="b">
        <f t="shared" si="38"/>
        <v>0</v>
      </c>
      <c r="J278" s="33" t="b">
        <f t="shared" si="39"/>
        <v>0</v>
      </c>
      <c r="K278" s="33">
        <f t="shared" si="43"/>
        <v>0.33333333333333331</v>
      </c>
      <c r="L278" s="43"/>
      <c r="M278" s="43"/>
      <c r="N278" s="44"/>
      <c r="O278" s="44"/>
      <c r="P278" s="44"/>
      <c r="Q278" s="44"/>
      <c r="R278" s="36" t="str">
        <f t="shared" si="40"/>
        <v>--</v>
      </c>
      <c r="S278" s="45"/>
      <c r="T278" s="48"/>
      <c r="U278" s="45"/>
      <c r="V278" s="45"/>
      <c r="W278" s="45"/>
      <c r="X278" s="45"/>
      <c r="Y278" s="45"/>
      <c r="Z278" s="77"/>
    </row>
    <row r="279" spans="1:26" ht="15.75" hidden="1" x14ac:dyDescent="0.25">
      <c r="A279" s="37">
        <v>42643</v>
      </c>
      <c r="B279" s="84">
        <f t="shared" si="41"/>
        <v>39</v>
      </c>
      <c r="C279" s="41"/>
      <c r="D279" s="41">
        <v>3.125E-2</v>
      </c>
      <c r="E279" s="42"/>
      <c r="F279" s="33" t="str">
        <f t="shared" si="36"/>
        <v>--</v>
      </c>
      <c r="G279" s="88" t="b">
        <f t="shared" si="42"/>
        <v>0</v>
      </c>
      <c r="H279" s="33" t="b">
        <f t="shared" si="37"/>
        <v>0</v>
      </c>
      <c r="I279" s="33" t="b">
        <f t="shared" si="38"/>
        <v>0</v>
      </c>
      <c r="J279" s="33" t="b">
        <f t="shared" si="39"/>
        <v>0</v>
      </c>
      <c r="K279" s="33">
        <f t="shared" si="43"/>
        <v>0.33333333333333331</v>
      </c>
      <c r="L279" s="43"/>
      <c r="M279" s="43"/>
      <c r="N279" s="44"/>
      <c r="O279" s="44"/>
      <c r="P279" s="44"/>
      <c r="Q279" s="44"/>
      <c r="R279" s="36" t="str">
        <f t="shared" si="40"/>
        <v>--</v>
      </c>
      <c r="S279" s="45"/>
      <c r="T279" s="48"/>
      <c r="U279" s="45"/>
      <c r="V279" s="45"/>
      <c r="W279" s="45"/>
      <c r="X279" s="45"/>
      <c r="Y279" s="45"/>
      <c r="Z279" s="77"/>
    </row>
    <row r="280" spans="1:26" ht="15.75" hidden="1" x14ac:dyDescent="0.25">
      <c r="A280" s="37">
        <v>42644</v>
      </c>
      <c r="B280" s="84">
        <f t="shared" si="41"/>
        <v>39</v>
      </c>
      <c r="C280" s="41"/>
      <c r="D280" s="41"/>
      <c r="E280" s="42"/>
      <c r="F280" s="33" t="str">
        <f t="shared" si="36"/>
        <v>--</v>
      </c>
      <c r="G280" s="88" t="b">
        <f t="shared" si="42"/>
        <v>1</v>
      </c>
      <c r="H280" s="33" t="b">
        <f t="shared" si="37"/>
        <v>0</v>
      </c>
      <c r="I280" s="33" t="b">
        <f t="shared" si="38"/>
        <v>0</v>
      </c>
      <c r="J280" s="33" t="b">
        <f t="shared" si="39"/>
        <v>0</v>
      </c>
      <c r="K280" s="33">
        <f t="shared" si="43"/>
        <v>0</v>
      </c>
      <c r="L280" s="43"/>
      <c r="M280" s="43"/>
      <c r="N280" s="44"/>
      <c r="O280" s="44"/>
      <c r="P280" s="44"/>
      <c r="Q280" s="44"/>
      <c r="R280" s="36" t="str">
        <f t="shared" si="40"/>
        <v>--</v>
      </c>
      <c r="S280" s="45"/>
      <c r="T280" s="48"/>
      <c r="U280" s="45"/>
      <c r="V280" s="45"/>
      <c r="W280" s="45"/>
      <c r="X280" s="45"/>
      <c r="Y280" s="45"/>
      <c r="Z280" s="77"/>
    </row>
    <row r="281" spans="1:26" ht="15.75" hidden="1" x14ac:dyDescent="0.25">
      <c r="A281" s="37">
        <v>42645</v>
      </c>
      <c r="B281" s="84">
        <f t="shared" si="41"/>
        <v>39</v>
      </c>
      <c r="C281" s="41"/>
      <c r="D281" s="41"/>
      <c r="E281" s="42"/>
      <c r="F281" s="33" t="str">
        <f t="shared" si="36"/>
        <v>--</v>
      </c>
      <c r="G281" s="88" t="b">
        <f t="shared" si="42"/>
        <v>1</v>
      </c>
      <c r="H281" s="33" t="b">
        <f t="shared" si="37"/>
        <v>0</v>
      </c>
      <c r="I281" s="33" t="b">
        <f t="shared" si="38"/>
        <v>0</v>
      </c>
      <c r="J281" s="33" t="b">
        <f t="shared" si="39"/>
        <v>0</v>
      </c>
      <c r="K281" s="33">
        <f t="shared" si="43"/>
        <v>0</v>
      </c>
      <c r="L281" s="43"/>
      <c r="M281" s="43"/>
      <c r="N281" s="44"/>
      <c r="O281" s="44"/>
      <c r="P281" s="44"/>
      <c r="Q281" s="44"/>
      <c r="R281" s="36" t="str">
        <f t="shared" si="40"/>
        <v>--</v>
      </c>
      <c r="S281" s="45"/>
      <c r="T281" s="48"/>
      <c r="U281" s="45"/>
      <c r="V281" s="45"/>
      <c r="W281" s="45"/>
      <c r="X281" s="45"/>
      <c r="Y281" s="45"/>
      <c r="Z281" s="77"/>
    </row>
    <row r="282" spans="1:26" ht="15.75" hidden="1" x14ac:dyDescent="0.25">
      <c r="A282" s="37">
        <v>42646</v>
      </c>
      <c r="B282" s="84">
        <f t="shared" si="41"/>
        <v>40</v>
      </c>
      <c r="C282" s="41"/>
      <c r="D282" s="41">
        <v>3.125E-2</v>
      </c>
      <c r="E282" s="42"/>
      <c r="F282" s="33" t="str">
        <f t="shared" si="36"/>
        <v>--</v>
      </c>
      <c r="G282" s="88" t="b">
        <f t="shared" si="42"/>
        <v>0</v>
      </c>
      <c r="H282" s="33" t="b">
        <f t="shared" si="37"/>
        <v>0</v>
      </c>
      <c r="I282" s="33" t="b">
        <f t="shared" si="38"/>
        <v>0</v>
      </c>
      <c r="J282" s="33" t="b">
        <f t="shared" si="39"/>
        <v>0</v>
      </c>
      <c r="K282" s="33">
        <f t="shared" si="43"/>
        <v>0.33333333333333331</v>
      </c>
      <c r="L282" s="43"/>
      <c r="M282" s="43"/>
      <c r="N282" s="44"/>
      <c r="O282" s="44"/>
      <c r="P282" s="44"/>
      <c r="Q282" s="44"/>
      <c r="R282" s="36" t="str">
        <f t="shared" si="40"/>
        <v>--</v>
      </c>
      <c r="S282" s="45"/>
      <c r="T282" s="48"/>
      <c r="U282" s="45"/>
      <c r="V282" s="45"/>
      <c r="W282" s="45"/>
      <c r="X282" s="45"/>
      <c r="Y282" s="45"/>
      <c r="Z282" s="77"/>
    </row>
    <row r="283" spans="1:26" ht="15.75" hidden="1" x14ac:dyDescent="0.25">
      <c r="A283" s="37">
        <v>42647</v>
      </c>
      <c r="B283" s="84">
        <f t="shared" si="41"/>
        <v>40</v>
      </c>
      <c r="C283" s="41"/>
      <c r="D283" s="41">
        <v>3.125E-2</v>
      </c>
      <c r="E283" s="42"/>
      <c r="F283" s="33" t="str">
        <f t="shared" si="36"/>
        <v>--</v>
      </c>
      <c r="G283" s="88" t="b">
        <f t="shared" si="42"/>
        <v>0</v>
      </c>
      <c r="H283" s="33" t="b">
        <f t="shared" si="37"/>
        <v>0</v>
      </c>
      <c r="I283" s="33" t="b">
        <f t="shared" si="38"/>
        <v>0</v>
      </c>
      <c r="J283" s="33" t="b">
        <f t="shared" si="39"/>
        <v>0</v>
      </c>
      <c r="K283" s="33">
        <f t="shared" si="43"/>
        <v>0.33333333333333331</v>
      </c>
      <c r="L283" s="43"/>
      <c r="M283" s="43"/>
      <c r="N283" s="44"/>
      <c r="O283" s="44"/>
      <c r="P283" s="44"/>
      <c r="Q283" s="44"/>
      <c r="R283" s="36" t="str">
        <f t="shared" si="40"/>
        <v>--</v>
      </c>
      <c r="S283" s="45"/>
      <c r="T283" s="48"/>
      <c r="U283" s="45"/>
      <c r="V283" s="45"/>
      <c r="W283" s="45"/>
      <c r="X283" s="45"/>
      <c r="Y283" s="45"/>
      <c r="Z283" s="77"/>
    </row>
    <row r="284" spans="1:26" ht="15.75" hidden="1" x14ac:dyDescent="0.25">
      <c r="A284" s="37">
        <v>42648</v>
      </c>
      <c r="B284" s="84">
        <f t="shared" si="41"/>
        <v>40</v>
      </c>
      <c r="C284" s="41"/>
      <c r="D284" s="41">
        <v>3.125E-2</v>
      </c>
      <c r="E284" s="42"/>
      <c r="F284" s="33" t="str">
        <f t="shared" si="36"/>
        <v>--</v>
      </c>
      <c r="G284" s="88" t="b">
        <f t="shared" si="42"/>
        <v>0</v>
      </c>
      <c r="H284" s="33" t="b">
        <f t="shared" si="37"/>
        <v>0</v>
      </c>
      <c r="I284" s="33" t="b">
        <f t="shared" si="38"/>
        <v>0</v>
      </c>
      <c r="J284" s="33" t="b">
        <f t="shared" si="39"/>
        <v>0</v>
      </c>
      <c r="K284" s="33">
        <f t="shared" si="43"/>
        <v>0.33333333333333331</v>
      </c>
      <c r="L284" s="43"/>
      <c r="M284" s="43"/>
      <c r="N284" s="44"/>
      <c r="O284" s="44"/>
      <c r="P284" s="44"/>
      <c r="Q284" s="44"/>
      <c r="R284" s="36" t="str">
        <f t="shared" si="40"/>
        <v>--</v>
      </c>
      <c r="S284" s="45"/>
      <c r="T284" s="48"/>
      <c r="U284" s="45"/>
      <c r="V284" s="45"/>
      <c r="W284" s="45"/>
      <c r="X284" s="45"/>
      <c r="Y284" s="45"/>
      <c r="Z284" s="77"/>
    </row>
    <row r="285" spans="1:26" ht="15.75" hidden="1" x14ac:dyDescent="0.25">
      <c r="A285" s="37">
        <v>42649</v>
      </c>
      <c r="B285" s="84">
        <f t="shared" si="41"/>
        <v>40</v>
      </c>
      <c r="C285" s="41"/>
      <c r="D285" s="41">
        <v>3.125E-2</v>
      </c>
      <c r="E285" s="42"/>
      <c r="F285" s="33" t="str">
        <f t="shared" si="36"/>
        <v>--</v>
      </c>
      <c r="G285" s="88" t="b">
        <f t="shared" si="42"/>
        <v>0</v>
      </c>
      <c r="H285" s="33" t="b">
        <f t="shared" si="37"/>
        <v>0</v>
      </c>
      <c r="I285" s="33" t="b">
        <f t="shared" si="38"/>
        <v>0</v>
      </c>
      <c r="J285" s="33" t="b">
        <f t="shared" si="39"/>
        <v>0</v>
      </c>
      <c r="K285" s="33">
        <f t="shared" si="43"/>
        <v>0.33333333333333331</v>
      </c>
      <c r="L285" s="43"/>
      <c r="M285" s="43"/>
      <c r="N285" s="44"/>
      <c r="O285" s="44"/>
      <c r="P285" s="44"/>
      <c r="Q285" s="44"/>
      <c r="R285" s="36" t="str">
        <f t="shared" si="40"/>
        <v>--</v>
      </c>
      <c r="S285" s="45"/>
      <c r="T285" s="48"/>
      <c r="U285" s="45"/>
      <c r="V285" s="45"/>
      <c r="W285" s="45"/>
      <c r="X285" s="45"/>
      <c r="Y285" s="45"/>
      <c r="Z285" s="77"/>
    </row>
    <row r="286" spans="1:26" ht="15.75" hidden="1" x14ac:dyDescent="0.25">
      <c r="A286" s="37">
        <v>42650</v>
      </c>
      <c r="B286" s="84">
        <f t="shared" si="41"/>
        <v>40</v>
      </c>
      <c r="C286" s="41"/>
      <c r="D286" s="41">
        <v>3.125E-2</v>
      </c>
      <c r="E286" s="42"/>
      <c r="F286" s="33" t="str">
        <f t="shared" si="36"/>
        <v>--</v>
      </c>
      <c r="G286" s="88" t="b">
        <f t="shared" si="42"/>
        <v>0</v>
      </c>
      <c r="H286" s="33" t="b">
        <f t="shared" si="37"/>
        <v>0</v>
      </c>
      <c r="I286" s="33" t="b">
        <f t="shared" si="38"/>
        <v>0</v>
      </c>
      <c r="J286" s="33" t="b">
        <f t="shared" si="39"/>
        <v>0</v>
      </c>
      <c r="K286" s="33">
        <f t="shared" si="43"/>
        <v>0.33333333333333331</v>
      </c>
      <c r="L286" s="43"/>
      <c r="M286" s="43"/>
      <c r="N286" s="44"/>
      <c r="O286" s="44"/>
      <c r="P286" s="44"/>
      <c r="Q286" s="44"/>
      <c r="R286" s="36" t="str">
        <f t="shared" si="40"/>
        <v>--</v>
      </c>
      <c r="S286" s="45"/>
      <c r="T286" s="48"/>
      <c r="U286" s="45"/>
      <c r="V286" s="45"/>
      <c r="W286" s="45"/>
      <c r="X286" s="45"/>
      <c r="Y286" s="45"/>
      <c r="Z286" s="77"/>
    </row>
    <row r="287" spans="1:26" ht="15.75" hidden="1" x14ac:dyDescent="0.25">
      <c r="A287" s="37">
        <v>42651</v>
      </c>
      <c r="B287" s="84">
        <f t="shared" si="41"/>
        <v>40</v>
      </c>
      <c r="C287" s="41"/>
      <c r="D287" s="41"/>
      <c r="E287" s="42"/>
      <c r="F287" s="33" t="str">
        <f t="shared" si="36"/>
        <v>--</v>
      </c>
      <c r="G287" s="88" t="b">
        <f t="shared" si="42"/>
        <v>1</v>
      </c>
      <c r="H287" s="33" t="b">
        <f t="shared" si="37"/>
        <v>0</v>
      </c>
      <c r="I287" s="33" t="b">
        <f t="shared" si="38"/>
        <v>0</v>
      </c>
      <c r="J287" s="33" t="b">
        <f t="shared" si="39"/>
        <v>0</v>
      </c>
      <c r="K287" s="33">
        <f t="shared" si="43"/>
        <v>0</v>
      </c>
      <c r="L287" s="43"/>
      <c r="M287" s="43"/>
      <c r="N287" s="44"/>
      <c r="O287" s="44"/>
      <c r="P287" s="44"/>
      <c r="Q287" s="44"/>
      <c r="R287" s="36" t="str">
        <f t="shared" si="40"/>
        <v>--</v>
      </c>
      <c r="S287" s="45"/>
      <c r="T287" s="48"/>
      <c r="U287" s="45"/>
      <c r="V287" s="45"/>
      <c r="W287" s="45"/>
      <c r="X287" s="45"/>
      <c r="Y287" s="45"/>
      <c r="Z287" s="77"/>
    </row>
    <row r="288" spans="1:26" ht="15.75" hidden="1" x14ac:dyDescent="0.25">
      <c r="A288" s="37">
        <v>42652</v>
      </c>
      <c r="B288" s="84">
        <f t="shared" si="41"/>
        <v>40</v>
      </c>
      <c r="C288" s="41"/>
      <c r="D288" s="41"/>
      <c r="E288" s="42"/>
      <c r="F288" s="33" t="str">
        <f t="shared" si="36"/>
        <v>--</v>
      </c>
      <c r="G288" s="88" t="b">
        <f t="shared" si="42"/>
        <v>1</v>
      </c>
      <c r="H288" s="33" t="b">
        <f t="shared" si="37"/>
        <v>0</v>
      </c>
      <c r="I288" s="33" t="b">
        <f t="shared" si="38"/>
        <v>0</v>
      </c>
      <c r="J288" s="33" t="b">
        <f t="shared" si="39"/>
        <v>0</v>
      </c>
      <c r="K288" s="33">
        <f t="shared" si="43"/>
        <v>0</v>
      </c>
      <c r="L288" s="43"/>
      <c r="M288" s="43"/>
      <c r="N288" s="44"/>
      <c r="O288" s="44"/>
      <c r="P288" s="44"/>
      <c r="Q288" s="44"/>
      <c r="R288" s="36" t="str">
        <f t="shared" si="40"/>
        <v>--</v>
      </c>
      <c r="S288" s="45"/>
      <c r="T288" s="48"/>
      <c r="U288" s="45"/>
      <c r="V288" s="45"/>
      <c r="W288" s="45"/>
      <c r="X288" s="45"/>
      <c r="Y288" s="45"/>
      <c r="Z288" s="77"/>
    </row>
    <row r="289" spans="1:26" ht="15.75" hidden="1" x14ac:dyDescent="0.25">
      <c r="A289" s="37">
        <v>42653</v>
      </c>
      <c r="B289" s="84">
        <f t="shared" si="41"/>
        <v>41</v>
      </c>
      <c r="C289" s="41"/>
      <c r="D289" s="41">
        <v>3.125E-2</v>
      </c>
      <c r="E289" s="42"/>
      <c r="F289" s="33" t="str">
        <f t="shared" si="36"/>
        <v>--</v>
      </c>
      <c r="G289" s="88" t="b">
        <f t="shared" si="42"/>
        <v>0</v>
      </c>
      <c r="H289" s="33" t="b">
        <f t="shared" si="37"/>
        <v>0</v>
      </c>
      <c r="I289" s="33" t="b">
        <f t="shared" si="38"/>
        <v>0</v>
      </c>
      <c r="J289" s="33" t="b">
        <f t="shared" si="39"/>
        <v>0</v>
      </c>
      <c r="K289" s="33">
        <f t="shared" si="43"/>
        <v>0.33333333333333331</v>
      </c>
      <c r="L289" s="43"/>
      <c r="M289" s="43"/>
      <c r="N289" s="44"/>
      <c r="O289" s="44"/>
      <c r="P289" s="44"/>
      <c r="Q289" s="44"/>
      <c r="R289" s="36" t="str">
        <f t="shared" si="40"/>
        <v>--</v>
      </c>
      <c r="S289" s="45"/>
      <c r="T289" s="48"/>
      <c r="U289" s="45"/>
      <c r="V289" s="45"/>
      <c r="W289" s="45"/>
      <c r="X289" s="45"/>
      <c r="Y289" s="45"/>
      <c r="Z289" s="77"/>
    </row>
    <row r="290" spans="1:26" ht="15.75" hidden="1" x14ac:dyDescent="0.25">
      <c r="A290" s="37">
        <v>42654</v>
      </c>
      <c r="B290" s="84">
        <f t="shared" si="41"/>
        <v>41</v>
      </c>
      <c r="C290" s="41"/>
      <c r="D290" s="41">
        <v>3.125E-2</v>
      </c>
      <c r="E290" s="42"/>
      <c r="F290" s="33" t="str">
        <f t="shared" si="36"/>
        <v>--</v>
      </c>
      <c r="G290" s="88" t="b">
        <f t="shared" si="42"/>
        <v>0</v>
      </c>
      <c r="H290" s="33" t="b">
        <f t="shared" si="37"/>
        <v>0</v>
      </c>
      <c r="I290" s="33" t="b">
        <f t="shared" si="38"/>
        <v>0</v>
      </c>
      <c r="J290" s="33" t="b">
        <f t="shared" si="39"/>
        <v>0</v>
      </c>
      <c r="K290" s="33">
        <f t="shared" si="43"/>
        <v>0.33333333333333331</v>
      </c>
      <c r="L290" s="43"/>
      <c r="M290" s="43"/>
      <c r="N290" s="44"/>
      <c r="O290" s="44"/>
      <c r="P290" s="44"/>
      <c r="Q290" s="44"/>
      <c r="R290" s="36" t="str">
        <f t="shared" si="40"/>
        <v>--</v>
      </c>
      <c r="S290" s="45"/>
      <c r="T290" s="48"/>
      <c r="U290" s="45"/>
      <c r="V290" s="45"/>
      <c r="W290" s="45"/>
      <c r="X290" s="45"/>
      <c r="Y290" s="45"/>
      <c r="Z290" s="77"/>
    </row>
    <row r="291" spans="1:26" ht="15.75" hidden="1" x14ac:dyDescent="0.25">
      <c r="A291" s="37">
        <v>42655</v>
      </c>
      <c r="B291" s="84">
        <f t="shared" si="41"/>
        <v>41</v>
      </c>
      <c r="C291" s="41"/>
      <c r="D291" s="41">
        <v>3.125E-2</v>
      </c>
      <c r="E291" s="42"/>
      <c r="F291" s="33" t="str">
        <f t="shared" si="36"/>
        <v>--</v>
      </c>
      <c r="G291" s="88" t="b">
        <f t="shared" si="42"/>
        <v>0</v>
      </c>
      <c r="H291" s="33" t="b">
        <f t="shared" si="37"/>
        <v>0</v>
      </c>
      <c r="I291" s="33" t="b">
        <f t="shared" si="38"/>
        <v>0</v>
      </c>
      <c r="J291" s="33" t="b">
        <f t="shared" si="39"/>
        <v>0</v>
      </c>
      <c r="K291" s="33">
        <f t="shared" si="43"/>
        <v>0.33333333333333331</v>
      </c>
      <c r="L291" s="43"/>
      <c r="M291" s="43"/>
      <c r="N291" s="44"/>
      <c r="O291" s="44"/>
      <c r="P291" s="44"/>
      <c r="Q291" s="44"/>
      <c r="R291" s="36" t="str">
        <f t="shared" si="40"/>
        <v>--</v>
      </c>
      <c r="S291" s="45"/>
      <c r="T291" s="48"/>
      <c r="U291" s="45"/>
      <c r="V291" s="45"/>
      <c r="W291" s="45"/>
      <c r="X291" s="45"/>
      <c r="Y291" s="45"/>
      <c r="Z291" s="77"/>
    </row>
    <row r="292" spans="1:26" ht="15.75" hidden="1" x14ac:dyDescent="0.25">
      <c r="A292" s="37">
        <v>42656</v>
      </c>
      <c r="B292" s="84">
        <f t="shared" si="41"/>
        <v>41</v>
      </c>
      <c r="C292" s="41"/>
      <c r="D292" s="41">
        <v>3.125E-2</v>
      </c>
      <c r="E292" s="42"/>
      <c r="F292" s="33" t="str">
        <f t="shared" si="36"/>
        <v>--</v>
      </c>
      <c r="G292" s="88" t="b">
        <f t="shared" si="42"/>
        <v>0</v>
      </c>
      <c r="H292" s="33" t="b">
        <f t="shared" si="37"/>
        <v>0</v>
      </c>
      <c r="I292" s="33" t="b">
        <f t="shared" si="38"/>
        <v>0</v>
      </c>
      <c r="J292" s="33" t="b">
        <f t="shared" si="39"/>
        <v>0</v>
      </c>
      <c r="K292" s="33">
        <f t="shared" si="43"/>
        <v>0.33333333333333331</v>
      </c>
      <c r="L292" s="43"/>
      <c r="M292" s="43"/>
      <c r="N292" s="44"/>
      <c r="O292" s="44"/>
      <c r="P292" s="44"/>
      <c r="Q292" s="44"/>
      <c r="R292" s="36" t="str">
        <f t="shared" si="40"/>
        <v>--</v>
      </c>
      <c r="S292" s="45"/>
      <c r="T292" s="48"/>
      <c r="U292" s="45"/>
      <c r="V292" s="45"/>
      <c r="W292" s="45"/>
      <c r="X292" s="45"/>
      <c r="Y292" s="45"/>
      <c r="Z292" s="77"/>
    </row>
    <row r="293" spans="1:26" ht="15.75" hidden="1" x14ac:dyDescent="0.25">
      <c r="A293" s="37">
        <v>42657</v>
      </c>
      <c r="B293" s="84">
        <f t="shared" si="41"/>
        <v>41</v>
      </c>
      <c r="C293" s="41"/>
      <c r="D293" s="41">
        <v>3.125E-2</v>
      </c>
      <c r="E293" s="42"/>
      <c r="F293" s="33" t="str">
        <f t="shared" si="36"/>
        <v>--</v>
      </c>
      <c r="G293" s="88" t="b">
        <f t="shared" si="42"/>
        <v>0</v>
      </c>
      <c r="H293" s="33" t="b">
        <f t="shared" si="37"/>
        <v>0</v>
      </c>
      <c r="I293" s="33" t="b">
        <f t="shared" si="38"/>
        <v>0</v>
      </c>
      <c r="J293" s="33" t="b">
        <f t="shared" si="39"/>
        <v>0</v>
      </c>
      <c r="K293" s="33">
        <f t="shared" si="43"/>
        <v>0.33333333333333331</v>
      </c>
      <c r="L293" s="43"/>
      <c r="M293" s="43"/>
      <c r="N293" s="44"/>
      <c r="O293" s="44"/>
      <c r="P293" s="44"/>
      <c r="Q293" s="44"/>
      <c r="R293" s="36" t="str">
        <f t="shared" si="40"/>
        <v>--</v>
      </c>
      <c r="S293" s="45"/>
      <c r="T293" s="48"/>
      <c r="U293" s="45"/>
      <c r="V293" s="45"/>
      <c r="W293" s="45"/>
      <c r="X293" s="45"/>
      <c r="Y293" s="45"/>
      <c r="Z293" s="77"/>
    </row>
    <row r="294" spans="1:26" ht="15.75" hidden="1" x14ac:dyDescent="0.25">
      <c r="A294" s="37">
        <v>42658</v>
      </c>
      <c r="B294" s="84">
        <f t="shared" si="41"/>
        <v>41</v>
      </c>
      <c r="C294" s="41"/>
      <c r="D294" s="41"/>
      <c r="E294" s="42"/>
      <c r="F294" s="33" t="str">
        <f t="shared" si="36"/>
        <v>--</v>
      </c>
      <c r="G294" s="88" t="b">
        <f t="shared" si="42"/>
        <v>1</v>
      </c>
      <c r="H294" s="33" t="b">
        <f t="shared" si="37"/>
        <v>0</v>
      </c>
      <c r="I294" s="33" t="b">
        <f t="shared" si="38"/>
        <v>0</v>
      </c>
      <c r="J294" s="33" t="b">
        <f t="shared" si="39"/>
        <v>0</v>
      </c>
      <c r="K294" s="33">
        <f t="shared" si="43"/>
        <v>0</v>
      </c>
      <c r="L294" s="43"/>
      <c r="M294" s="43"/>
      <c r="N294" s="44"/>
      <c r="O294" s="44"/>
      <c r="P294" s="44"/>
      <c r="Q294" s="44"/>
      <c r="R294" s="36" t="str">
        <f t="shared" si="40"/>
        <v>--</v>
      </c>
      <c r="S294" s="45"/>
      <c r="T294" s="48"/>
      <c r="U294" s="45"/>
      <c r="V294" s="45"/>
      <c r="W294" s="45"/>
      <c r="X294" s="45"/>
      <c r="Y294" s="45"/>
      <c r="Z294" s="77"/>
    </row>
    <row r="295" spans="1:26" ht="15.75" hidden="1" x14ac:dyDescent="0.25">
      <c r="A295" s="37">
        <v>42659</v>
      </c>
      <c r="B295" s="84">
        <f t="shared" si="41"/>
        <v>41</v>
      </c>
      <c r="C295" s="41"/>
      <c r="D295" s="41"/>
      <c r="E295" s="42"/>
      <c r="F295" s="33" t="str">
        <f t="shared" si="36"/>
        <v>--</v>
      </c>
      <c r="G295" s="88" t="b">
        <f t="shared" si="42"/>
        <v>1</v>
      </c>
      <c r="H295" s="33" t="b">
        <f t="shared" si="37"/>
        <v>0</v>
      </c>
      <c r="I295" s="33" t="b">
        <f t="shared" si="38"/>
        <v>0</v>
      </c>
      <c r="J295" s="33" t="b">
        <f t="shared" si="39"/>
        <v>0</v>
      </c>
      <c r="K295" s="33">
        <f t="shared" si="43"/>
        <v>0</v>
      </c>
      <c r="L295" s="43"/>
      <c r="M295" s="43"/>
      <c r="N295" s="44"/>
      <c r="O295" s="44"/>
      <c r="P295" s="44"/>
      <c r="Q295" s="44"/>
      <c r="R295" s="36" t="str">
        <f t="shared" si="40"/>
        <v>--</v>
      </c>
      <c r="S295" s="45"/>
      <c r="T295" s="48"/>
      <c r="U295" s="45"/>
      <c r="V295" s="45"/>
      <c r="W295" s="45"/>
      <c r="X295" s="45"/>
      <c r="Y295" s="45"/>
      <c r="Z295" s="77"/>
    </row>
    <row r="296" spans="1:26" ht="15.75" hidden="1" x14ac:dyDescent="0.25">
      <c r="A296" s="37">
        <v>42660</v>
      </c>
      <c r="B296" s="84">
        <f t="shared" si="41"/>
        <v>42</v>
      </c>
      <c r="C296" s="41"/>
      <c r="D296" s="41">
        <v>3.125E-2</v>
      </c>
      <c r="E296" s="42"/>
      <c r="F296" s="33" t="str">
        <f t="shared" si="36"/>
        <v>--</v>
      </c>
      <c r="G296" s="88" t="b">
        <f t="shared" si="42"/>
        <v>0</v>
      </c>
      <c r="H296" s="33" t="b">
        <f t="shared" si="37"/>
        <v>0</v>
      </c>
      <c r="I296" s="33" t="b">
        <f t="shared" si="38"/>
        <v>0</v>
      </c>
      <c r="J296" s="33" t="b">
        <f t="shared" si="39"/>
        <v>0</v>
      </c>
      <c r="K296" s="33">
        <f t="shared" si="43"/>
        <v>0.33333333333333331</v>
      </c>
      <c r="L296" s="43"/>
      <c r="M296" s="43"/>
      <c r="N296" s="44"/>
      <c r="O296" s="44"/>
      <c r="P296" s="44"/>
      <c r="Q296" s="44"/>
      <c r="R296" s="36" t="str">
        <f t="shared" si="40"/>
        <v>--</v>
      </c>
      <c r="S296" s="45"/>
      <c r="T296" s="48"/>
      <c r="U296" s="45"/>
      <c r="V296" s="45"/>
      <c r="W296" s="45"/>
      <c r="X296" s="45"/>
      <c r="Y296" s="45"/>
      <c r="Z296" s="77"/>
    </row>
    <row r="297" spans="1:26" ht="15.75" hidden="1" x14ac:dyDescent="0.25">
      <c r="A297" s="37">
        <v>42661</v>
      </c>
      <c r="B297" s="84">
        <f t="shared" si="41"/>
        <v>42</v>
      </c>
      <c r="C297" s="41"/>
      <c r="D297" s="41">
        <v>3.125E-2</v>
      </c>
      <c r="E297" s="42"/>
      <c r="F297" s="33" t="str">
        <f t="shared" si="36"/>
        <v>--</v>
      </c>
      <c r="G297" s="88" t="b">
        <f t="shared" si="42"/>
        <v>0</v>
      </c>
      <c r="H297" s="33" t="b">
        <f t="shared" si="37"/>
        <v>0</v>
      </c>
      <c r="I297" s="33" t="b">
        <f t="shared" si="38"/>
        <v>0</v>
      </c>
      <c r="J297" s="33" t="b">
        <f t="shared" si="39"/>
        <v>0</v>
      </c>
      <c r="K297" s="33">
        <f t="shared" si="43"/>
        <v>0.33333333333333331</v>
      </c>
      <c r="L297" s="43"/>
      <c r="M297" s="43"/>
      <c r="N297" s="44"/>
      <c r="O297" s="44"/>
      <c r="P297" s="44"/>
      <c r="Q297" s="44"/>
      <c r="R297" s="36" t="str">
        <f t="shared" si="40"/>
        <v>--</v>
      </c>
      <c r="S297" s="45"/>
      <c r="T297" s="48"/>
      <c r="U297" s="45"/>
      <c r="V297" s="45"/>
      <c r="W297" s="45"/>
      <c r="X297" s="45"/>
      <c r="Y297" s="45"/>
      <c r="Z297" s="77"/>
    </row>
    <row r="298" spans="1:26" ht="15.75" hidden="1" x14ac:dyDescent="0.25">
      <c r="A298" s="37">
        <v>42662</v>
      </c>
      <c r="B298" s="84">
        <f t="shared" si="41"/>
        <v>42</v>
      </c>
      <c r="C298" s="41"/>
      <c r="D298" s="41">
        <v>3.125E-2</v>
      </c>
      <c r="E298" s="42"/>
      <c r="F298" s="33" t="str">
        <f t="shared" si="36"/>
        <v>--</v>
      </c>
      <c r="G298" s="88" t="b">
        <f t="shared" si="42"/>
        <v>0</v>
      </c>
      <c r="H298" s="33" t="b">
        <f t="shared" si="37"/>
        <v>0</v>
      </c>
      <c r="I298" s="33" t="b">
        <f t="shared" si="38"/>
        <v>0</v>
      </c>
      <c r="J298" s="33" t="b">
        <f t="shared" si="39"/>
        <v>0</v>
      </c>
      <c r="K298" s="33">
        <f t="shared" si="43"/>
        <v>0.33333333333333331</v>
      </c>
      <c r="L298" s="43"/>
      <c r="M298" s="43"/>
      <c r="N298" s="44"/>
      <c r="O298" s="44"/>
      <c r="P298" s="44"/>
      <c r="Q298" s="44"/>
      <c r="R298" s="36" t="str">
        <f t="shared" si="40"/>
        <v>--</v>
      </c>
      <c r="S298" s="45"/>
      <c r="T298" s="48"/>
      <c r="U298" s="45"/>
      <c r="V298" s="45"/>
      <c r="W298" s="45"/>
      <c r="X298" s="45"/>
      <c r="Y298" s="45"/>
      <c r="Z298" s="77"/>
    </row>
    <row r="299" spans="1:26" ht="15.75" hidden="1" x14ac:dyDescent="0.25">
      <c r="A299" s="37">
        <v>42663</v>
      </c>
      <c r="B299" s="84">
        <f t="shared" si="41"/>
        <v>42</v>
      </c>
      <c r="C299" s="41"/>
      <c r="D299" s="41">
        <v>3.125E-2</v>
      </c>
      <c r="E299" s="42"/>
      <c r="F299" s="33" t="str">
        <f t="shared" si="36"/>
        <v>--</v>
      </c>
      <c r="G299" s="88" t="b">
        <f t="shared" si="42"/>
        <v>0</v>
      </c>
      <c r="H299" s="33" t="b">
        <f t="shared" si="37"/>
        <v>0</v>
      </c>
      <c r="I299" s="33" t="b">
        <f t="shared" si="38"/>
        <v>0</v>
      </c>
      <c r="J299" s="33" t="b">
        <f t="shared" si="39"/>
        <v>0</v>
      </c>
      <c r="K299" s="33">
        <f t="shared" si="43"/>
        <v>0.33333333333333331</v>
      </c>
      <c r="L299" s="43"/>
      <c r="M299" s="43"/>
      <c r="N299" s="44"/>
      <c r="O299" s="44"/>
      <c r="P299" s="44"/>
      <c r="Q299" s="44"/>
      <c r="R299" s="36" t="str">
        <f t="shared" si="40"/>
        <v>--</v>
      </c>
      <c r="S299" s="45"/>
      <c r="T299" s="48"/>
      <c r="U299" s="45"/>
      <c r="V299" s="45"/>
      <c r="W299" s="45"/>
      <c r="X299" s="45"/>
      <c r="Y299" s="45"/>
      <c r="Z299" s="77"/>
    </row>
    <row r="300" spans="1:26" ht="15.75" hidden="1" x14ac:dyDescent="0.25">
      <c r="A300" s="37">
        <v>42664</v>
      </c>
      <c r="B300" s="84">
        <f t="shared" si="41"/>
        <v>42</v>
      </c>
      <c r="C300" s="41"/>
      <c r="D300" s="41">
        <v>3.125E-2</v>
      </c>
      <c r="E300" s="42"/>
      <c r="F300" s="33" t="str">
        <f t="shared" si="36"/>
        <v>--</v>
      </c>
      <c r="G300" s="88" t="b">
        <f t="shared" si="42"/>
        <v>0</v>
      </c>
      <c r="H300" s="33" t="b">
        <f t="shared" si="37"/>
        <v>0</v>
      </c>
      <c r="I300" s="33" t="b">
        <f t="shared" si="38"/>
        <v>0</v>
      </c>
      <c r="J300" s="33" t="b">
        <f t="shared" si="39"/>
        <v>0</v>
      </c>
      <c r="K300" s="33">
        <f t="shared" si="43"/>
        <v>0.33333333333333331</v>
      </c>
      <c r="L300" s="43"/>
      <c r="M300" s="43"/>
      <c r="N300" s="44"/>
      <c r="O300" s="44"/>
      <c r="P300" s="44"/>
      <c r="Q300" s="44"/>
      <c r="R300" s="36" t="str">
        <f t="shared" si="40"/>
        <v>--</v>
      </c>
      <c r="S300" s="45"/>
      <c r="T300" s="48"/>
      <c r="U300" s="45"/>
      <c r="V300" s="45"/>
      <c r="W300" s="45"/>
      <c r="X300" s="45"/>
      <c r="Y300" s="45"/>
      <c r="Z300" s="77"/>
    </row>
    <row r="301" spans="1:26" ht="15.75" hidden="1" x14ac:dyDescent="0.25">
      <c r="A301" s="37">
        <v>42665</v>
      </c>
      <c r="B301" s="84">
        <f t="shared" si="41"/>
        <v>42</v>
      </c>
      <c r="C301" s="41"/>
      <c r="D301" s="41"/>
      <c r="E301" s="42"/>
      <c r="F301" s="33" t="str">
        <f t="shared" si="36"/>
        <v>--</v>
      </c>
      <c r="G301" s="88" t="b">
        <f t="shared" si="42"/>
        <v>1</v>
      </c>
      <c r="H301" s="33" t="b">
        <f t="shared" si="37"/>
        <v>0</v>
      </c>
      <c r="I301" s="33" t="b">
        <f t="shared" si="38"/>
        <v>0</v>
      </c>
      <c r="J301" s="33" t="b">
        <f t="shared" si="39"/>
        <v>0</v>
      </c>
      <c r="K301" s="33">
        <f t="shared" si="43"/>
        <v>0</v>
      </c>
      <c r="L301" s="43"/>
      <c r="M301" s="43"/>
      <c r="N301" s="44"/>
      <c r="O301" s="44"/>
      <c r="P301" s="44"/>
      <c r="Q301" s="44"/>
      <c r="R301" s="36" t="str">
        <f t="shared" si="40"/>
        <v>--</v>
      </c>
      <c r="S301" s="45"/>
      <c r="T301" s="48"/>
      <c r="U301" s="45"/>
      <c r="V301" s="45"/>
      <c r="W301" s="45"/>
      <c r="X301" s="45"/>
      <c r="Y301" s="45"/>
      <c r="Z301" s="77"/>
    </row>
    <row r="302" spans="1:26" ht="15.75" hidden="1" x14ac:dyDescent="0.25">
      <c r="A302" s="37">
        <v>42666</v>
      </c>
      <c r="B302" s="84">
        <f t="shared" si="41"/>
        <v>42</v>
      </c>
      <c r="C302" s="41"/>
      <c r="D302" s="41"/>
      <c r="E302" s="42"/>
      <c r="F302" s="33" t="str">
        <f t="shared" si="36"/>
        <v>--</v>
      </c>
      <c r="G302" s="88" t="b">
        <f t="shared" si="42"/>
        <v>1</v>
      </c>
      <c r="H302" s="33" t="b">
        <f t="shared" si="37"/>
        <v>0</v>
      </c>
      <c r="I302" s="33" t="b">
        <f t="shared" si="38"/>
        <v>0</v>
      </c>
      <c r="J302" s="33" t="b">
        <f t="shared" si="39"/>
        <v>0</v>
      </c>
      <c r="K302" s="33">
        <f t="shared" si="43"/>
        <v>0</v>
      </c>
      <c r="L302" s="43"/>
      <c r="M302" s="43"/>
      <c r="N302" s="44"/>
      <c r="O302" s="44"/>
      <c r="P302" s="44"/>
      <c r="Q302" s="44"/>
      <c r="R302" s="36" t="str">
        <f t="shared" si="40"/>
        <v>--</v>
      </c>
      <c r="S302" s="45"/>
      <c r="T302" s="48"/>
      <c r="U302" s="45"/>
      <c r="V302" s="45"/>
      <c r="W302" s="45"/>
      <c r="X302" s="45"/>
      <c r="Y302" s="45"/>
      <c r="Z302" s="77"/>
    </row>
    <row r="303" spans="1:26" ht="15.75" hidden="1" x14ac:dyDescent="0.25">
      <c r="A303" s="37">
        <v>42667</v>
      </c>
      <c r="B303" s="84">
        <f t="shared" si="41"/>
        <v>43</v>
      </c>
      <c r="C303" s="41"/>
      <c r="D303" s="41">
        <v>3.125E-2</v>
      </c>
      <c r="E303" s="42"/>
      <c r="F303" s="33" t="str">
        <f t="shared" si="36"/>
        <v>--</v>
      </c>
      <c r="G303" s="88" t="b">
        <f t="shared" si="42"/>
        <v>0</v>
      </c>
      <c r="H303" s="33" t="b">
        <f t="shared" si="37"/>
        <v>0</v>
      </c>
      <c r="I303" s="33" t="b">
        <f t="shared" si="38"/>
        <v>0</v>
      </c>
      <c r="J303" s="33" t="b">
        <f t="shared" si="39"/>
        <v>0</v>
      </c>
      <c r="K303" s="33">
        <f t="shared" si="43"/>
        <v>0.33333333333333331</v>
      </c>
      <c r="L303" s="43"/>
      <c r="M303" s="43"/>
      <c r="N303" s="44"/>
      <c r="O303" s="44"/>
      <c r="P303" s="44"/>
      <c r="Q303" s="44"/>
      <c r="R303" s="36" t="str">
        <f t="shared" si="40"/>
        <v>--</v>
      </c>
      <c r="S303" s="45"/>
      <c r="T303" s="48"/>
      <c r="U303" s="45"/>
      <c r="V303" s="45"/>
      <c r="W303" s="45"/>
      <c r="X303" s="45"/>
      <c r="Y303" s="45"/>
      <c r="Z303" s="77"/>
    </row>
    <row r="304" spans="1:26" ht="15.75" hidden="1" x14ac:dyDescent="0.25">
      <c r="A304" s="37">
        <v>42668</v>
      </c>
      <c r="B304" s="84">
        <f t="shared" si="41"/>
        <v>43</v>
      </c>
      <c r="C304" s="41"/>
      <c r="D304" s="41">
        <v>3.125E-2</v>
      </c>
      <c r="E304" s="42"/>
      <c r="F304" s="33" t="str">
        <f t="shared" si="36"/>
        <v>--</v>
      </c>
      <c r="G304" s="88" t="b">
        <f t="shared" si="42"/>
        <v>0</v>
      </c>
      <c r="H304" s="33" t="b">
        <f t="shared" si="37"/>
        <v>0</v>
      </c>
      <c r="I304" s="33" t="b">
        <f t="shared" si="38"/>
        <v>0</v>
      </c>
      <c r="J304" s="33" t="b">
        <f t="shared" si="39"/>
        <v>0</v>
      </c>
      <c r="K304" s="33">
        <f t="shared" si="43"/>
        <v>0.33333333333333331</v>
      </c>
      <c r="L304" s="43"/>
      <c r="M304" s="43"/>
      <c r="N304" s="44"/>
      <c r="O304" s="44"/>
      <c r="P304" s="44"/>
      <c r="Q304" s="44"/>
      <c r="R304" s="36" t="str">
        <f t="shared" si="40"/>
        <v>--</v>
      </c>
      <c r="S304" s="45"/>
      <c r="T304" s="48"/>
      <c r="U304" s="45"/>
      <c r="V304" s="45"/>
      <c r="W304" s="45"/>
      <c r="X304" s="45"/>
      <c r="Y304" s="45"/>
      <c r="Z304" s="77"/>
    </row>
    <row r="305" spans="1:26" ht="15.75" hidden="1" x14ac:dyDescent="0.25">
      <c r="A305" s="37">
        <v>42669</v>
      </c>
      <c r="B305" s="84">
        <f t="shared" si="41"/>
        <v>43</v>
      </c>
      <c r="C305" s="41"/>
      <c r="D305" s="41">
        <v>3.125E-2</v>
      </c>
      <c r="E305" s="42"/>
      <c r="F305" s="33" t="str">
        <f t="shared" si="36"/>
        <v>--</v>
      </c>
      <c r="G305" s="88" t="b">
        <f t="shared" si="42"/>
        <v>0</v>
      </c>
      <c r="H305" s="33" t="b">
        <f t="shared" si="37"/>
        <v>0</v>
      </c>
      <c r="I305" s="33" t="b">
        <f t="shared" si="38"/>
        <v>0</v>
      </c>
      <c r="J305" s="33" t="b">
        <f t="shared" si="39"/>
        <v>0</v>
      </c>
      <c r="K305" s="33">
        <f t="shared" si="43"/>
        <v>0.33333333333333331</v>
      </c>
      <c r="L305" s="43"/>
      <c r="M305" s="43"/>
      <c r="N305" s="44"/>
      <c r="O305" s="44"/>
      <c r="P305" s="44"/>
      <c r="Q305" s="44"/>
      <c r="R305" s="36" t="str">
        <f t="shared" si="40"/>
        <v>--</v>
      </c>
      <c r="S305" s="45"/>
      <c r="T305" s="48"/>
      <c r="U305" s="45"/>
      <c r="V305" s="45"/>
      <c r="W305" s="45"/>
      <c r="X305" s="45"/>
      <c r="Y305" s="45"/>
      <c r="Z305" s="77"/>
    </row>
    <row r="306" spans="1:26" ht="15.75" hidden="1" x14ac:dyDescent="0.25">
      <c r="A306" s="37">
        <v>42670</v>
      </c>
      <c r="B306" s="84">
        <f t="shared" si="41"/>
        <v>43</v>
      </c>
      <c r="C306" s="41"/>
      <c r="D306" s="41">
        <v>3.125E-2</v>
      </c>
      <c r="E306" s="42"/>
      <c r="F306" s="33" t="str">
        <f t="shared" si="36"/>
        <v>--</v>
      </c>
      <c r="G306" s="88" t="b">
        <f t="shared" si="42"/>
        <v>0</v>
      </c>
      <c r="H306" s="33" t="b">
        <f t="shared" si="37"/>
        <v>0</v>
      </c>
      <c r="I306" s="33" t="b">
        <f t="shared" si="38"/>
        <v>0</v>
      </c>
      <c r="J306" s="33" t="b">
        <f t="shared" si="39"/>
        <v>0</v>
      </c>
      <c r="K306" s="33">
        <f t="shared" si="43"/>
        <v>0.33333333333333331</v>
      </c>
      <c r="L306" s="43"/>
      <c r="M306" s="43"/>
      <c r="N306" s="44"/>
      <c r="O306" s="44"/>
      <c r="P306" s="44"/>
      <c r="Q306" s="44"/>
      <c r="R306" s="36" t="str">
        <f t="shared" si="40"/>
        <v>--</v>
      </c>
      <c r="S306" s="45"/>
      <c r="T306" s="48"/>
      <c r="U306" s="45"/>
      <c r="V306" s="45"/>
      <c r="W306" s="45"/>
      <c r="X306" s="45"/>
      <c r="Y306" s="45"/>
      <c r="Z306" s="77"/>
    </row>
    <row r="307" spans="1:26" ht="15.75" hidden="1" x14ac:dyDescent="0.25">
      <c r="A307" s="37">
        <v>42671</v>
      </c>
      <c r="B307" s="84">
        <f t="shared" si="41"/>
        <v>43</v>
      </c>
      <c r="C307" s="41"/>
      <c r="D307" s="41">
        <v>3.125E-2</v>
      </c>
      <c r="E307" s="42"/>
      <c r="F307" s="33" t="str">
        <f t="shared" si="36"/>
        <v>--</v>
      </c>
      <c r="G307" s="88" t="b">
        <f t="shared" si="42"/>
        <v>0</v>
      </c>
      <c r="H307" s="33" t="b">
        <f t="shared" si="37"/>
        <v>0</v>
      </c>
      <c r="I307" s="33" t="b">
        <f t="shared" si="38"/>
        <v>0</v>
      </c>
      <c r="J307" s="33" t="b">
        <f t="shared" si="39"/>
        <v>0</v>
      </c>
      <c r="K307" s="33">
        <f t="shared" si="43"/>
        <v>0.33333333333333331</v>
      </c>
      <c r="L307" s="43"/>
      <c r="M307" s="43"/>
      <c r="N307" s="44"/>
      <c r="O307" s="44"/>
      <c r="P307" s="44"/>
      <c r="Q307" s="44"/>
      <c r="R307" s="36" t="str">
        <f t="shared" si="40"/>
        <v>--</v>
      </c>
      <c r="S307" s="45"/>
      <c r="T307" s="48"/>
      <c r="U307" s="45"/>
      <c r="V307" s="45"/>
      <c r="W307" s="45"/>
      <c r="X307" s="45"/>
      <c r="Y307" s="45"/>
      <c r="Z307" s="77"/>
    </row>
    <row r="308" spans="1:26" ht="15.75" hidden="1" x14ac:dyDescent="0.25">
      <c r="A308" s="37">
        <v>42672</v>
      </c>
      <c r="B308" s="84">
        <f t="shared" si="41"/>
        <v>43</v>
      </c>
      <c r="C308" s="41"/>
      <c r="D308" s="41"/>
      <c r="E308" s="42"/>
      <c r="F308" s="33" t="str">
        <f t="shared" si="36"/>
        <v>--</v>
      </c>
      <c r="G308" s="88" t="b">
        <f t="shared" si="42"/>
        <v>1</v>
      </c>
      <c r="H308" s="33" t="b">
        <f t="shared" si="37"/>
        <v>0</v>
      </c>
      <c r="I308" s="33" t="b">
        <f t="shared" si="38"/>
        <v>0</v>
      </c>
      <c r="J308" s="33" t="b">
        <f t="shared" si="39"/>
        <v>0</v>
      </c>
      <c r="K308" s="33">
        <f t="shared" si="43"/>
        <v>0</v>
      </c>
      <c r="L308" s="43"/>
      <c r="M308" s="43"/>
      <c r="N308" s="44"/>
      <c r="O308" s="44"/>
      <c r="P308" s="44"/>
      <c r="Q308" s="44"/>
      <c r="R308" s="36" t="str">
        <f t="shared" si="40"/>
        <v>--</v>
      </c>
      <c r="S308" s="45"/>
      <c r="T308" s="48"/>
      <c r="U308" s="45"/>
      <c r="V308" s="45"/>
      <c r="W308" s="45"/>
      <c r="X308" s="45"/>
      <c r="Y308" s="45"/>
      <c r="Z308" s="77"/>
    </row>
    <row r="309" spans="1:26" ht="15.75" hidden="1" x14ac:dyDescent="0.25">
      <c r="A309" s="37">
        <v>42673</v>
      </c>
      <c r="B309" s="84">
        <f t="shared" si="41"/>
        <v>43</v>
      </c>
      <c r="C309" s="41"/>
      <c r="D309" s="41"/>
      <c r="E309" s="42"/>
      <c r="F309" s="33" t="str">
        <f t="shared" si="36"/>
        <v>--</v>
      </c>
      <c r="G309" s="88" t="b">
        <f t="shared" si="42"/>
        <v>1</v>
      </c>
      <c r="H309" s="33" t="b">
        <f t="shared" si="37"/>
        <v>0</v>
      </c>
      <c r="I309" s="33" t="b">
        <f t="shared" si="38"/>
        <v>0</v>
      </c>
      <c r="J309" s="33" t="b">
        <f t="shared" si="39"/>
        <v>0</v>
      </c>
      <c r="K309" s="33">
        <f t="shared" si="43"/>
        <v>0</v>
      </c>
      <c r="L309" s="43"/>
      <c r="M309" s="43"/>
      <c r="N309" s="44"/>
      <c r="O309" s="44"/>
      <c r="P309" s="44"/>
      <c r="Q309" s="44"/>
      <c r="R309" s="36" t="str">
        <f t="shared" si="40"/>
        <v>--</v>
      </c>
      <c r="S309" s="45"/>
      <c r="T309" s="48"/>
      <c r="U309" s="45"/>
      <c r="V309" s="45"/>
      <c r="W309" s="45"/>
      <c r="X309" s="45"/>
      <c r="Y309" s="45"/>
      <c r="Z309" s="77"/>
    </row>
    <row r="310" spans="1:26" ht="15.75" hidden="1" x14ac:dyDescent="0.25">
      <c r="A310" s="37">
        <v>42674</v>
      </c>
      <c r="B310" s="84">
        <f t="shared" si="41"/>
        <v>44</v>
      </c>
      <c r="C310" s="41"/>
      <c r="D310" s="41">
        <v>3.125E-2</v>
      </c>
      <c r="E310" s="42"/>
      <c r="F310" s="33" t="str">
        <f t="shared" si="36"/>
        <v>--</v>
      </c>
      <c r="G310" s="88" t="b">
        <f t="shared" si="42"/>
        <v>0</v>
      </c>
      <c r="H310" s="33" t="b">
        <f t="shared" si="37"/>
        <v>0</v>
      </c>
      <c r="I310" s="33" t="b">
        <f t="shared" si="38"/>
        <v>0</v>
      </c>
      <c r="J310" s="33" t="b">
        <f t="shared" si="39"/>
        <v>0</v>
      </c>
      <c r="K310" s="33">
        <f t="shared" si="43"/>
        <v>0.33333333333333331</v>
      </c>
      <c r="L310" s="43"/>
      <c r="M310" s="43"/>
      <c r="N310" s="44"/>
      <c r="O310" s="44"/>
      <c r="P310" s="44"/>
      <c r="Q310" s="44"/>
      <c r="R310" s="36" t="str">
        <f t="shared" si="40"/>
        <v>--</v>
      </c>
      <c r="S310" s="45"/>
      <c r="T310" s="48"/>
      <c r="U310" s="45"/>
      <c r="V310" s="45"/>
      <c r="W310" s="45"/>
      <c r="X310" s="45"/>
      <c r="Y310" s="45"/>
      <c r="Z310" s="77"/>
    </row>
    <row r="311" spans="1:26" ht="15.75" hidden="1" x14ac:dyDescent="0.25">
      <c r="A311" s="37">
        <v>42675</v>
      </c>
      <c r="B311" s="84">
        <f t="shared" si="41"/>
        <v>44</v>
      </c>
      <c r="C311" s="41"/>
      <c r="D311" s="41">
        <v>3.125E-2</v>
      </c>
      <c r="E311" s="42"/>
      <c r="F311" s="33" t="str">
        <f t="shared" si="36"/>
        <v>--</v>
      </c>
      <c r="G311" s="88" t="b">
        <f t="shared" si="42"/>
        <v>0</v>
      </c>
      <c r="H311" s="33" t="b">
        <f t="shared" si="37"/>
        <v>0</v>
      </c>
      <c r="I311" s="33" t="b">
        <f t="shared" si="38"/>
        <v>0</v>
      </c>
      <c r="J311" s="33" t="b">
        <f t="shared" si="39"/>
        <v>0</v>
      </c>
      <c r="K311" s="33">
        <f t="shared" si="43"/>
        <v>0.33333333333333331</v>
      </c>
      <c r="L311" s="43"/>
      <c r="M311" s="43"/>
      <c r="N311" s="44"/>
      <c r="O311" s="44"/>
      <c r="P311" s="44"/>
      <c r="Q311" s="44"/>
      <c r="R311" s="36" t="str">
        <f t="shared" si="40"/>
        <v>--</v>
      </c>
      <c r="S311" s="45"/>
      <c r="T311" s="48"/>
      <c r="U311" s="45"/>
      <c r="V311" s="45"/>
      <c r="W311" s="45"/>
      <c r="X311" s="45"/>
      <c r="Y311" s="45"/>
      <c r="Z311" s="77"/>
    </row>
    <row r="312" spans="1:26" ht="15.75" hidden="1" x14ac:dyDescent="0.25">
      <c r="A312" s="37">
        <v>42676</v>
      </c>
      <c r="B312" s="84">
        <f t="shared" si="41"/>
        <v>44</v>
      </c>
      <c r="C312" s="41"/>
      <c r="D312" s="41">
        <v>3.125E-2</v>
      </c>
      <c r="E312" s="42"/>
      <c r="F312" s="33" t="str">
        <f t="shared" si="36"/>
        <v>--</v>
      </c>
      <c r="G312" s="88" t="b">
        <f t="shared" si="42"/>
        <v>0</v>
      </c>
      <c r="H312" s="33" t="b">
        <f t="shared" si="37"/>
        <v>0</v>
      </c>
      <c r="I312" s="33" t="b">
        <f t="shared" si="38"/>
        <v>0</v>
      </c>
      <c r="J312" s="33" t="b">
        <f t="shared" si="39"/>
        <v>0</v>
      </c>
      <c r="K312" s="33">
        <f t="shared" si="43"/>
        <v>0.33333333333333331</v>
      </c>
      <c r="L312" s="43"/>
      <c r="M312" s="43"/>
      <c r="N312" s="44"/>
      <c r="O312" s="44"/>
      <c r="P312" s="44"/>
      <c r="Q312" s="44"/>
      <c r="R312" s="36" t="str">
        <f t="shared" si="40"/>
        <v>--</v>
      </c>
      <c r="S312" s="45"/>
      <c r="T312" s="48"/>
      <c r="U312" s="45"/>
      <c r="V312" s="45"/>
      <c r="W312" s="45"/>
      <c r="X312" s="45"/>
      <c r="Y312" s="45"/>
      <c r="Z312" s="77"/>
    </row>
    <row r="313" spans="1:26" ht="15.75" hidden="1" x14ac:dyDescent="0.25">
      <c r="A313" s="37">
        <v>42677</v>
      </c>
      <c r="B313" s="84">
        <f t="shared" si="41"/>
        <v>44</v>
      </c>
      <c r="C313" s="41"/>
      <c r="D313" s="41">
        <v>3.125E-2</v>
      </c>
      <c r="E313" s="42"/>
      <c r="F313" s="33" t="str">
        <f t="shared" si="36"/>
        <v>--</v>
      </c>
      <c r="G313" s="88" t="b">
        <f t="shared" si="42"/>
        <v>0</v>
      </c>
      <c r="H313" s="33" t="b">
        <f t="shared" si="37"/>
        <v>0</v>
      </c>
      <c r="I313" s="33" t="b">
        <f t="shared" si="38"/>
        <v>0</v>
      </c>
      <c r="J313" s="33" t="b">
        <f t="shared" si="39"/>
        <v>0</v>
      </c>
      <c r="K313" s="33">
        <f t="shared" si="43"/>
        <v>0.33333333333333331</v>
      </c>
      <c r="L313" s="43"/>
      <c r="M313" s="43"/>
      <c r="N313" s="44"/>
      <c r="O313" s="44"/>
      <c r="P313" s="44"/>
      <c r="Q313" s="44"/>
      <c r="R313" s="36" t="str">
        <f t="shared" si="40"/>
        <v>--</v>
      </c>
      <c r="S313" s="45"/>
      <c r="T313" s="48"/>
      <c r="U313" s="45"/>
      <c r="V313" s="45"/>
      <c r="W313" s="45"/>
      <c r="X313" s="45"/>
      <c r="Y313" s="45"/>
      <c r="Z313" s="77"/>
    </row>
    <row r="314" spans="1:26" ht="15.75" hidden="1" x14ac:dyDescent="0.25">
      <c r="A314" s="37">
        <v>42678</v>
      </c>
      <c r="B314" s="84">
        <f t="shared" si="41"/>
        <v>44</v>
      </c>
      <c r="C314" s="41"/>
      <c r="D314" s="41">
        <v>3.125E-2</v>
      </c>
      <c r="E314" s="42"/>
      <c r="F314" s="33" t="str">
        <f t="shared" si="36"/>
        <v>--</v>
      </c>
      <c r="G314" s="88" t="b">
        <f t="shared" si="42"/>
        <v>0</v>
      </c>
      <c r="H314" s="33" t="b">
        <f t="shared" si="37"/>
        <v>0</v>
      </c>
      <c r="I314" s="33" t="b">
        <f t="shared" si="38"/>
        <v>0</v>
      </c>
      <c r="J314" s="33" t="b">
        <f t="shared" si="39"/>
        <v>0</v>
      </c>
      <c r="K314" s="33">
        <f t="shared" si="43"/>
        <v>0.33333333333333331</v>
      </c>
      <c r="L314" s="43"/>
      <c r="M314" s="43"/>
      <c r="N314" s="44"/>
      <c r="O314" s="44"/>
      <c r="P314" s="44"/>
      <c r="Q314" s="44"/>
      <c r="R314" s="36" t="str">
        <f t="shared" si="40"/>
        <v>--</v>
      </c>
      <c r="S314" s="45"/>
      <c r="T314" s="48"/>
      <c r="U314" s="45"/>
      <c r="V314" s="45"/>
      <c r="W314" s="45"/>
      <c r="X314" s="45"/>
      <c r="Y314" s="45"/>
      <c r="Z314" s="77"/>
    </row>
    <row r="315" spans="1:26" ht="15.75" hidden="1" x14ac:dyDescent="0.25">
      <c r="A315" s="37">
        <v>42679</v>
      </c>
      <c r="B315" s="84">
        <f t="shared" si="41"/>
        <v>44</v>
      </c>
      <c r="C315" s="41"/>
      <c r="D315" s="41"/>
      <c r="E315" s="42"/>
      <c r="F315" s="33" t="str">
        <f t="shared" si="36"/>
        <v>--</v>
      </c>
      <c r="G315" s="88" t="b">
        <f t="shared" si="42"/>
        <v>1</v>
      </c>
      <c r="H315" s="33" t="b">
        <f t="shared" si="37"/>
        <v>0</v>
      </c>
      <c r="I315" s="33" t="b">
        <f t="shared" si="38"/>
        <v>0</v>
      </c>
      <c r="J315" s="33" t="b">
        <f t="shared" si="39"/>
        <v>1</v>
      </c>
      <c r="K315" s="33">
        <f t="shared" si="43"/>
        <v>0</v>
      </c>
      <c r="L315" s="43"/>
      <c r="M315" s="43"/>
      <c r="N315" s="44"/>
      <c r="O315" s="44"/>
      <c r="P315" s="44"/>
      <c r="Q315" s="44"/>
      <c r="R315" s="36" t="str">
        <f t="shared" si="40"/>
        <v>--</v>
      </c>
      <c r="S315" s="45"/>
      <c r="T315" s="48"/>
      <c r="U315" s="45"/>
      <c r="V315" s="45"/>
      <c r="W315" s="45"/>
      <c r="X315" s="45"/>
      <c r="Y315" s="45"/>
      <c r="Z315" s="77"/>
    </row>
    <row r="316" spans="1:26" ht="15.75" hidden="1" x14ac:dyDescent="0.25">
      <c r="A316" s="37">
        <v>42680</v>
      </c>
      <c r="B316" s="84">
        <f t="shared" si="41"/>
        <v>44</v>
      </c>
      <c r="C316" s="41"/>
      <c r="D316" s="41"/>
      <c r="E316" s="42"/>
      <c r="F316" s="33" t="str">
        <f t="shared" si="36"/>
        <v>--</v>
      </c>
      <c r="G316" s="88" t="b">
        <f t="shared" si="42"/>
        <v>1</v>
      </c>
      <c r="H316" s="33" t="b">
        <f t="shared" si="37"/>
        <v>0</v>
      </c>
      <c r="I316" s="33" t="b">
        <f t="shared" si="38"/>
        <v>0</v>
      </c>
      <c r="J316" s="33" t="b">
        <f t="shared" si="39"/>
        <v>0</v>
      </c>
      <c r="K316" s="33">
        <f t="shared" si="43"/>
        <v>0</v>
      </c>
      <c r="L316" s="43"/>
      <c r="M316" s="43"/>
      <c r="N316" s="44"/>
      <c r="O316" s="44"/>
      <c r="P316" s="44"/>
      <c r="Q316" s="44"/>
      <c r="R316" s="36" t="str">
        <f t="shared" si="40"/>
        <v>--</v>
      </c>
      <c r="S316" s="45"/>
      <c r="T316" s="48"/>
      <c r="U316" s="45"/>
      <c r="V316" s="45"/>
      <c r="W316" s="45"/>
      <c r="X316" s="45"/>
      <c r="Y316" s="45"/>
      <c r="Z316" s="77"/>
    </row>
    <row r="317" spans="1:26" ht="15.75" hidden="1" x14ac:dyDescent="0.25">
      <c r="A317" s="37">
        <v>42681</v>
      </c>
      <c r="B317" s="84">
        <f t="shared" si="41"/>
        <v>45</v>
      </c>
      <c r="C317" s="41"/>
      <c r="D317" s="41">
        <v>3.125E-2</v>
      </c>
      <c r="E317" s="42"/>
      <c r="F317" s="33" t="str">
        <f t="shared" si="36"/>
        <v>--</v>
      </c>
      <c r="G317" s="88" t="b">
        <f t="shared" si="42"/>
        <v>0</v>
      </c>
      <c r="H317" s="33" t="b">
        <f t="shared" si="37"/>
        <v>0</v>
      </c>
      <c r="I317" s="33" t="b">
        <f t="shared" si="38"/>
        <v>0</v>
      </c>
      <c r="J317" s="33" t="b">
        <f t="shared" si="39"/>
        <v>0</v>
      </c>
      <c r="K317" s="33">
        <f t="shared" si="43"/>
        <v>0.33333333333333331</v>
      </c>
      <c r="L317" s="43"/>
      <c r="M317" s="43"/>
      <c r="N317" s="44"/>
      <c r="O317" s="44"/>
      <c r="P317" s="44"/>
      <c r="Q317" s="44"/>
      <c r="R317" s="36" t="str">
        <f t="shared" si="40"/>
        <v>--</v>
      </c>
      <c r="S317" s="45"/>
      <c r="T317" s="48"/>
      <c r="U317" s="45"/>
      <c r="V317" s="45"/>
      <c r="W317" s="45"/>
      <c r="X317" s="45"/>
      <c r="Y317" s="45"/>
      <c r="Z317" s="77"/>
    </row>
    <row r="318" spans="1:26" ht="15.75" hidden="1" x14ac:dyDescent="0.25">
      <c r="A318" s="37">
        <v>42682</v>
      </c>
      <c r="B318" s="84">
        <f t="shared" si="41"/>
        <v>45</v>
      </c>
      <c r="C318" s="41"/>
      <c r="D318" s="41">
        <v>3.125E-2</v>
      </c>
      <c r="E318" s="42"/>
      <c r="F318" s="33" t="str">
        <f t="shared" si="36"/>
        <v>--</v>
      </c>
      <c r="G318" s="88" t="b">
        <f t="shared" si="42"/>
        <v>0</v>
      </c>
      <c r="H318" s="33" t="b">
        <f t="shared" si="37"/>
        <v>0</v>
      </c>
      <c r="I318" s="33" t="b">
        <f t="shared" si="38"/>
        <v>0</v>
      </c>
      <c r="J318" s="33" t="b">
        <f t="shared" si="39"/>
        <v>0</v>
      </c>
      <c r="K318" s="33">
        <f t="shared" si="43"/>
        <v>0.33333333333333331</v>
      </c>
      <c r="L318" s="43"/>
      <c r="M318" s="43"/>
      <c r="N318" s="44"/>
      <c r="O318" s="44"/>
      <c r="P318" s="44"/>
      <c r="Q318" s="44"/>
      <c r="R318" s="36" t="str">
        <f t="shared" si="40"/>
        <v>--</v>
      </c>
      <c r="S318" s="45"/>
      <c r="T318" s="48"/>
      <c r="U318" s="45"/>
      <c r="V318" s="45"/>
      <c r="W318" s="45"/>
      <c r="X318" s="45"/>
      <c r="Y318" s="45"/>
      <c r="Z318" s="77"/>
    </row>
    <row r="319" spans="1:26" ht="15.75" hidden="1" x14ac:dyDescent="0.25">
      <c r="A319" s="37">
        <v>42683</v>
      </c>
      <c r="B319" s="84">
        <f t="shared" si="41"/>
        <v>45</v>
      </c>
      <c r="C319" s="41"/>
      <c r="D319" s="41">
        <v>3.125E-2</v>
      </c>
      <c r="E319" s="42"/>
      <c r="F319" s="33" t="str">
        <f t="shared" si="36"/>
        <v>--</v>
      </c>
      <c r="G319" s="88" t="b">
        <f t="shared" si="42"/>
        <v>0</v>
      </c>
      <c r="H319" s="33" t="b">
        <f t="shared" si="37"/>
        <v>0</v>
      </c>
      <c r="I319" s="33" t="b">
        <f t="shared" si="38"/>
        <v>0</v>
      </c>
      <c r="J319" s="33" t="b">
        <f t="shared" si="39"/>
        <v>0</v>
      </c>
      <c r="K319" s="33">
        <f t="shared" si="43"/>
        <v>0.33333333333333331</v>
      </c>
      <c r="L319" s="43"/>
      <c r="M319" s="43"/>
      <c r="N319" s="44"/>
      <c r="O319" s="44"/>
      <c r="P319" s="44"/>
      <c r="Q319" s="44"/>
      <c r="R319" s="36" t="str">
        <f t="shared" si="40"/>
        <v>--</v>
      </c>
      <c r="S319" s="45"/>
      <c r="T319" s="48"/>
      <c r="U319" s="45"/>
      <c r="V319" s="45"/>
      <c r="W319" s="45"/>
      <c r="X319" s="45"/>
      <c r="Y319" s="45"/>
      <c r="Z319" s="77"/>
    </row>
    <row r="320" spans="1:26" ht="15.75" hidden="1" x14ac:dyDescent="0.25">
      <c r="A320" s="37">
        <v>42684</v>
      </c>
      <c r="B320" s="84">
        <f t="shared" si="41"/>
        <v>45</v>
      </c>
      <c r="C320" s="41"/>
      <c r="D320" s="41">
        <v>3.125E-2</v>
      </c>
      <c r="E320" s="42"/>
      <c r="F320" s="33" t="str">
        <f t="shared" si="36"/>
        <v>--</v>
      </c>
      <c r="G320" s="88" t="b">
        <f t="shared" si="42"/>
        <v>0</v>
      </c>
      <c r="H320" s="33" t="b">
        <f t="shared" si="37"/>
        <v>0</v>
      </c>
      <c r="I320" s="33" t="b">
        <f t="shared" si="38"/>
        <v>0</v>
      </c>
      <c r="J320" s="33" t="b">
        <f t="shared" si="39"/>
        <v>0</v>
      </c>
      <c r="K320" s="33">
        <f t="shared" si="43"/>
        <v>0.33333333333333331</v>
      </c>
      <c r="L320" s="43"/>
      <c r="M320" s="43"/>
      <c r="N320" s="44"/>
      <c r="O320" s="44"/>
      <c r="P320" s="44"/>
      <c r="Q320" s="44"/>
      <c r="R320" s="36" t="str">
        <f t="shared" si="40"/>
        <v>--</v>
      </c>
      <c r="S320" s="45"/>
      <c r="T320" s="48"/>
      <c r="U320" s="45"/>
      <c r="V320" s="45"/>
      <c r="W320" s="45"/>
      <c r="X320" s="45"/>
      <c r="Y320" s="45"/>
      <c r="Z320" s="77"/>
    </row>
    <row r="321" spans="1:26" ht="15.75" hidden="1" x14ac:dyDescent="0.25">
      <c r="A321" s="37">
        <v>42685</v>
      </c>
      <c r="B321" s="84">
        <f t="shared" si="41"/>
        <v>45</v>
      </c>
      <c r="C321" s="41"/>
      <c r="D321" s="41">
        <v>3.125E-2</v>
      </c>
      <c r="E321" s="42"/>
      <c r="F321" s="33" t="str">
        <f t="shared" si="36"/>
        <v>--</v>
      </c>
      <c r="G321" s="88" t="b">
        <f t="shared" si="42"/>
        <v>0</v>
      </c>
      <c r="H321" s="33" t="b">
        <f t="shared" si="37"/>
        <v>0</v>
      </c>
      <c r="I321" s="33" t="b">
        <f t="shared" si="38"/>
        <v>0</v>
      </c>
      <c r="J321" s="33" t="b">
        <f t="shared" si="39"/>
        <v>0</v>
      </c>
      <c r="K321" s="33">
        <f t="shared" si="43"/>
        <v>0.33333333333333331</v>
      </c>
      <c r="L321" s="43"/>
      <c r="M321" s="43"/>
      <c r="N321" s="44"/>
      <c r="O321" s="44"/>
      <c r="P321" s="44"/>
      <c r="Q321" s="44"/>
      <c r="R321" s="36" t="str">
        <f t="shared" si="40"/>
        <v>--</v>
      </c>
      <c r="S321" s="45"/>
      <c r="T321" s="48"/>
      <c r="U321" s="45"/>
      <c r="V321" s="45"/>
      <c r="W321" s="45"/>
      <c r="X321" s="45"/>
      <c r="Y321" s="45"/>
      <c r="Z321" s="77"/>
    </row>
    <row r="322" spans="1:26" ht="15.75" hidden="1" x14ac:dyDescent="0.25">
      <c r="A322" s="37">
        <v>42686</v>
      </c>
      <c r="B322" s="84">
        <f t="shared" si="41"/>
        <v>45</v>
      </c>
      <c r="C322" s="41"/>
      <c r="D322" s="41"/>
      <c r="E322" s="42"/>
      <c r="F322" s="33" t="str">
        <f t="shared" si="36"/>
        <v>--</v>
      </c>
      <c r="G322" s="88" t="b">
        <f t="shared" si="42"/>
        <v>1</v>
      </c>
      <c r="H322" s="33" t="b">
        <f t="shared" si="37"/>
        <v>0</v>
      </c>
      <c r="I322" s="33" t="b">
        <f t="shared" si="38"/>
        <v>0</v>
      </c>
      <c r="J322" s="33" t="b">
        <f t="shared" si="39"/>
        <v>0</v>
      </c>
      <c r="K322" s="33">
        <f t="shared" si="43"/>
        <v>0</v>
      </c>
      <c r="L322" s="43"/>
      <c r="M322" s="43"/>
      <c r="N322" s="44"/>
      <c r="O322" s="44"/>
      <c r="P322" s="44"/>
      <c r="Q322" s="44"/>
      <c r="R322" s="36" t="str">
        <f t="shared" si="40"/>
        <v>--</v>
      </c>
      <c r="S322" s="45"/>
      <c r="T322" s="48"/>
      <c r="U322" s="45"/>
      <c r="V322" s="45"/>
      <c r="W322" s="45"/>
      <c r="X322" s="45"/>
      <c r="Y322" s="45"/>
      <c r="Z322" s="77"/>
    </row>
    <row r="323" spans="1:26" ht="15.75" hidden="1" x14ac:dyDescent="0.25">
      <c r="A323" s="37">
        <v>42687</v>
      </c>
      <c r="B323" s="84">
        <f t="shared" si="41"/>
        <v>45</v>
      </c>
      <c r="C323" s="41"/>
      <c r="D323" s="41"/>
      <c r="E323" s="42"/>
      <c r="F323" s="33" t="str">
        <f t="shared" si="36"/>
        <v>--</v>
      </c>
      <c r="G323" s="88" t="b">
        <f t="shared" si="42"/>
        <v>1</v>
      </c>
      <c r="H323" s="33" t="b">
        <f t="shared" si="37"/>
        <v>0</v>
      </c>
      <c r="I323" s="33" t="b">
        <f t="shared" si="38"/>
        <v>0</v>
      </c>
      <c r="J323" s="33" t="b">
        <f t="shared" si="39"/>
        <v>0</v>
      </c>
      <c r="K323" s="33">
        <f t="shared" si="43"/>
        <v>0</v>
      </c>
      <c r="L323" s="43"/>
      <c r="M323" s="43"/>
      <c r="N323" s="44"/>
      <c r="O323" s="44"/>
      <c r="P323" s="44"/>
      <c r="Q323" s="44"/>
      <c r="R323" s="36" t="str">
        <f t="shared" si="40"/>
        <v>--</v>
      </c>
      <c r="S323" s="45"/>
      <c r="T323" s="48"/>
      <c r="U323" s="45"/>
      <c r="V323" s="45"/>
      <c r="W323" s="45"/>
      <c r="X323" s="45"/>
      <c r="Y323" s="45"/>
      <c r="Z323" s="77"/>
    </row>
    <row r="324" spans="1:26" ht="15.75" hidden="1" x14ac:dyDescent="0.25">
      <c r="A324" s="37">
        <v>42688</v>
      </c>
      <c r="B324" s="84">
        <f t="shared" si="41"/>
        <v>46</v>
      </c>
      <c r="C324" s="41"/>
      <c r="D324" s="41">
        <v>3.125E-2</v>
      </c>
      <c r="E324" s="42"/>
      <c r="F324" s="33" t="str">
        <f t="shared" si="36"/>
        <v>--</v>
      </c>
      <c r="G324" s="88" t="b">
        <f t="shared" si="42"/>
        <v>0</v>
      </c>
      <c r="H324" s="33" t="b">
        <f t="shared" si="37"/>
        <v>0</v>
      </c>
      <c r="I324" s="33" t="b">
        <f t="shared" si="38"/>
        <v>0</v>
      </c>
      <c r="J324" s="33" t="b">
        <f t="shared" si="39"/>
        <v>0</v>
      </c>
      <c r="K324" s="33">
        <f t="shared" si="43"/>
        <v>0.33333333333333331</v>
      </c>
      <c r="L324" s="43"/>
      <c r="M324" s="43"/>
      <c r="N324" s="44"/>
      <c r="O324" s="44"/>
      <c r="P324" s="44"/>
      <c r="Q324" s="44"/>
      <c r="R324" s="36" t="str">
        <f t="shared" si="40"/>
        <v>--</v>
      </c>
      <c r="S324" s="45"/>
      <c r="T324" s="48"/>
      <c r="U324" s="45"/>
      <c r="V324" s="45"/>
      <c r="W324" s="45"/>
      <c r="X324" s="45"/>
      <c r="Y324" s="45"/>
      <c r="Z324" s="77"/>
    </row>
    <row r="325" spans="1:26" ht="15.75" hidden="1" x14ac:dyDescent="0.25">
      <c r="A325" s="37">
        <v>42689</v>
      </c>
      <c r="B325" s="84">
        <f t="shared" si="41"/>
        <v>46</v>
      </c>
      <c r="C325" s="41"/>
      <c r="D325" s="41">
        <v>3.125E-2</v>
      </c>
      <c r="E325" s="42"/>
      <c r="F325" s="33" t="str">
        <f t="shared" si="36"/>
        <v>--</v>
      </c>
      <c r="G325" s="88" t="b">
        <f t="shared" si="42"/>
        <v>0</v>
      </c>
      <c r="H325" s="33" t="b">
        <f t="shared" si="37"/>
        <v>0</v>
      </c>
      <c r="I325" s="33" t="b">
        <f t="shared" si="38"/>
        <v>0</v>
      </c>
      <c r="J325" s="33" t="b">
        <f t="shared" si="39"/>
        <v>0</v>
      </c>
      <c r="K325" s="33">
        <f t="shared" si="43"/>
        <v>0.33333333333333331</v>
      </c>
      <c r="L325" s="43"/>
      <c r="M325" s="43"/>
      <c r="N325" s="44"/>
      <c r="O325" s="44"/>
      <c r="P325" s="44"/>
      <c r="Q325" s="44"/>
      <c r="R325" s="36" t="str">
        <f t="shared" si="40"/>
        <v>--</v>
      </c>
      <c r="S325" s="45"/>
      <c r="T325" s="48"/>
      <c r="U325" s="45"/>
      <c r="V325" s="45"/>
      <c r="W325" s="45"/>
      <c r="X325" s="45"/>
      <c r="Y325" s="45"/>
      <c r="Z325" s="77"/>
    </row>
    <row r="326" spans="1:26" ht="15.75" hidden="1" x14ac:dyDescent="0.25">
      <c r="A326" s="37">
        <v>42690</v>
      </c>
      <c r="B326" s="84">
        <f t="shared" si="41"/>
        <v>46</v>
      </c>
      <c r="C326" s="41"/>
      <c r="D326" s="41">
        <v>3.125E-2</v>
      </c>
      <c r="E326" s="42"/>
      <c r="F326" s="33" t="str">
        <f t="shared" ref="F326:F371" si="44">IF(E326-C326&lt;=0,"--",E326-D326-C326)</f>
        <v>--</v>
      </c>
      <c r="G326" s="88" t="b">
        <f t="shared" si="42"/>
        <v>0</v>
      </c>
      <c r="H326" s="33" t="b">
        <f t="shared" ref="H326:H371" si="45">ISNUMBER(MATCH($A326,rSemester,0))</f>
        <v>0</v>
      </c>
      <c r="I326" s="33" t="b">
        <f t="shared" ref="I326:I371" si="46">ISNUMBER(MATCH($A326,rATK,0))</f>
        <v>0</v>
      </c>
      <c r="J326" s="33" t="b">
        <f t="shared" ref="J326:J371" si="47">ISNUMBER(MATCH($A326,rHelger,0))</f>
        <v>0</v>
      </c>
      <c r="K326" s="33">
        <f t="shared" si="43"/>
        <v>0.33333333333333331</v>
      </c>
      <c r="L326" s="43"/>
      <c r="M326" s="43"/>
      <c r="N326" s="44"/>
      <c r="O326" s="44"/>
      <c r="P326" s="44"/>
      <c r="Q326" s="44"/>
      <c r="R326" s="36" t="str">
        <f t="shared" ref="R326:R371" si="48">IF(F326="--","--",IF(F326&lt;=0,"--",60*((F326-K326)*24-L326+S326+T326*8+U326+V326+Y326+W326+X326)))</f>
        <v>--</v>
      </c>
      <c r="S326" s="45"/>
      <c r="T326" s="48"/>
      <c r="U326" s="45"/>
      <c r="V326" s="45"/>
      <c r="W326" s="45"/>
      <c r="X326" s="45"/>
      <c r="Y326" s="45"/>
      <c r="Z326" s="77"/>
    </row>
    <row r="327" spans="1:26" ht="15.75" hidden="1" x14ac:dyDescent="0.25">
      <c r="A327" s="37">
        <v>42691</v>
      </c>
      <c r="B327" s="84">
        <f t="shared" ref="B327:B371" si="49">IsoWeekNumber(A327)</f>
        <v>46</v>
      </c>
      <c r="C327" s="41"/>
      <c r="D327" s="41">
        <v>3.125E-2</v>
      </c>
      <c r="E327" s="42"/>
      <c r="F327" s="33" t="str">
        <f t="shared" si="44"/>
        <v>--</v>
      </c>
      <c r="G327" s="88" t="b">
        <f t="shared" ref="G327:G371" si="50">IF(WEEKDAY(A327,2)&gt;5,TRUE)</f>
        <v>0</v>
      </c>
      <c r="H327" s="33" t="b">
        <f t="shared" si="45"/>
        <v>0</v>
      </c>
      <c r="I327" s="33" t="b">
        <f t="shared" si="46"/>
        <v>0</v>
      </c>
      <c r="J327" s="33" t="b">
        <f t="shared" si="47"/>
        <v>0</v>
      </c>
      <c r="K327" s="33">
        <f t="shared" si="43"/>
        <v>0.33333333333333331</v>
      </c>
      <c r="L327" s="43"/>
      <c r="M327" s="43"/>
      <c r="N327" s="44"/>
      <c r="O327" s="44"/>
      <c r="P327" s="44"/>
      <c r="Q327" s="44"/>
      <c r="R327" s="36" t="str">
        <f t="shared" si="48"/>
        <v>--</v>
      </c>
      <c r="S327" s="45"/>
      <c r="T327" s="48"/>
      <c r="U327" s="45"/>
      <c r="V327" s="45"/>
      <c r="W327" s="45"/>
      <c r="X327" s="45"/>
      <c r="Y327" s="45"/>
      <c r="Z327" s="77"/>
    </row>
    <row r="328" spans="1:26" ht="15.75" hidden="1" x14ac:dyDescent="0.25">
      <c r="A328" s="37">
        <v>42692</v>
      </c>
      <c r="B328" s="84">
        <f t="shared" si="49"/>
        <v>46</v>
      </c>
      <c r="C328" s="41"/>
      <c r="D328" s="41">
        <v>3.125E-2</v>
      </c>
      <c r="E328" s="42"/>
      <c r="F328" s="33" t="str">
        <f t="shared" si="44"/>
        <v>--</v>
      </c>
      <c r="G328" s="88" t="b">
        <f t="shared" si="50"/>
        <v>0</v>
      </c>
      <c r="H328" s="33" t="b">
        <f t="shared" si="45"/>
        <v>0</v>
      </c>
      <c r="I328" s="33" t="b">
        <f t="shared" si="46"/>
        <v>0</v>
      </c>
      <c r="J328" s="33" t="b">
        <f t="shared" si="47"/>
        <v>0</v>
      </c>
      <c r="K328" s="33">
        <f t="shared" si="43"/>
        <v>0.33333333333333331</v>
      </c>
      <c r="L328" s="43"/>
      <c r="M328" s="43"/>
      <c r="N328" s="44"/>
      <c r="O328" s="44"/>
      <c r="P328" s="44"/>
      <c r="Q328" s="44"/>
      <c r="R328" s="36" t="str">
        <f t="shared" si="48"/>
        <v>--</v>
      </c>
      <c r="S328" s="45"/>
      <c r="T328" s="48"/>
      <c r="U328" s="45"/>
      <c r="V328" s="45"/>
      <c r="W328" s="45"/>
      <c r="X328" s="45"/>
      <c r="Y328" s="45"/>
      <c r="Z328" s="77"/>
    </row>
    <row r="329" spans="1:26" ht="15.75" hidden="1" x14ac:dyDescent="0.25">
      <c r="A329" s="37">
        <v>42693</v>
      </c>
      <c r="B329" s="84">
        <f t="shared" si="49"/>
        <v>46</v>
      </c>
      <c r="C329" s="41"/>
      <c r="D329" s="41"/>
      <c r="E329" s="42"/>
      <c r="F329" s="33" t="str">
        <f t="shared" si="44"/>
        <v>--</v>
      </c>
      <c r="G329" s="88" t="b">
        <f t="shared" si="50"/>
        <v>1</v>
      </c>
      <c r="H329" s="33" t="b">
        <f t="shared" si="45"/>
        <v>0</v>
      </c>
      <c r="I329" s="33" t="b">
        <f t="shared" si="46"/>
        <v>0</v>
      </c>
      <c r="J329" s="33" t="b">
        <f t="shared" si="47"/>
        <v>0</v>
      </c>
      <c r="K329" s="33">
        <f t="shared" si="43"/>
        <v>0</v>
      </c>
      <c r="L329" s="43"/>
      <c r="M329" s="43"/>
      <c r="N329" s="44"/>
      <c r="O329" s="44"/>
      <c r="P329" s="44"/>
      <c r="Q329" s="44"/>
      <c r="R329" s="36" t="str">
        <f t="shared" si="48"/>
        <v>--</v>
      </c>
      <c r="S329" s="45"/>
      <c r="T329" s="48"/>
      <c r="U329" s="45"/>
      <c r="V329" s="45"/>
      <c r="W329" s="45"/>
      <c r="X329" s="45"/>
      <c r="Y329" s="45"/>
      <c r="Z329" s="77"/>
    </row>
    <row r="330" spans="1:26" ht="15.75" hidden="1" x14ac:dyDescent="0.25">
      <c r="A330" s="37">
        <v>42694</v>
      </c>
      <c r="B330" s="84">
        <f t="shared" si="49"/>
        <v>46</v>
      </c>
      <c r="C330" s="41"/>
      <c r="D330" s="41"/>
      <c r="E330" s="42"/>
      <c r="F330" s="33" t="str">
        <f t="shared" si="44"/>
        <v>--</v>
      </c>
      <c r="G330" s="88" t="b">
        <f t="shared" si="50"/>
        <v>1</v>
      </c>
      <c r="H330" s="33" t="b">
        <f t="shared" si="45"/>
        <v>0</v>
      </c>
      <c r="I330" s="33" t="b">
        <f t="shared" si="46"/>
        <v>0</v>
      </c>
      <c r="J330" s="33" t="b">
        <f t="shared" si="47"/>
        <v>0</v>
      </c>
      <c r="K330" s="33">
        <f t="shared" si="43"/>
        <v>0</v>
      </c>
      <c r="L330" s="43"/>
      <c r="M330" s="43"/>
      <c r="N330" s="44"/>
      <c r="O330" s="44"/>
      <c r="P330" s="44"/>
      <c r="Q330" s="44"/>
      <c r="R330" s="36" t="str">
        <f t="shared" si="48"/>
        <v>--</v>
      </c>
      <c r="S330" s="45"/>
      <c r="T330" s="48"/>
      <c r="U330" s="45"/>
      <c r="V330" s="45"/>
      <c r="W330" s="45"/>
      <c r="X330" s="45"/>
      <c r="Y330" s="45"/>
      <c r="Z330" s="77"/>
    </row>
    <row r="331" spans="1:26" ht="15.75" hidden="1" x14ac:dyDescent="0.25">
      <c r="A331" s="37">
        <v>42695</v>
      </c>
      <c r="B331" s="84">
        <f t="shared" si="49"/>
        <v>47</v>
      </c>
      <c r="C331" s="41"/>
      <c r="D331" s="41">
        <v>3.125E-2</v>
      </c>
      <c r="E331" s="42"/>
      <c r="F331" s="33" t="str">
        <f t="shared" si="44"/>
        <v>--</v>
      </c>
      <c r="G331" s="88" t="b">
        <f t="shared" si="50"/>
        <v>0</v>
      </c>
      <c r="H331" s="33" t="b">
        <f t="shared" si="45"/>
        <v>0</v>
      </c>
      <c r="I331" s="33" t="b">
        <f t="shared" si="46"/>
        <v>0</v>
      </c>
      <c r="J331" s="33" t="b">
        <f t="shared" si="47"/>
        <v>0</v>
      </c>
      <c r="K331" s="33">
        <f t="shared" si="43"/>
        <v>0.33333333333333331</v>
      </c>
      <c r="L331" s="43"/>
      <c r="M331" s="43"/>
      <c r="N331" s="44"/>
      <c r="O331" s="44"/>
      <c r="P331" s="44"/>
      <c r="Q331" s="44"/>
      <c r="R331" s="36" t="str">
        <f t="shared" si="48"/>
        <v>--</v>
      </c>
      <c r="S331" s="45"/>
      <c r="T331" s="48"/>
      <c r="U331" s="45"/>
      <c r="V331" s="45"/>
      <c r="W331" s="45"/>
      <c r="X331" s="45"/>
      <c r="Y331" s="45"/>
      <c r="Z331" s="77"/>
    </row>
    <row r="332" spans="1:26" ht="15.75" hidden="1" x14ac:dyDescent="0.25">
      <c r="A332" s="37">
        <v>42696</v>
      </c>
      <c r="B332" s="84">
        <f t="shared" si="49"/>
        <v>47</v>
      </c>
      <c r="C332" s="41"/>
      <c r="D332" s="41">
        <v>3.125E-2</v>
      </c>
      <c r="E332" s="42"/>
      <c r="F332" s="33" t="str">
        <f t="shared" si="44"/>
        <v>--</v>
      </c>
      <c r="G332" s="88" t="b">
        <f t="shared" si="50"/>
        <v>0</v>
      </c>
      <c r="H332" s="33" t="b">
        <f t="shared" si="45"/>
        <v>0</v>
      </c>
      <c r="I332" s="33" t="b">
        <f t="shared" si="46"/>
        <v>0</v>
      </c>
      <c r="J332" s="33" t="b">
        <f t="shared" si="47"/>
        <v>0</v>
      </c>
      <c r="K332" s="33">
        <f t="shared" si="43"/>
        <v>0.33333333333333331</v>
      </c>
      <c r="L332" s="43"/>
      <c r="M332" s="43"/>
      <c r="N332" s="44"/>
      <c r="O332" s="44"/>
      <c r="P332" s="44"/>
      <c r="Q332" s="44"/>
      <c r="R332" s="36" t="str">
        <f t="shared" si="48"/>
        <v>--</v>
      </c>
      <c r="S332" s="45"/>
      <c r="T332" s="48"/>
      <c r="U332" s="45"/>
      <c r="V332" s="45"/>
      <c r="W332" s="45"/>
      <c r="X332" s="45"/>
      <c r="Y332" s="45"/>
      <c r="Z332" s="77"/>
    </row>
    <row r="333" spans="1:26" ht="15.75" hidden="1" x14ac:dyDescent="0.25">
      <c r="A333" s="37">
        <v>42697</v>
      </c>
      <c r="B333" s="84">
        <f t="shared" si="49"/>
        <v>47</v>
      </c>
      <c r="C333" s="41"/>
      <c r="D333" s="41">
        <v>3.125E-2</v>
      </c>
      <c r="E333" s="42"/>
      <c r="F333" s="33" t="str">
        <f t="shared" si="44"/>
        <v>--</v>
      </c>
      <c r="G333" s="88" t="b">
        <f t="shared" si="50"/>
        <v>0</v>
      </c>
      <c r="H333" s="33" t="b">
        <f t="shared" si="45"/>
        <v>0</v>
      </c>
      <c r="I333" s="33" t="b">
        <f t="shared" si="46"/>
        <v>0</v>
      </c>
      <c r="J333" s="33" t="b">
        <f t="shared" si="47"/>
        <v>0</v>
      </c>
      <c r="K333" s="33">
        <f t="shared" si="43"/>
        <v>0.33333333333333331</v>
      </c>
      <c r="L333" s="43"/>
      <c r="M333" s="43"/>
      <c r="N333" s="44"/>
      <c r="O333" s="44"/>
      <c r="P333" s="44"/>
      <c r="Q333" s="44"/>
      <c r="R333" s="36" t="str">
        <f t="shared" si="48"/>
        <v>--</v>
      </c>
      <c r="S333" s="45"/>
      <c r="T333" s="48"/>
      <c r="U333" s="45"/>
      <c r="V333" s="45"/>
      <c r="W333" s="45"/>
      <c r="X333" s="45"/>
      <c r="Y333" s="45"/>
      <c r="Z333" s="77"/>
    </row>
    <row r="334" spans="1:26" ht="15.75" hidden="1" x14ac:dyDescent="0.25">
      <c r="A334" s="37">
        <v>42698</v>
      </c>
      <c r="B334" s="84">
        <f t="shared" si="49"/>
        <v>47</v>
      </c>
      <c r="C334" s="41"/>
      <c r="D334" s="41">
        <v>3.125E-2</v>
      </c>
      <c r="E334" s="42"/>
      <c r="F334" s="33" t="str">
        <f t="shared" si="44"/>
        <v>--</v>
      </c>
      <c r="G334" s="88" t="b">
        <f t="shared" si="50"/>
        <v>0</v>
      </c>
      <c r="H334" s="33" t="b">
        <f t="shared" si="45"/>
        <v>0</v>
      </c>
      <c r="I334" s="33" t="b">
        <f t="shared" si="46"/>
        <v>0</v>
      </c>
      <c r="J334" s="33" t="b">
        <f t="shared" si="47"/>
        <v>0</v>
      </c>
      <c r="K334" s="33">
        <f t="shared" si="43"/>
        <v>0.33333333333333331</v>
      </c>
      <c r="L334" s="43"/>
      <c r="M334" s="43"/>
      <c r="N334" s="44"/>
      <c r="O334" s="44"/>
      <c r="P334" s="44"/>
      <c r="Q334" s="44"/>
      <c r="R334" s="36" t="str">
        <f t="shared" si="48"/>
        <v>--</v>
      </c>
      <c r="S334" s="45"/>
      <c r="T334" s="48"/>
      <c r="U334" s="45"/>
      <c r="V334" s="45"/>
      <c r="W334" s="45"/>
      <c r="X334" s="45"/>
      <c r="Y334" s="45"/>
      <c r="Z334" s="77"/>
    </row>
    <row r="335" spans="1:26" ht="15.75" hidden="1" x14ac:dyDescent="0.25">
      <c r="A335" s="37">
        <v>42699</v>
      </c>
      <c r="B335" s="84">
        <f t="shared" si="49"/>
        <v>47</v>
      </c>
      <c r="C335" s="41"/>
      <c r="D335" s="41">
        <v>3.125E-2</v>
      </c>
      <c r="E335" s="42"/>
      <c r="F335" s="33" t="str">
        <f t="shared" si="44"/>
        <v>--</v>
      </c>
      <c r="G335" s="88" t="b">
        <f t="shared" si="50"/>
        <v>0</v>
      </c>
      <c r="H335" s="33" t="b">
        <f t="shared" si="45"/>
        <v>0</v>
      </c>
      <c r="I335" s="33" t="b">
        <f t="shared" si="46"/>
        <v>0</v>
      </c>
      <c r="J335" s="33" t="b">
        <f t="shared" si="47"/>
        <v>0</v>
      </c>
      <c r="K335" s="33">
        <f t="shared" si="43"/>
        <v>0.33333333333333331</v>
      </c>
      <c r="L335" s="43"/>
      <c r="M335" s="43"/>
      <c r="N335" s="44"/>
      <c r="O335" s="44"/>
      <c r="P335" s="44"/>
      <c r="Q335" s="44"/>
      <c r="R335" s="36" t="str">
        <f t="shared" si="48"/>
        <v>--</v>
      </c>
      <c r="S335" s="45"/>
      <c r="T335" s="48"/>
      <c r="U335" s="45"/>
      <c r="V335" s="45"/>
      <c r="W335" s="45"/>
      <c r="X335" s="45"/>
      <c r="Y335" s="45"/>
      <c r="Z335" s="77"/>
    </row>
    <row r="336" spans="1:26" ht="15.75" hidden="1" x14ac:dyDescent="0.25">
      <c r="A336" s="37">
        <v>42700</v>
      </c>
      <c r="B336" s="84">
        <f t="shared" si="49"/>
        <v>47</v>
      </c>
      <c r="C336" s="41"/>
      <c r="D336" s="41"/>
      <c r="E336" s="42"/>
      <c r="F336" s="33" t="str">
        <f t="shared" si="44"/>
        <v>--</v>
      </c>
      <c r="G336" s="88" t="b">
        <f t="shared" si="50"/>
        <v>1</v>
      </c>
      <c r="H336" s="33" t="b">
        <f t="shared" si="45"/>
        <v>0</v>
      </c>
      <c r="I336" s="33" t="b">
        <f t="shared" si="46"/>
        <v>0</v>
      </c>
      <c r="J336" s="33" t="b">
        <f t="shared" si="47"/>
        <v>0</v>
      </c>
      <c r="K336" s="33">
        <f t="shared" si="43"/>
        <v>0</v>
      </c>
      <c r="L336" s="43"/>
      <c r="M336" s="43"/>
      <c r="N336" s="44"/>
      <c r="O336" s="44"/>
      <c r="P336" s="44"/>
      <c r="Q336" s="44"/>
      <c r="R336" s="36" t="str">
        <f t="shared" si="48"/>
        <v>--</v>
      </c>
      <c r="S336" s="45"/>
      <c r="T336" s="48"/>
      <c r="U336" s="45"/>
      <c r="V336" s="45"/>
      <c r="W336" s="45"/>
      <c r="X336" s="45"/>
      <c r="Y336" s="45"/>
      <c r="Z336" s="77"/>
    </row>
    <row r="337" spans="1:26" ht="15.75" hidden="1" x14ac:dyDescent="0.25">
      <c r="A337" s="37">
        <v>42701</v>
      </c>
      <c r="B337" s="84">
        <f t="shared" si="49"/>
        <v>47</v>
      </c>
      <c r="C337" s="41"/>
      <c r="D337" s="41"/>
      <c r="E337" s="42"/>
      <c r="F337" s="33" t="str">
        <f t="shared" si="44"/>
        <v>--</v>
      </c>
      <c r="G337" s="88" t="b">
        <f t="shared" si="50"/>
        <v>1</v>
      </c>
      <c r="H337" s="33" t="b">
        <f t="shared" si="45"/>
        <v>0</v>
      </c>
      <c r="I337" s="33" t="b">
        <f t="shared" si="46"/>
        <v>0</v>
      </c>
      <c r="J337" s="33" t="b">
        <f t="shared" si="47"/>
        <v>0</v>
      </c>
      <c r="K337" s="33">
        <f t="shared" si="43"/>
        <v>0</v>
      </c>
      <c r="L337" s="43"/>
      <c r="M337" s="43"/>
      <c r="N337" s="44"/>
      <c r="O337" s="44"/>
      <c r="P337" s="44"/>
      <c r="Q337" s="44"/>
      <c r="R337" s="36" t="str">
        <f t="shared" si="48"/>
        <v>--</v>
      </c>
      <c r="S337" s="45"/>
      <c r="T337" s="48"/>
      <c r="U337" s="45"/>
      <c r="V337" s="45"/>
      <c r="W337" s="45"/>
      <c r="X337" s="45"/>
      <c r="Y337" s="45"/>
      <c r="Z337" s="77"/>
    </row>
    <row r="338" spans="1:26" ht="15.75" hidden="1" x14ac:dyDescent="0.25">
      <c r="A338" s="37">
        <v>42702</v>
      </c>
      <c r="B338" s="84">
        <f t="shared" si="49"/>
        <v>48</v>
      </c>
      <c r="C338" s="41"/>
      <c r="D338" s="41">
        <v>3.125E-2</v>
      </c>
      <c r="E338" s="42"/>
      <c r="F338" s="33" t="str">
        <f t="shared" si="44"/>
        <v>--</v>
      </c>
      <c r="G338" s="88" t="b">
        <f t="shared" si="50"/>
        <v>0</v>
      </c>
      <c r="H338" s="33" t="b">
        <f t="shared" si="45"/>
        <v>0</v>
      </c>
      <c r="I338" s="33" t="b">
        <f t="shared" si="46"/>
        <v>0</v>
      </c>
      <c r="J338" s="33" t="b">
        <f t="shared" si="47"/>
        <v>0</v>
      </c>
      <c r="K338" s="33">
        <f t="shared" si="43"/>
        <v>0.33333333333333331</v>
      </c>
      <c r="L338" s="43"/>
      <c r="M338" s="43"/>
      <c r="N338" s="44"/>
      <c r="O338" s="44"/>
      <c r="P338" s="44"/>
      <c r="Q338" s="44"/>
      <c r="R338" s="36" t="str">
        <f t="shared" si="48"/>
        <v>--</v>
      </c>
      <c r="S338" s="45"/>
      <c r="T338" s="48"/>
      <c r="U338" s="45"/>
      <c r="V338" s="45"/>
      <c r="W338" s="45"/>
      <c r="X338" s="45"/>
      <c r="Y338" s="45"/>
      <c r="Z338" s="77"/>
    </row>
    <row r="339" spans="1:26" ht="15.75" hidden="1" x14ac:dyDescent="0.25">
      <c r="A339" s="37">
        <v>42703</v>
      </c>
      <c r="B339" s="84">
        <f t="shared" si="49"/>
        <v>48</v>
      </c>
      <c r="C339" s="41"/>
      <c r="D339" s="41">
        <v>3.125E-2</v>
      </c>
      <c r="E339" s="42"/>
      <c r="F339" s="33" t="str">
        <f t="shared" si="44"/>
        <v>--</v>
      </c>
      <c r="G339" s="88" t="b">
        <f t="shared" si="50"/>
        <v>0</v>
      </c>
      <c r="H339" s="33" t="b">
        <f t="shared" si="45"/>
        <v>0</v>
      </c>
      <c r="I339" s="33" t="b">
        <f t="shared" si="46"/>
        <v>0</v>
      </c>
      <c r="J339" s="33" t="b">
        <f t="shared" si="47"/>
        <v>0</v>
      </c>
      <c r="K339" s="33">
        <f t="shared" si="43"/>
        <v>0.33333333333333331</v>
      </c>
      <c r="L339" s="43"/>
      <c r="M339" s="43"/>
      <c r="N339" s="44"/>
      <c r="O339" s="44"/>
      <c r="P339" s="44"/>
      <c r="Q339" s="44"/>
      <c r="R339" s="36" t="str">
        <f t="shared" si="48"/>
        <v>--</v>
      </c>
      <c r="S339" s="45"/>
      <c r="T339" s="48"/>
      <c r="U339" s="45"/>
      <c r="V339" s="45"/>
      <c r="W339" s="45"/>
      <c r="X339" s="45"/>
      <c r="Y339" s="45"/>
      <c r="Z339" s="77"/>
    </row>
    <row r="340" spans="1:26" ht="15.75" hidden="1" x14ac:dyDescent="0.25">
      <c r="A340" s="37">
        <v>42704</v>
      </c>
      <c r="B340" s="84">
        <f t="shared" si="49"/>
        <v>48</v>
      </c>
      <c r="C340" s="41"/>
      <c r="D340" s="41">
        <v>3.125E-2</v>
      </c>
      <c r="E340" s="42"/>
      <c r="F340" s="33" t="str">
        <f t="shared" si="44"/>
        <v>--</v>
      </c>
      <c r="G340" s="88" t="b">
        <f t="shared" si="50"/>
        <v>0</v>
      </c>
      <c r="H340" s="33" t="b">
        <f t="shared" si="45"/>
        <v>0</v>
      </c>
      <c r="I340" s="33" t="b">
        <f t="shared" si="46"/>
        <v>0</v>
      </c>
      <c r="J340" s="33" t="b">
        <f t="shared" si="47"/>
        <v>0</v>
      </c>
      <c r="K340" s="33">
        <f t="shared" si="43"/>
        <v>0.33333333333333331</v>
      </c>
      <c r="L340" s="43"/>
      <c r="M340" s="43"/>
      <c r="N340" s="44"/>
      <c r="O340" s="44"/>
      <c r="P340" s="44"/>
      <c r="Q340" s="44"/>
      <c r="R340" s="36" t="str">
        <f t="shared" si="48"/>
        <v>--</v>
      </c>
      <c r="S340" s="45"/>
      <c r="T340" s="48"/>
      <c r="U340" s="45"/>
      <c r="V340" s="45"/>
      <c r="W340" s="45"/>
      <c r="X340" s="45"/>
      <c r="Y340" s="45"/>
      <c r="Z340" s="77"/>
    </row>
    <row r="341" spans="1:26" ht="15.75" hidden="1" x14ac:dyDescent="0.25">
      <c r="A341" s="37">
        <v>42705</v>
      </c>
      <c r="B341" s="84">
        <f t="shared" si="49"/>
        <v>48</v>
      </c>
      <c r="C341" s="41"/>
      <c r="D341" s="41">
        <v>3.125E-2</v>
      </c>
      <c r="E341" s="42"/>
      <c r="F341" s="33" t="str">
        <f t="shared" si="44"/>
        <v>--</v>
      </c>
      <c r="G341" s="88" t="b">
        <f t="shared" si="50"/>
        <v>0</v>
      </c>
      <c r="H341" s="33" t="b">
        <f t="shared" si="45"/>
        <v>0</v>
      </c>
      <c r="I341" s="33" t="b">
        <f t="shared" si="46"/>
        <v>0</v>
      </c>
      <c r="J341" s="33" t="b">
        <f t="shared" si="47"/>
        <v>0</v>
      </c>
      <c r="K341" s="33">
        <f t="shared" ref="K341:K371" si="51">IF(OR(G341,H341,I341,J341),0,8/24)</f>
        <v>0.33333333333333331</v>
      </c>
      <c r="L341" s="43"/>
      <c r="M341" s="43"/>
      <c r="N341" s="44"/>
      <c r="O341" s="44"/>
      <c r="P341" s="44"/>
      <c r="Q341" s="44"/>
      <c r="R341" s="36" t="str">
        <f t="shared" si="48"/>
        <v>--</v>
      </c>
      <c r="S341" s="45"/>
      <c r="T341" s="48"/>
      <c r="U341" s="45"/>
      <c r="V341" s="45"/>
      <c r="W341" s="45"/>
      <c r="X341" s="45"/>
      <c r="Y341" s="45"/>
      <c r="Z341" s="77"/>
    </row>
    <row r="342" spans="1:26" ht="15.75" hidden="1" x14ac:dyDescent="0.25">
      <c r="A342" s="37">
        <v>42706</v>
      </c>
      <c r="B342" s="84">
        <f t="shared" si="49"/>
        <v>48</v>
      </c>
      <c r="C342" s="41"/>
      <c r="D342" s="41">
        <v>3.125E-2</v>
      </c>
      <c r="E342" s="42"/>
      <c r="F342" s="33" t="str">
        <f t="shared" si="44"/>
        <v>--</v>
      </c>
      <c r="G342" s="88" t="b">
        <f t="shared" si="50"/>
        <v>0</v>
      </c>
      <c r="H342" s="33" t="b">
        <f t="shared" si="45"/>
        <v>0</v>
      </c>
      <c r="I342" s="33" t="b">
        <f t="shared" si="46"/>
        <v>0</v>
      </c>
      <c r="J342" s="33" t="b">
        <f t="shared" si="47"/>
        <v>0</v>
      </c>
      <c r="K342" s="33">
        <f t="shared" si="51"/>
        <v>0.33333333333333331</v>
      </c>
      <c r="L342" s="43"/>
      <c r="M342" s="43"/>
      <c r="N342" s="44"/>
      <c r="O342" s="44"/>
      <c r="P342" s="44"/>
      <c r="Q342" s="44"/>
      <c r="R342" s="36" t="str">
        <f t="shared" si="48"/>
        <v>--</v>
      </c>
      <c r="S342" s="45"/>
      <c r="T342" s="48"/>
      <c r="U342" s="45"/>
      <c r="V342" s="45"/>
      <c r="W342" s="45"/>
      <c r="X342" s="45"/>
      <c r="Y342" s="45"/>
      <c r="Z342" s="77"/>
    </row>
    <row r="343" spans="1:26" ht="15.75" hidden="1" x14ac:dyDescent="0.25">
      <c r="A343" s="37">
        <v>42707</v>
      </c>
      <c r="B343" s="84">
        <f t="shared" si="49"/>
        <v>48</v>
      </c>
      <c r="C343" s="41"/>
      <c r="D343" s="41"/>
      <c r="E343" s="42"/>
      <c r="F343" s="33" t="str">
        <f t="shared" si="44"/>
        <v>--</v>
      </c>
      <c r="G343" s="88" t="b">
        <f t="shared" si="50"/>
        <v>1</v>
      </c>
      <c r="H343" s="33" t="b">
        <f t="shared" si="45"/>
        <v>0</v>
      </c>
      <c r="I343" s="33" t="b">
        <f t="shared" si="46"/>
        <v>0</v>
      </c>
      <c r="J343" s="33" t="b">
        <f t="shared" si="47"/>
        <v>0</v>
      </c>
      <c r="K343" s="33">
        <f t="shared" si="51"/>
        <v>0</v>
      </c>
      <c r="L343" s="43"/>
      <c r="M343" s="43"/>
      <c r="N343" s="44"/>
      <c r="O343" s="44"/>
      <c r="P343" s="44"/>
      <c r="Q343" s="44"/>
      <c r="R343" s="36" t="str">
        <f t="shared" si="48"/>
        <v>--</v>
      </c>
      <c r="S343" s="45"/>
      <c r="T343" s="48"/>
      <c r="U343" s="45"/>
      <c r="V343" s="45"/>
      <c r="W343" s="45"/>
      <c r="X343" s="45"/>
      <c r="Y343" s="45"/>
      <c r="Z343" s="77"/>
    </row>
    <row r="344" spans="1:26" ht="15.75" hidden="1" x14ac:dyDescent="0.25">
      <c r="A344" s="37">
        <v>42708</v>
      </c>
      <c r="B344" s="84">
        <f t="shared" si="49"/>
        <v>48</v>
      </c>
      <c r="C344" s="41"/>
      <c r="D344" s="41"/>
      <c r="E344" s="42"/>
      <c r="F344" s="33" t="str">
        <f t="shared" si="44"/>
        <v>--</v>
      </c>
      <c r="G344" s="88" t="b">
        <f t="shared" si="50"/>
        <v>1</v>
      </c>
      <c r="H344" s="33" t="b">
        <f t="shared" si="45"/>
        <v>0</v>
      </c>
      <c r="I344" s="33" t="b">
        <f t="shared" si="46"/>
        <v>0</v>
      </c>
      <c r="J344" s="33" t="b">
        <f t="shared" si="47"/>
        <v>0</v>
      </c>
      <c r="K344" s="33">
        <f t="shared" si="51"/>
        <v>0</v>
      </c>
      <c r="L344" s="43"/>
      <c r="M344" s="43"/>
      <c r="N344" s="44"/>
      <c r="O344" s="44"/>
      <c r="P344" s="44"/>
      <c r="Q344" s="44"/>
      <c r="R344" s="36" t="str">
        <f t="shared" si="48"/>
        <v>--</v>
      </c>
      <c r="S344" s="45"/>
      <c r="T344" s="48"/>
      <c r="U344" s="45"/>
      <c r="V344" s="45"/>
      <c r="W344" s="45"/>
      <c r="X344" s="45"/>
      <c r="Y344" s="45"/>
      <c r="Z344" s="77"/>
    </row>
    <row r="345" spans="1:26" ht="15.75" hidden="1" x14ac:dyDescent="0.25">
      <c r="A345" s="37">
        <v>42709</v>
      </c>
      <c r="B345" s="84">
        <f t="shared" si="49"/>
        <v>49</v>
      </c>
      <c r="C345" s="41"/>
      <c r="D345" s="41">
        <v>3.125E-2</v>
      </c>
      <c r="E345" s="42"/>
      <c r="F345" s="33" t="str">
        <f t="shared" si="44"/>
        <v>--</v>
      </c>
      <c r="G345" s="88" t="b">
        <f t="shared" si="50"/>
        <v>0</v>
      </c>
      <c r="H345" s="33" t="b">
        <f t="shared" si="45"/>
        <v>0</v>
      </c>
      <c r="I345" s="33" t="b">
        <f t="shared" si="46"/>
        <v>0</v>
      </c>
      <c r="J345" s="33" t="b">
        <f t="shared" si="47"/>
        <v>0</v>
      </c>
      <c r="K345" s="33">
        <f t="shared" si="51"/>
        <v>0.33333333333333331</v>
      </c>
      <c r="L345" s="43"/>
      <c r="M345" s="43"/>
      <c r="N345" s="44"/>
      <c r="O345" s="44"/>
      <c r="P345" s="44"/>
      <c r="Q345" s="44"/>
      <c r="R345" s="36" t="str">
        <f t="shared" si="48"/>
        <v>--</v>
      </c>
      <c r="S345" s="45"/>
      <c r="T345" s="48"/>
      <c r="U345" s="45"/>
      <c r="V345" s="45"/>
      <c r="W345" s="45"/>
      <c r="X345" s="45"/>
      <c r="Y345" s="45"/>
      <c r="Z345" s="77"/>
    </row>
    <row r="346" spans="1:26" ht="15.75" hidden="1" x14ac:dyDescent="0.25">
      <c r="A346" s="37">
        <v>42710</v>
      </c>
      <c r="B346" s="84">
        <f t="shared" si="49"/>
        <v>49</v>
      </c>
      <c r="C346" s="41"/>
      <c r="D346" s="41">
        <v>3.125E-2</v>
      </c>
      <c r="E346" s="42"/>
      <c r="F346" s="33" t="str">
        <f t="shared" si="44"/>
        <v>--</v>
      </c>
      <c r="G346" s="88" t="b">
        <f t="shared" si="50"/>
        <v>0</v>
      </c>
      <c r="H346" s="33" t="b">
        <f t="shared" si="45"/>
        <v>0</v>
      </c>
      <c r="I346" s="33" t="b">
        <f t="shared" si="46"/>
        <v>0</v>
      </c>
      <c r="J346" s="33" t="b">
        <f t="shared" si="47"/>
        <v>0</v>
      </c>
      <c r="K346" s="33">
        <f t="shared" si="51"/>
        <v>0.33333333333333331</v>
      </c>
      <c r="L346" s="43"/>
      <c r="M346" s="43"/>
      <c r="N346" s="44"/>
      <c r="O346" s="44"/>
      <c r="P346" s="44"/>
      <c r="Q346" s="44"/>
      <c r="R346" s="36" t="str">
        <f t="shared" si="48"/>
        <v>--</v>
      </c>
      <c r="S346" s="45"/>
      <c r="T346" s="48"/>
      <c r="U346" s="45"/>
      <c r="V346" s="45"/>
      <c r="W346" s="45"/>
      <c r="X346" s="45"/>
      <c r="Y346" s="45"/>
      <c r="Z346" s="77"/>
    </row>
    <row r="347" spans="1:26" ht="15.75" hidden="1" x14ac:dyDescent="0.25">
      <c r="A347" s="37">
        <v>42711</v>
      </c>
      <c r="B347" s="84">
        <f t="shared" si="49"/>
        <v>49</v>
      </c>
      <c r="C347" s="41"/>
      <c r="D347" s="41">
        <v>3.125E-2</v>
      </c>
      <c r="E347" s="42"/>
      <c r="F347" s="33" t="str">
        <f t="shared" si="44"/>
        <v>--</v>
      </c>
      <c r="G347" s="88" t="b">
        <f t="shared" si="50"/>
        <v>0</v>
      </c>
      <c r="H347" s="33" t="b">
        <f t="shared" si="45"/>
        <v>0</v>
      </c>
      <c r="I347" s="33" t="b">
        <f t="shared" si="46"/>
        <v>0</v>
      </c>
      <c r="J347" s="33" t="b">
        <f t="shared" si="47"/>
        <v>0</v>
      </c>
      <c r="K347" s="33">
        <f t="shared" si="51"/>
        <v>0.33333333333333331</v>
      </c>
      <c r="L347" s="43"/>
      <c r="M347" s="43"/>
      <c r="N347" s="44"/>
      <c r="O347" s="44"/>
      <c r="P347" s="44"/>
      <c r="Q347" s="44"/>
      <c r="R347" s="36" t="str">
        <f t="shared" si="48"/>
        <v>--</v>
      </c>
      <c r="S347" s="45"/>
      <c r="T347" s="48"/>
      <c r="U347" s="45"/>
      <c r="V347" s="45"/>
      <c r="W347" s="45"/>
      <c r="X347" s="45"/>
      <c r="Y347" s="45"/>
      <c r="Z347" s="77"/>
    </row>
    <row r="348" spans="1:26" ht="15.75" hidden="1" x14ac:dyDescent="0.25">
      <c r="A348" s="37">
        <v>42712</v>
      </c>
      <c r="B348" s="84">
        <f t="shared" si="49"/>
        <v>49</v>
      </c>
      <c r="C348" s="41"/>
      <c r="D348" s="41">
        <v>3.125E-2</v>
      </c>
      <c r="E348" s="42"/>
      <c r="F348" s="33" t="str">
        <f t="shared" si="44"/>
        <v>--</v>
      </c>
      <c r="G348" s="88" t="b">
        <f t="shared" si="50"/>
        <v>0</v>
      </c>
      <c r="H348" s="33" t="b">
        <f t="shared" si="45"/>
        <v>0</v>
      </c>
      <c r="I348" s="33" t="b">
        <f t="shared" si="46"/>
        <v>0</v>
      </c>
      <c r="J348" s="33" t="b">
        <f t="shared" si="47"/>
        <v>0</v>
      </c>
      <c r="K348" s="33">
        <f t="shared" si="51"/>
        <v>0.33333333333333331</v>
      </c>
      <c r="L348" s="43"/>
      <c r="M348" s="43"/>
      <c r="N348" s="44"/>
      <c r="O348" s="44"/>
      <c r="P348" s="44"/>
      <c r="Q348" s="44"/>
      <c r="R348" s="36" t="str">
        <f t="shared" si="48"/>
        <v>--</v>
      </c>
      <c r="S348" s="45"/>
      <c r="T348" s="48"/>
      <c r="U348" s="45"/>
      <c r="V348" s="45"/>
      <c r="W348" s="45"/>
      <c r="X348" s="45"/>
      <c r="Y348" s="45"/>
      <c r="Z348" s="77"/>
    </row>
    <row r="349" spans="1:26" ht="15.75" hidden="1" x14ac:dyDescent="0.25">
      <c r="A349" s="37">
        <v>42713</v>
      </c>
      <c r="B349" s="84">
        <f t="shared" si="49"/>
        <v>49</v>
      </c>
      <c r="C349" s="41"/>
      <c r="D349" s="41">
        <v>3.125E-2</v>
      </c>
      <c r="E349" s="42"/>
      <c r="F349" s="33" t="str">
        <f t="shared" si="44"/>
        <v>--</v>
      </c>
      <c r="G349" s="88" t="b">
        <f t="shared" si="50"/>
        <v>0</v>
      </c>
      <c r="H349" s="33" t="b">
        <f t="shared" si="45"/>
        <v>0</v>
      </c>
      <c r="I349" s="33" t="b">
        <f t="shared" si="46"/>
        <v>0</v>
      </c>
      <c r="J349" s="33" t="b">
        <f t="shared" si="47"/>
        <v>0</v>
      </c>
      <c r="K349" s="33">
        <f t="shared" si="51"/>
        <v>0.33333333333333331</v>
      </c>
      <c r="L349" s="43"/>
      <c r="M349" s="43"/>
      <c r="N349" s="44"/>
      <c r="O349" s="44"/>
      <c r="P349" s="44"/>
      <c r="Q349" s="44"/>
      <c r="R349" s="36" t="str">
        <f t="shared" si="48"/>
        <v>--</v>
      </c>
      <c r="S349" s="45"/>
      <c r="T349" s="48"/>
      <c r="U349" s="45"/>
      <c r="V349" s="45"/>
      <c r="W349" s="45"/>
      <c r="X349" s="45"/>
      <c r="Y349" s="45"/>
      <c r="Z349" s="77"/>
    </row>
    <row r="350" spans="1:26" ht="15.75" hidden="1" x14ac:dyDescent="0.25">
      <c r="A350" s="37">
        <v>42714</v>
      </c>
      <c r="B350" s="84">
        <f t="shared" si="49"/>
        <v>49</v>
      </c>
      <c r="C350" s="41"/>
      <c r="D350" s="41"/>
      <c r="E350" s="42"/>
      <c r="F350" s="33" t="str">
        <f t="shared" si="44"/>
        <v>--</v>
      </c>
      <c r="G350" s="88" t="b">
        <f t="shared" si="50"/>
        <v>1</v>
      </c>
      <c r="H350" s="33" t="b">
        <f t="shared" si="45"/>
        <v>0</v>
      </c>
      <c r="I350" s="33" t="b">
        <f t="shared" si="46"/>
        <v>0</v>
      </c>
      <c r="J350" s="33" t="b">
        <f t="shared" si="47"/>
        <v>0</v>
      </c>
      <c r="K350" s="33">
        <f t="shared" si="51"/>
        <v>0</v>
      </c>
      <c r="L350" s="43"/>
      <c r="M350" s="43"/>
      <c r="N350" s="44"/>
      <c r="O350" s="44"/>
      <c r="P350" s="44"/>
      <c r="Q350" s="44"/>
      <c r="R350" s="36" t="str">
        <f t="shared" si="48"/>
        <v>--</v>
      </c>
      <c r="S350" s="45"/>
      <c r="T350" s="48"/>
      <c r="U350" s="45"/>
      <c r="V350" s="45"/>
      <c r="W350" s="45"/>
      <c r="X350" s="45"/>
      <c r="Y350" s="45"/>
      <c r="Z350" s="77"/>
    </row>
    <row r="351" spans="1:26" ht="15.75" hidden="1" x14ac:dyDescent="0.25">
      <c r="A351" s="37">
        <v>42715</v>
      </c>
      <c r="B351" s="84">
        <f t="shared" si="49"/>
        <v>49</v>
      </c>
      <c r="C351" s="41"/>
      <c r="D351" s="41"/>
      <c r="E351" s="42"/>
      <c r="F351" s="33" t="str">
        <f t="shared" si="44"/>
        <v>--</v>
      </c>
      <c r="G351" s="88" t="b">
        <f t="shared" si="50"/>
        <v>1</v>
      </c>
      <c r="H351" s="33" t="b">
        <f t="shared" si="45"/>
        <v>0</v>
      </c>
      <c r="I351" s="33" t="b">
        <f t="shared" si="46"/>
        <v>0</v>
      </c>
      <c r="J351" s="33" t="b">
        <f t="shared" si="47"/>
        <v>0</v>
      </c>
      <c r="K351" s="33">
        <f t="shared" si="51"/>
        <v>0</v>
      </c>
      <c r="L351" s="43"/>
      <c r="M351" s="43"/>
      <c r="N351" s="44"/>
      <c r="O351" s="44"/>
      <c r="P351" s="44"/>
      <c r="Q351" s="44"/>
      <c r="R351" s="36" t="str">
        <f t="shared" si="48"/>
        <v>--</v>
      </c>
      <c r="S351" s="45"/>
      <c r="T351" s="48"/>
      <c r="U351" s="45"/>
      <c r="V351" s="45"/>
      <c r="W351" s="45"/>
      <c r="X351" s="45"/>
      <c r="Y351" s="45"/>
      <c r="Z351" s="77"/>
    </row>
    <row r="352" spans="1:26" ht="15.75" hidden="1" x14ac:dyDescent="0.25">
      <c r="A352" s="37">
        <v>42716</v>
      </c>
      <c r="B352" s="84">
        <f t="shared" si="49"/>
        <v>50</v>
      </c>
      <c r="C352" s="41"/>
      <c r="D352" s="41">
        <v>3.125E-2</v>
      </c>
      <c r="E352" s="42"/>
      <c r="F352" s="33" t="str">
        <f t="shared" si="44"/>
        <v>--</v>
      </c>
      <c r="G352" s="88" t="b">
        <f t="shared" si="50"/>
        <v>0</v>
      </c>
      <c r="H352" s="33" t="b">
        <f t="shared" si="45"/>
        <v>0</v>
      </c>
      <c r="I352" s="33" t="b">
        <f t="shared" si="46"/>
        <v>0</v>
      </c>
      <c r="J352" s="33" t="b">
        <f t="shared" si="47"/>
        <v>0</v>
      </c>
      <c r="K352" s="33">
        <f t="shared" si="51"/>
        <v>0.33333333333333331</v>
      </c>
      <c r="L352" s="43"/>
      <c r="M352" s="43"/>
      <c r="N352" s="44"/>
      <c r="O352" s="44"/>
      <c r="P352" s="44"/>
      <c r="Q352" s="44"/>
      <c r="R352" s="36" t="str">
        <f t="shared" si="48"/>
        <v>--</v>
      </c>
      <c r="S352" s="45"/>
      <c r="T352" s="48"/>
      <c r="U352" s="45"/>
      <c r="V352" s="45"/>
      <c r="W352" s="45"/>
      <c r="X352" s="45"/>
      <c r="Y352" s="45"/>
      <c r="Z352" s="77"/>
    </row>
    <row r="353" spans="1:26" ht="15.75" hidden="1" x14ac:dyDescent="0.25">
      <c r="A353" s="37">
        <v>42717</v>
      </c>
      <c r="B353" s="84">
        <f t="shared" si="49"/>
        <v>50</v>
      </c>
      <c r="C353" s="41"/>
      <c r="D353" s="41">
        <v>3.125E-2</v>
      </c>
      <c r="E353" s="42"/>
      <c r="F353" s="33" t="str">
        <f t="shared" si="44"/>
        <v>--</v>
      </c>
      <c r="G353" s="88" t="b">
        <f t="shared" si="50"/>
        <v>0</v>
      </c>
      <c r="H353" s="33" t="b">
        <f t="shared" si="45"/>
        <v>0</v>
      </c>
      <c r="I353" s="33" t="b">
        <f t="shared" si="46"/>
        <v>0</v>
      </c>
      <c r="J353" s="33" t="b">
        <f t="shared" si="47"/>
        <v>0</v>
      </c>
      <c r="K353" s="33">
        <f t="shared" si="51"/>
        <v>0.33333333333333331</v>
      </c>
      <c r="L353" s="43"/>
      <c r="M353" s="43"/>
      <c r="N353" s="44"/>
      <c r="O353" s="44"/>
      <c r="P353" s="44"/>
      <c r="Q353" s="44"/>
      <c r="R353" s="36" t="str">
        <f t="shared" si="48"/>
        <v>--</v>
      </c>
      <c r="S353" s="45"/>
      <c r="T353" s="48"/>
      <c r="U353" s="45"/>
      <c r="V353" s="45"/>
      <c r="W353" s="45"/>
      <c r="X353" s="45"/>
      <c r="Y353" s="45"/>
      <c r="Z353" s="77"/>
    </row>
    <row r="354" spans="1:26" ht="15.75" hidden="1" x14ac:dyDescent="0.25">
      <c r="A354" s="37">
        <v>42718</v>
      </c>
      <c r="B354" s="84">
        <f t="shared" si="49"/>
        <v>50</v>
      </c>
      <c r="C354" s="41"/>
      <c r="D354" s="41">
        <v>3.125E-2</v>
      </c>
      <c r="E354" s="42"/>
      <c r="F354" s="33" t="str">
        <f t="shared" si="44"/>
        <v>--</v>
      </c>
      <c r="G354" s="88" t="b">
        <f t="shared" si="50"/>
        <v>0</v>
      </c>
      <c r="H354" s="33" t="b">
        <f t="shared" si="45"/>
        <v>0</v>
      </c>
      <c r="I354" s="33" t="b">
        <f t="shared" si="46"/>
        <v>0</v>
      </c>
      <c r="J354" s="33" t="b">
        <f t="shared" si="47"/>
        <v>0</v>
      </c>
      <c r="K354" s="33">
        <f t="shared" si="51"/>
        <v>0.33333333333333331</v>
      </c>
      <c r="L354" s="43"/>
      <c r="M354" s="43"/>
      <c r="N354" s="44"/>
      <c r="O354" s="44"/>
      <c r="P354" s="44"/>
      <c r="Q354" s="44"/>
      <c r="R354" s="36" t="str">
        <f t="shared" si="48"/>
        <v>--</v>
      </c>
      <c r="S354" s="45"/>
      <c r="T354" s="48"/>
      <c r="U354" s="45"/>
      <c r="V354" s="45"/>
      <c r="W354" s="45"/>
      <c r="X354" s="45"/>
      <c r="Y354" s="45"/>
      <c r="Z354" s="77"/>
    </row>
    <row r="355" spans="1:26" ht="15.75" hidden="1" x14ac:dyDescent="0.25">
      <c r="A355" s="37">
        <v>42719</v>
      </c>
      <c r="B355" s="84">
        <f t="shared" si="49"/>
        <v>50</v>
      </c>
      <c r="C355" s="41"/>
      <c r="D355" s="41">
        <v>3.125E-2</v>
      </c>
      <c r="E355" s="42"/>
      <c r="F355" s="33" t="str">
        <f t="shared" si="44"/>
        <v>--</v>
      </c>
      <c r="G355" s="88" t="b">
        <f t="shared" si="50"/>
        <v>0</v>
      </c>
      <c r="H355" s="33" t="b">
        <f t="shared" si="45"/>
        <v>0</v>
      </c>
      <c r="I355" s="33" t="b">
        <f t="shared" si="46"/>
        <v>0</v>
      </c>
      <c r="J355" s="33" t="b">
        <f t="shared" si="47"/>
        <v>0</v>
      </c>
      <c r="K355" s="33">
        <f t="shared" si="51"/>
        <v>0.33333333333333331</v>
      </c>
      <c r="L355" s="43"/>
      <c r="M355" s="43"/>
      <c r="N355" s="44"/>
      <c r="O355" s="44"/>
      <c r="P355" s="44"/>
      <c r="Q355" s="44"/>
      <c r="R355" s="36" t="str">
        <f t="shared" si="48"/>
        <v>--</v>
      </c>
      <c r="S355" s="45"/>
      <c r="T355" s="48"/>
      <c r="U355" s="45"/>
      <c r="V355" s="45"/>
      <c r="W355" s="45"/>
      <c r="X355" s="45"/>
      <c r="Y355" s="45"/>
      <c r="Z355" s="77"/>
    </row>
    <row r="356" spans="1:26" ht="15.75" hidden="1" x14ac:dyDescent="0.25">
      <c r="A356" s="37">
        <v>42720</v>
      </c>
      <c r="B356" s="84">
        <f t="shared" si="49"/>
        <v>50</v>
      </c>
      <c r="C356" s="41"/>
      <c r="D356" s="41">
        <v>3.125E-2</v>
      </c>
      <c r="E356" s="42"/>
      <c r="F356" s="33" t="str">
        <f t="shared" si="44"/>
        <v>--</v>
      </c>
      <c r="G356" s="88" t="b">
        <f t="shared" si="50"/>
        <v>0</v>
      </c>
      <c r="H356" s="33" t="b">
        <f t="shared" si="45"/>
        <v>0</v>
      </c>
      <c r="I356" s="33" t="b">
        <f t="shared" si="46"/>
        <v>0</v>
      </c>
      <c r="J356" s="33" t="b">
        <f t="shared" si="47"/>
        <v>0</v>
      </c>
      <c r="K356" s="33">
        <f t="shared" si="51"/>
        <v>0.33333333333333331</v>
      </c>
      <c r="L356" s="43"/>
      <c r="M356" s="43"/>
      <c r="N356" s="44"/>
      <c r="O356" s="44"/>
      <c r="P356" s="44"/>
      <c r="Q356" s="44"/>
      <c r="R356" s="36" t="str">
        <f t="shared" si="48"/>
        <v>--</v>
      </c>
      <c r="S356" s="45"/>
      <c r="T356" s="48"/>
      <c r="U356" s="45"/>
      <c r="V356" s="45"/>
      <c r="W356" s="45"/>
      <c r="X356" s="45"/>
      <c r="Y356" s="45"/>
      <c r="Z356" s="77"/>
    </row>
    <row r="357" spans="1:26" ht="15.75" hidden="1" x14ac:dyDescent="0.25">
      <c r="A357" s="37">
        <v>42721</v>
      </c>
      <c r="B357" s="84">
        <f t="shared" si="49"/>
        <v>50</v>
      </c>
      <c r="C357" s="41"/>
      <c r="D357" s="41"/>
      <c r="E357" s="42"/>
      <c r="F357" s="33" t="str">
        <f t="shared" si="44"/>
        <v>--</v>
      </c>
      <c r="G357" s="88" t="b">
        <f t="shared" si="50"/>
        <v>1</v>
      </c>
      <c r="H357" s="33" t="b">
        <f t="shared" si="45"/>
        <v>0</v>
      </c>
      <c r="I357" s="33" t="b">
        <f t="shared" si="46"/>
        <v>0</v>
      </c>
      <c r="J357" s="33" t="b">
        <f t="shared" si="47"/>
        <v>0</v>
      </c>
      <c r="K357" s="33">
        <f t="shared" si="51"/>
        <v>0</v>
      </c>
      <c r="L357" s="43"/>
      <c r="M357" s="43"/>
      <c r="N357" s="44"/>
      <c r="O357" s="44"/>
      <c r="P357" s="44"/>
      <c r="Q357" s="44"/>
      <c r="R357" s="36" t="str">
        <f t="shared" si="48"/>
        <v>--</v>
      </c>
      <c r="S357" s="45"/>
      <c r="T357" s="48"/>
      <c r="U357" s="45"/>
      <c r="V357" s="45"/>
      <c r="W357" s="45"/>
      <c r="X357" s="45"/>
      <c r="Y357" s="45"/>
      <c r="Z357" s="77"/>
    </row>
    <row r="358" spans="1:26" ht="15.75" hidden="1" x14ac:dyDescent="0.25">
      <c r="A358" s="37">
        <v>42722</v>
      </c>
      <c r="B358" s="84">
        <f t="shared" si="49"/>
        <v>50</v>
      </c>
      <c r="C358" s="41"/>
      <c r="D358" s="41"/>
      <c r="E358" s="42"/>
      <c r="F358" s="33" t="str">
        <f t="shared" si="44"/>
        <v>--</v>
      </c>
      <c r="G358" s="88" t="b">
        <f t="shared" si="50"/>
        <v>1</v>
      </c>
      <c r="H358" s="33" t="b">
        <f t="shared" si="45"/>
        <v>0</v>
      </c>
      <c r="I358" s="33" t="b">
        <f t="shared" si="46"/>
        <v>0</v>
      </c>
      <c r="J358" s="33" t="b">
        <f t="shared" si="47"/>
        <v>0</v>
      </c>
      <c r="K358" s="33">
        <f t="shared" si="51"/>
        <v>0</v>
      </c>
      <c r="L358" s="43"/>
      <c r="M358" s="43"/>
      <c r="N358" s="44"/>
      <c r="O358" s="44"/>
      <c r="P358" s="44"/>
      <c r="Q358" s="44"/>
      <c r="R358" s="36" t="str">
        <f t="shared" si="48"/>
        <v>--</v>
      </c>
      <c r="S358" s="45"/>
      <c r="T358" s="48"/>
      <c r="U358" s="45"/>
      <c r="V358" s="45"/>
      <c r="W358" s="45"/>
      <c r="X358" s="45"/>
      <c r="Y358" s="45"/>
      <c r="Z358" s="77"/>
    </row>
    <row r="359" spans="1:26" ht="15.75" hidden="1" x14ac:dyDescent="0.25">
      <c r="A359" s="37">
        <v>42723</v>
      </c>
      <c r="B359" s="84">
        <f t="shared" si="49"/>
        <v>51</v>
      </c>
      <c r="C359" s="41"/>
      <c r="D359" s="41">
        <v>3.125E-2</v>
      </c>
      <c r="E359" s="42"/>
      <c r="F359" s="33" t="str">
        <f t="shared" si="44"/>
        <v>--</v>
      </c>
      <c r="G359" s="88" t="b">
        <f t="shared" si="50"/>
        <v>0</v>
      </c>
      <c r="H359" s="33" t="b">
        <f t="shared" si="45"/>
        <v>0</v>
      </c>
      <c r="I359" s="33" t="b">
        <f t="shared" si="46"/>
        <v>0</v>
      </c>
      <c r="J359" s="33" t="b">
        <f t="shared" si="47"/>
        <v>0</v>
      </c>
      <c r="K359" s="33">
        <f t="shared" si="51"/>
        <v>0.33333333333333331</v>
      </c>
      <c r="L359" s="43"/>
      <c r="M359" s="43"/>
      <c r="N359" s="44"/>
      <c r="O359" s="44"/>
      <c r="P359" s="44"/>
      <c r="Q359" s="44"/>
      <c r="R359" s="36" t="str">
        <f t="shared" si="48"/>
        <v>--</v>
      </c>
      <c r="S359" s="45"/>
      <c r="T359" s="48"/>
      <c r="U359" s="45"/>
      <c r="V359" s="45"/>
      <c r="W359" s="45"/>
      <c r="X359" s="45"/>
      <c r="Y359" s="45"/>
      <c r="Z359" s="77"/>
    </row>
    <row r="360" spans="1:26" ht="15.75" hidden="1" x14ac:dyDescent="0.25">
      <c r="A360" s="37">
        <v>42724</v>
      </c>
      <c r="B360" s="84">
        <f t="shared" si="49"/>
        <v>51</v>
      </c>
      <c r="C360" s="41"/>
      <c r="D360" s="41">
        <v>3.125E-2</v>
      </c>
      <c r="E360" s="42"/>
      <c r="F360" s="33" t="str">
        <f t="shared" si="44"/>
        <v>--</v>
      </c>
      <c r="G360" s="88" t="b">
        <f t="shared" si="50"/>
        <v>0</v>
      </c>
      <c r="H360" s="33" t="b">
        <f t="shared" si="45"/>
        <v>0</v>
      </c>
      <c r="I360" s="33" t="b">
        <f t="shared" si="46"/>
        <v>0</v>
      </c>
      <c r="J360" s="33" t="b">
        <f t="shared" si="47"/>
        <v>0</v>
      </c>
      <c r="K360" s="33">
        <f t="shared" si="51"/>
        <v>0.33333333333333331</v>
      </c>
      <c r="L360" s="43"/>
      <c r="M360" s="43"/>
      <c r="N360" s="44"/>
      <c r="O360" s="44"/>
      <c r="P360" s="44"/>
      <c r="Q360" s="44"/>
      <c r="R360" s="36" t="str">
        <f t="shared" si="48"/>
        <v>--</v>
      </c>
      <c r="S360" s="45"/>
      <c r="T360" s="48"/>
      <c r="U360" s="45"/>
      <c r="V360" s="45"/>
      <c r="W360" s="45"/>
      <c r="X360" s="45"/>
      <c r="Y360" s="45"/>
      <c r="Z360" s="77"/>
    </row>
    <row r="361" spans="1:26" ht="15.75" hidden="1" x14ac:dyDescent="0.25">
      <c r="A361" s="37">
        <v>42725</v>
      </c>
      <c r="B361" s="84">
        <f t="shared" si="49"/>
        <v>51</v>
      </c>
      <c r="C361" s="41"/>
      <c r="D361" s="41">
        <v>3.125E-2</v>
      </c>
      <c r="E361" s="42"/>
      <c r="F361" s="33" t="str">
        <f t="shared" si="44"/>
        <v>--</v>
      </c>
      <c r="G361" s="88" t="b">
        <f t="shared" si="50"/>
        <v>0</v>
      </c>
      <c r="H361" s="33" t="b">
        <f t="shared" si="45"/>
        <v>0</v>
      </c>
      <c r="I361" s="33" t="b">
        <f t="shared" si="46"/>
        <v>0</v>
      </c>
      <c r="J361" s="33" t="b">
        <f t="shared" si="47"/>
        <v>0</v>
      </c>
      <c r="K361" s="33">
        <f t="shared" si="51"/>
        <v>0.33333333333333331</v>
      </c>
      <c r="L361" s="43"/>
      <c r="M361" s="43"/>
      <c r="N361" s="44"/>
      <c r="O361" s="44"/>
      <c r="P361" s="44"/>
      <c r="Q361" s="44"/>
      <c r="R361" s="36" t="str">
        <f t="shared" si="48"/>
        <v>--</v>
      </c>
      <c r="S361" s="45"/>
      <c r="T361" s="48"/>
      <c r="U361" s="45"/>
      <c r="V361" s="45"/>
      <c r="W361" s="45"/>
      <c r="X361" s="45"/>
      <c r="Y361" s="45"/>
      <c r="Z361" s="77"/>
    </row>
    <row r="362" spans="1:26" ht="15.75" hidden="1" x14ac:dyDescent="0.25">
      <c r="A362" s="37">
        <v>42726</v>
      </c>
      <c r="B362" s="84">
        <f t="shared" si="49"/>
        <v>51</v>
      </c>
      <c r="C362" s="41"/>
      <c r="D362" s="41">
        <v>3.125E-2</v>
      </c>
      <c r="E362" s="42"/>
      <c r="F362" s="33" t="str">
        <f t="shared" si="44"/>
        <v>--</v>
      </c>
      <c r="G362" s="88" t="b">
        <f t="shared" si="50"/>
        <v>0</v>
      </c>
      <c r="H362" s="33" t="b">
        <f t="shared" si="45"/>
        <v>0</v>
      </c>
      <c r="I362" s="33" t="b">
        <f t="shared" si="46"/>
        <v>0</v>
      </c>
      <c r="J362" s="33" t="b">
        <f t="shared" si="47"/>
        <v>0</v>
      </c>
      <c r="K362" s="33">
        <f t="shared" si="51"/>
        <v>0.33333333333333331</v>
      </c>
      <c r="L362" s="43"/>
      <c r="M362" s="43"/>
      <c r="N362" s="44"/>
      <c r="O362" s="44"/>
      <c r="P362" s="44"/>
      <c r="Q362" s="44"/>
      <c r="R362" s="36" t="str">
        <f t="shared" si="48"/>
        <v>--</v>
      </c>
      <c r="S362" s="45"/>
      <c r="T362" s="48"/>
      <c r="U362" s="45"/>
      <c r="V362" s="45"/>
      <c r="W362" s="45"/>
      <c r="X362" s="45"/>
      <c r="Y362" s="45"/>
      <c r="Z362" s="77"/>
    </row>
    <row r="363" spans="1:26" ht="15.75" hidden="1" x14ac:dyDescent="0.25">
      <c r="A363" s="37">
        <v>42727</v>
      </c>
      <c r="B363" s="84">
        <f t="shared" si="49"/>
        <v>51</v>
      </c>
      <c r="C363" s="41"/>
      <c r="D363" s="41"/>
      <c r="E363" s="42"/>
      <c r="F363" s="33" t="str">
        <f t="shared" si="44"/>
        <v>--</v>
      </c>
      <c r="G363" s="88" t="b">
        <f t="shared" si="50"/>
        <v>0</v>
      </c>
      <c r="H363" s="33" t="b">
        <f t="shared" si="45"/>
        <v>0</v>
      </c>
      <c r="I363" s="33" t="b">
        <f t="shared" si="46"/>
        <v>1</v>
      </c>
      <c r="J363" s="33" t="b">
        <f t="shared" si="47"/>
        <v>0</v>
      </c>
      <c r="K363" s="33">
        <f t="shared" si="51"/>
        <v>0</v>
      </c>
      <c r="L363" s="43"/>
      <c r="M363" s="43"/>
      <c r="N363" s="44"/>
      <c r="O363" s="44"/>
      <c r="P363" s="44"/>
      <c r="Q363" s="44"/>
      <c r="R363" s="36" t="str">
        <f t="shared" si="48"/>
        <v>--</v>
      </c>
      <c r="S363" s="45"/>
      <c r="T363" s="48"/>
      <c r="U363" s="45"/>
      <c r="V363" s="45"/>
      <c r="W363" s="45"/>
      <c r="X363" s="45"/>
      <c r="Y363" s="45"/>
      <c r="Z363" s="77"/>
    </row>
    <row r="364" spans="1:26" ht="15.75" hidden="1" x14ac:dyDescent="0.25">
      <c r="A364" s="37">
        <v>42728</v>
      </c>
      <c r="B364" s="84">
        <f t="shared" si="49"/>
        <v>51</v>
      </c>
      <c r="C364" s="41"/>
      <c r="D364" s="41"/>
      <c r="E364" s="42"/>
      <c r="F364" s="33" t="str">
        <f t="shared" si="44"/>
        <v>--</v>
      </c>
      <c r="G364" s="88" t="b">
        <f t="shared" si="50"/>
        <v>1</v>
      </c>
      <c r="H364" s="33" t="b">
        <f t="shared" si="45"/>
        <v>0</v>
      </c>
      <c r="I364" s="33" t="b">
        <f t="shared" si="46"/>
        <v>0</v>
      </c>
      <c r="J364" s="33" t="b">
        <f t="shared" si="47"/>
        <v>1</v>
      </c>
      <c r="K364" s="33">
        <f t="shared" si="51"/>
        <v>0</v>
      </c>
      <c r="L364" s="43"/>
      <c r="M364" s="43"/>
      <c r="N364" s="44"/>
      <c r="O364" s="44"/>
      <c r="P364" s="44"/>
      <c r="Q364" s="44"/>
      <c r="R364" s="36" t="str">
        <f t="shared" si="48"/>
        <v>--</v>
      </c>
      <c r="S364" s="45"/>
      <c r="T364" s="48"/>
      <c r="U364" s="45"/>
      <c r="V364" s="45"/>
      <c r="W364" s="45"/>
      <c r="X364" s="45"/>
      <c r="Y364" s="45"/>
      <c r="Z364" s="77"/>
    </row>
    <row r="365" spans="1:26" ht="15.75" hidden="1" x14ac:dyDescent="0.25">
      <c r="A365" s="37">
        <v>42729</v>
      </c>
      <c r="B365" s="84">
        <f t="shared" si="49"/>
        <v>51</v>
      </c>
      <c r="C365" s="41"/>
      <c r="D365" s="41"/>
      <c r="E365" s="42"/>
      <c r="F365" s="33" t="str">
        <f t="shared" si="44"/>
        <v>--</v>
      </c>
      <c r="G365" s="88" t="b">
        <f t="shared" si="50"/>
        <v>1</v>
      </c>
      <c r="H365" s="33" t="b">
        <f t="shared" si="45"/>
        <v>0</v>
      </c>
      <c r="I365" s="33" t="b">
        <f t="shared" si="46"/>
        <v>0</v>
      </c>
      <c r="J365" s="33" t="b">
        <f t="shared" si="47"/>
        <v>1</v>
      </c>
      <c r="K365" s="33">
        <f t="shared" si="51"/>
        <v>0</v>
      </c>
      <c r="L365" s="43"/>
      <c r="M365" s="43"/>
      <c r="N365" s="44"/>
      <c r="O365" s="44"/>
      <c r="P365" s="44"/>
      <c r="Q365" s="44"/>
      <c r="R365" s="36" t="str">
        <f t="shared" si="48"/>
        <v>--</v>
      </c>
      <c r="S365" s="45"/>
      <c r="T365" s="48"/>
      <c r="U365" s="45"/>
      <c r="V365" s="45"/>
      <c r="W365" s="45"/>
      <c r="X365" s="45"/>
      <c r="Y365" s="45"/>
      <c r="Z365" s="77"/>
    </row>
    <row r="366" spans="1:26" ht="15.75" hidden="1" x14ac:dyDescent="0.25">
      <c r="A366" s="37">
        <v>42730</v>
      </c>
      <c r="B366" s="84">
        <f t="shared" si="49"/>
        <v>52</v>
      </c>
      <c r="C366" s="41"/>
      <c r="D366" s="41"/>
      <c r="E366" s="42"/>
      <c r="F366" s="33" t="str">
        <f t="shared" si="44"/>
        <v>--</v>
      </c>
      <c r="G366" s="88" t="b">
        <f t="shared" si="50"/>
        <v>0</v>
      </c>
      <c r="H366" s="33" t="b">
        <f t="shared" si="45"/>
        <v>0</v>
      </c>
      <c r="I366" s="33" t="b">
        <f t="shared" si="46"/>
        <v>0</v>
      </c>
      <c r="J366" s="33" t="b">
        <f t="shared" si="47"/>
        <v>1</v>
      </c>
      <c r="K366" s="33">
        <f t="shared" si="51"/>
        <v>0</v>
      </c>
      <c r="L366" s="43"/>
      <c r="M366" s="43"/>
      <c r="N366" s="44"/>
      <c r="O366" s="44"/>
      <c r="P366" s="44"/>
      <c r="Q366" s="44"/>
      <c r="R366" s="36" t="str">
        <f t="shared" si="48"/>
        <v>--</v>
      </c>
      <c r="S366" s="45"/>
      <c r="T366" s="48"/>
      <c r="U366" s="45"/>
      <c r="V366" s="45"/>
      <c r="W366" s="45"/>
      <c r="X366" s="45"/>
      <c r="Y366" s="45"/>
      <c r="Z366" s="77"/>
    </row>
    <row r="367" spans="1:26" ht="15.75" hidden="1" x14ac:dyDescent="0.25">
      <c r="A367" s="37">
        <v>42731</v>
      </c>
      <c r="B367" s="84">
        <f t="shared" si="49"/>
        <v>52</v>
      </c>
      <c r="C367" s="41"/>
      <c r="D367" s="41">
        <v>3.125E-2</v>
      </c>
      <c r="E367" s="42"/>
      <c r="F367" s="33" t="str">
        <f t="shared" si="44"/>
        <v>--</v>
      </c>
      <c r="G367" s="88" t="b">
        <f t="shared" si="50"/>
        <v>0</v>
      </c>
      <c r="H367" s="33" t="b">
        <f t="shared" si="45"/>
        <v>0</v>
      </c>
      <c r="I367" s="33" t="b">
        <f t="shared" si="46"/>
        <v>0</v>
      </c>
      <c r="J367" s="33" t="b">
        <f t="shared" si="47"/>
        <v>0</v>
      </c>
      <c r="K367" s="33">
        <f t="shared" si="51"/>
        <v>0.33333333333333331</v>
      </c>
      <c r="L367" s="43"/>
      <c r="M367" s="43"/>
      <c r="N367" s="44"/>
      <c r="O367" s="44"/>
      <c r="P367" s="44"/>
      <c r="Q367" s="44"/>
      <c r="R367" s="36" t="str">
        <f t="shared" si="48"/>
        <v>--</v>
      </c>
      <c r="S367" s="45"/>
      <c r="T367" s="48"/>
      <c r="U367" s="45"/>
      <c r="V367" s="45"/>
      <c r="W367" s="45"/>
      <c r="X367" s="45"/>
      <c r="Y367" s="45"/>
      <c r="Z367" s="77"/>
    </row>
    <row r="368" spans="1:26" ht="15.75" hidden="1" x14ac:dyDescent="0.25">
      <c r="A368" s="37">
        <v>42732</v>
      </c>
      <c r="B368" s="84">
        <f t="shared" si="49"/>
        <v>52</v>
      </c>
      <c r="C368" s="41"/>
      <c r="D368" s="41">
        <v>3.125E-2</v>
      </c>
      <c r="E368" s="42"/>
      <c r="F368" s="33" t="str">
        <f t="shared" si="44"/>
        <v>--</v>
      </c>
      <c r="G368" s="88" t="b">
        <f t="shared" si="50"/>
        <v>0</v>
      </c>
      <c r="H368" s="33" t="b">
        <f t="shared" si="45"/>
        <v>0</v>
      </c>
      <c r="I368" s="33" t="b">
        <f t="shared" si="46"/>
        <v>0</v>
      </c>
      <c r="J368" s="33" t="b">
        <f t="shared" si="47"/>
        <v>0</v>
      </c>
      <c r="K368" s="33">
        <f t="shared" si="51"/>
        <v>0.33333333333333331</v>
      </c>
      <c r="L368" s="43"/>
      <c r="M368" s="43"/>
      <c r="N368" s="44"/>
      <c r="O368" s="44"/>
      <c r="P368" s="44"/>
      <c r="Q368" s="44"/>
      <c r="R368" s="36" t="str">
        <f t="shared" si="48"/>
        <v>--</v>
      </c>
      <c r="S368" s="45"/>
      <c r="T368" s="48"/>
      <c r="U368" s="45"/>
      <c r="V368" s="45"/>
      <c r="W368" s="45"/>
      <c r="X368" s="45"/>
      <c r="Y368" s="45"/>
      <c r="Z368" s="77"/>
    </row>
    <row r="369" spans="1:26" ht="15.75" hidden="1" x14ac:dyDescent="0.25">
      <c r="A369" s="37">
        <v>42733</v>
      </c>
      <c r="B369" s="84">
        <f t="shared" si="49"/>
        <v>52</v>
      </c>
      <c r="C369" s="41"/>
      <c r="D369" s="41">
        <v>3.125E-2</v>
      </c>
      <c r="E369" s="42"/>
      <c r="F369" s="33" t="str">
        <f t="shared" si="44"/>
        <v>--</v>
      </c>
      <c r="G369" s="88" t="b">
        <f t="shared" si="50"/>
        <v>0</v>
      </c>
      <c r="H369" s="33" t="b">
        <f t="shared" si="45"/>
        <v>0</v>
      </c>
      <c r="I369" s="33" t="b">
        <f t="shared" si="46"/>
        <v>0</v>
      </c>
      <c r="J369" s="33" t="b">
        <f t="shared" si="47"/>
        <v>0</v>
      </c>
      <c r="K369" s="33">
        <f t="shared" si="51"/>
        <v>0.33333333333333331</v>
      </c>
      <c r="L369" s="43"/>
      <c r="M369" s="43"/>
      <c r="N369" s="44"/>
      <c r="O369" s="44"/>
      <c r="P369" s="44"/>
      <c r="Q369" s="44"/>
      <c r="R369" s="36" t="str">
        <f t="shared" si="48"/>
        <v>--</v>
      </c>
      <c r="S369" s="45"/>
      <c r="T369" s="48"/>
      <c r="U369" s="45"/>
      <c r="V369" s="45"/>
      <c r="W369" s="45"/>
      <c r="X369" s="45"/>
      <c r="Y369" s="45"/>
      <c r="Z369" s="77"/>
    </row>
    <row r="370" spans="1:26" ht="15.75" hidden="1" x14ac:dyDescent="0.25">
      <c r="A370" s="37">
        <v>42734</v>
      </c>
      <c r="B370" s="84">
        <f t="shared" si="49"/>
        <v>52</v>
      </c>
      <c r="C370" s="41"/>
      <c r="D370" s="41">
        <v>3.125E-2</v>
      </c>
      <c r="E370" s="42"/>
      <c r="F370" s="33" t="str">
        <f t="shared" si="44"/>
        <v>--</v>
      </c>
      <c r="G370" s="88" t="b">
        <f t="shared" si="50"/>
        <v>0</v>
      </c>
      <c r="H370" s="33" t="b">
        <f t="shared" si="45"/>
        <v>0</v>
      </c>
      <c r="I370" s="33" t="b">
        <f t="shared" si="46"/>
        <v>0</v>
      </c>
      <c r="J370" s="33" t="b">
        <f t="shared" si="47"/>
        <v>0</v>
      </c>
      <c r="K370" s="33">
        <f t="shared" si="51"/>
        <v>0.33333333333333331</v>
      </c>
      <c r="L370" s="43"/>
      <c r="M370" s="43"/>
      <c r="N370" s="44"/>
      <c r="O370" s="44"/>
      <c r="P370" s="44"/>
      <c r="Q370" s="44"/>
      <c r="R370" s="36" t="str">
        <f t="shared" si="48"/>
        <v>--</v>
      </c>
      <c r="S370" s="45"/>
      <c r="T370" s="48"/>
      <c r="U370" s="45"/>
      <c r="V370" s="45"/>
      <c r="W370" s="45"/>
      <c r="X370" s="45"/>
      <c r="Y370" s="45"/>
      <c r="Z370" s="77"/>
    </row>
    <row r="371" spans="1:26" ht="15.75" hidden="1" x14ac:dyDescent="0.25">
      <c r="A371" s="37">
        <v>42735</v>
      </c>
      <c r="B371" s="84">
        <f t="shared" si="49"/>
        <v>52</v>
      </c>
      <c r="C371" s="41"/>
      <c r="D371" s="41"/>
      <c r="E371" s="42"/>
      <c r="F371" s="33" t="str">
        <f t="shared" si="44"/>
        <v>--</v>
      </c>
      <c r="G371" s="88" t="b">
        <f t="shared" si="50"/>
        <v>1</v>
      </c>
      <c r="H371" s="33" t="b">
        <f t="shared" si="45"/>
        <v>0</v>
      </c>
      <c r="I371" s="33" t="b">
        <f t="shared" si="46"/>
        <v>0</v>
      </c>
      <c r="J371" s="33" t="b">
        <f t="shared" si="47"/>
        <v>1</v>
      </c>
      <c r="K371" s="33">
        <f t="shared" si="51"/>
        <v>0</v>
      </c>
      <c r="L371" s="43"/>
      <c r="M371" s="43"/>
      <c r="N371" s="44"/>
      <c r="O371" s="44"/>
      <c r="P371" s="44"/>
      <c r="Q371" s="44"/>
      <c r="R371" s="36" t="str">
        <f t="shared" si="48"/>
        <v>--</v>
      </c>
      <c r="S371" s="45"/>
      <c r="T371" s="48"/>
      <c r="U371" s="45"/>
      <c r="V371" s="45"/>
      <c r="W371" s="45"/>
      <c r="X371" s="45"/>
      <c r="Y371" s="45"/>
      <c r="Z371" s="77"/>
    </row>
  </sheetData>
  <autoFilter ref="A5:Z371">
    <filterColumn colId="0">
      <customFilters and="1">
        <customFilter operator="greaterThanOrEqual" val="42552"/>
        <customFilter operator="lessThanOrEqual" val="42582"/>
      </customFilters>
    </filterColumn>
  </autoFilter>
  <phoneticPr fontId="0" type="noConversion"/>
  <conditionalFormatting sqref="A6:E371">
    <cfRule type="expression" dxfId="21" priority="4">
      <formula>MATCH($A6,rATK,0)&gt;0</formula>
    </cfRule>
    <cfRule type="expression" dxfId="20" priority="5">
      <formula>MATCH($A6,rHelger,0)&gt;0</formula>
    </cfRule>
  </conditionalFormatting>
  <conditionalFormatting sqref="A6:B371">
    <cfRule type="expression" dxfId="19" priority="3">
      <formula>WEEKDAY($A6)=1</formula>
    </cfRule>
  </conditionalFormatting>
  <conditionalFormatting sqref="C6:E371">
    <cfRule type="expression" dxfId="18" priority="6">
      <formula>WEEKDAY($A6)=1</formula>
    </cfRule>
    <cfRule type="expression" dxfId="17" priority="7">
      <formula>WEEKDAY($A6)=7</formula>
    </cfRule>
  </conditionalFormatting>
  <conditionalFormatting sqref="A6:Z371">
    <cfRule type="expression" dxfId="16" priority="1">
      <formula>MATCH($A6,rSemester,0)&gt;0</formula>
    </cfRule>
  </conditionalFormatting>
  <printOptions horizontalCentered="1"/>
  <pageMargins left="0.39370078740157483" right="0.19685039370078741" top="0.51181102362204722" bottom="0.6692913385826772" header="0.39370078740157483" footer="0.47244094488188981"/>
  <pageSetup paperSize="9" scale="62" orientation="landscape" horizontalDpi="300" verticalDpi="300" r:id="rId1"/>
  <headerFooter alignWithMargins="0">
    <oddFooter>&amp;L&amp;6&amp;Z&amp;F&amp;R&amp;"Arial,Fet"&amp;12Johnson Matthey AB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Spinner 1">
              <controlPr defaultSize="0" print="0" autoPict="0" macro="[0]!Spinner1_Change">
                <anchor>
                  <from>
                    <xdr:col>0</xdr:col>
                    <xdr:colOff>238125</xdr:colOff>
                    <xdr:row>0</xdr:row>
                    <xdr:rowOff>685800</xdr:rowOff>
                  </from>
                  <to>
                    <xdr:col>0</xdr:col>
                    <xdr:colOff>781050</xdr:colOff>
                    <xdr:row>0</xdr:row>
                    <xdr:rowOff>1447800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DaysOff"/>
  <dimension ref="A1:I75"/>
  <sheetViews>
    <sheetView workbookViewId="0">
      <selection activeCell="B47" sqref="B47"/>
    </sheetView>
  </sheetViews>
  <sheetFormatPr defaultRowHeight="12.75" x14ac:dyDescent="0.2"/>
  <cols>
    <col min="2" max="2" width="11" customWidth="1"/>
    <col min="3" max="3" width="12.140625" customWidth="1"/>
    <col min="4" max="4" width="53.42578125" bestFit="1" customWidth="1"/>
  </cols>
  <sheetData>
    <row r="1" spans="1:4" ht="57" customHeight="1" x14ac:dyDescent="0.4">
      <c r="A1" s="95" t="s">
        <v>62</v>
      </c>
      <c r="B1" s="95"/>
      <c r="C1" s="95"/>
      <c r="D1" s="95"/>
    </row>
    <row r="2" spans="1:4" x14ac:dyDescent="0.2">
      <c r="A2" s="69" t="s">
        <v>38</v>
      </c>
      <c r="B2" s="52" t="s">
        <v>0</v>
      </c>
      <c r="C2" s="53" t="s">
        <v>39</v>
      </c>
      <c r="D2" s="71" t="s">
        <v>40</v>
      </c>
    </row>
    <row r="3" spans="1:4" x14ac:dyDescent="0.2">
      <c r="A3" s="70">
        <v>1</v>
      </c>
      <c r="B3" s="57">
        <v>42373</v>
      </c>
      <c r="C3" s="58">
        <f>IF(B3&lt;&gt;"",B3,"")</f>
        <v>42373</v>
      </c>
      <c r="D3" s="72" t="s">
        <v>66</v>
      </c>
    </row>
    <row r="4" spans="1:4" x14ac:dyDescent="0.2">
      <c r="A4" s="70">
        <v>2</v>
      </c>
      <c r="B4" s="57">
        <v>42374</v>
      </c>
      <c r="C4" s="58">
        <f>IF(B4&lt;&gt;"",B4,"")</f>
        <v>42374</v>
      </c>
      <c r="D4" s="72" t="s">
        <v>66</v>
      </c>
    </row>
    <row r="5" spans="1:4" x14ac:dyDescent="0.2">
      <c r="A5" s="70">
        <v>3</v>
      </c>
      <c r="B5" s="57">
        <v>42496</v>
      </c>
      <c r="C5" s="58">
        <f>IF(B5&lt;&gt;"",B5,"")</f>
        <v>42496</v>
      </c>
      <c r="D5" s="72" t="s">
        <v>66</v>
      </c>
    </row>
    <row r="6" spans="1:4" x14ac:dyDescent="0.2">
      <c r="A6" s="70">
        <v>4</v>
      </c>
      <c r="B6" s="57">
        <v>42727</v>
      </c>
      <c r="C6" s="58">
        <f>IF(B6&lt;&gt;"",B6,"")</f>
        <v>42727</v>
      </c>
      <c r="D6" s="72" t="s">
        <v>66</v>
      </c>
    </row>
    <row r="7" spans="1:4" x14ac:dyDescent="0.2">
      <c r="A7" s="70">
        <v>5</v>
      </c>
      <c r="B7" s="57"/>
      <c r="C7" s="58" t="str">
        <f>IF(B7&lt;&gt;"",B7,"")</f>
        <v/>
      </c>
      <c r="D7" s="72" t="s">
        <v>67</v>
      </c>
    </row>
    <row r="8" spans="1:4" x14ac:dyDescent="0.2">
      <c r="A8" s="73">
        <v>6</v>
      </c>
      <c r="B8" s="65"/>
      <c r="C8" s="65"/>
      <c r="D8" s="74" t="s">
        <v>47</v>
      </c>
    </row>
    <row r="14" spans="1:4" s="75" customFormat="1" ht="42.75" customHeight="1" x14ac:dyDescent="0.4">
      <c r="A14" s="95" t="s">
        <v>65</v>
      </c>
      <c r="B14" s="95"/>
      <c r="C14" s="95"/>
      <c r="D14" s="95"/>
    </row>
    <row r="15" spans="1:4" x14ac:dyDescent="0.2">
      <c r="A15" s="54" t="s">
        <v>38</v>
      </c>
      <c r="B15" s="55" t="s">
        <v>0</v>
      </c>
      <c r="C15" s="53" t="s">
        <v>39</v>
      </c>
      <c r="D15" s="55" t="s">
        <v>41</v>
      </c>
    </row>
    <row r="16" spans="1:4" x14ac:dyDescent="0.2">
      <c r="A16" s="56">
        <v>1</v>
      </c>
      <c r="B16" s="59">
        <v>42370</v>
      </c>
      <c r="C16" s="58">
        <f t="shared" ref="C16:C35" si="0">IF(B16&lt;&gt;"",B16,"")</f>
        <v>42370</v>
      </c>
      <c r="D16" s="60" t="s">
        <v>59</v>
      </c>
    </row>
    <row r="17" spans="1:9" x14ac:dyDescent="0.2">
      <c r="A17" s="56">
        <v>2</v>
      </c>
      <c r="B17" s="59">
        <v>42375</v>
      </c>
      <c r="C17" s="58">
        <f t="shared" si="0"/>
        <v>42375</v>
      </c>
      <c r="D17" s="60" t="s">
        <v>60</v>
      </c>
    </row>
    <row r="18" spans="1:9" x14ac:dyDescent="0.2">
      <c r="A18" s="56">
        <v>3</v>
      </c>
      <c r="B18" s="59">
        <v>42454</v>
      </c>
      <c r="C18" s="58">
        <f t="shared" si="0"/>
        <v>42454</v>
      </c>
      <c r="D18" s="60" t="s">
        <v>42</v>
      </c>
    </row>
    <row r="19" spans="1:9" x14ac:dyDescent="0.2">
      <c r="A19" s="56">
        <v>4</v>
      </c>
      <c r="B19" s="59">
        <v>42456</v>
      </c>
      <c r="C19" s="58">
        <f t="shared" si="0"/>
        <v>42456</v>
      </c>
      <c r="D19" s="60" t="s">
        <v>43</v>
      </c>
    </row>
    <row r="20" spans="1:9" x14ac:dyDescent="0.2">
      <c r="A20" s="56">
        <v>5</v>
      </c>
      <c r="B20" s="59">
        <v>42457</v>
      </c>
      <c r="C20" s="58">
        <f t="shared" si="0"/>
        <v>42457</v>
      </c>
      <c r="D20" s="60" t="s">
        <v>44</v>
      </c>
    </row>
    <row r="21" spans="1:9" x14ac:dyDescent="0.2">
      <c r="A21" s="56">
        <v>6</v>
      </c>
      <c r="B21" s="59">
        <v>42491</v>
      </c>
      <c r="C21" s="58">
        <f t="shared" si="0"/>
        <v>42491</v>
      </c>
      <c r="D21" s="61" t="s">
        <v>45</v>
      </c>
    </row>
    <row r="22" spans="1:9" x14ac:dyDescent="0.2">
      <c r="A22" s="56">
        <v>7</v>
      </c>
      <c r="B22" s="59">
        <v>42495</v>
      </c>
      <c r="C22" s="58">
        <f t="shared" si="0"/>
        <v>42495</v>
      </c>
      <c r="D22" s="61" t="s">
        <v>46</v>
      </c>
    </row>
    <row r="23" spans="1:9" x14ac:dyDescent="0.2">
      <c r="A23" s="56">
        <v>8</v>
      </c>
      <c r="B23" s="59">
        <v>42505</v>
      </c>
      <c r="C23" s="58">
        <f t="shared" si="0"/>
        <v>42505</v>
      </c>
      <c r="D23" s="61" t="s">
        <v>48</v>
      </c>
    </row>
    <row r="24" spans="1:9" x14ac:dyDescent="0.2">
      <c r="A24" s="56">
        <v>9</v>
      </c>
      <c r="B24" s="59">
        <v>42527</v>
      </c>
      <c r="C24" s="58">
        <f t="shared" si="0"/>
        <v>42527</v>
      </c>
      <c r="D24" s="76" t="s">
        <v>49</v>
      </c>
    </row>
    <row r="25" spans="1:9" x14ac:dyDescent="0.2">
      <c r="A25" s="56">
        <v>10</v>
      </c>
      <c r="B25" s="59">
        <v>42545</v>
      </c>
      <c r="C25" s="58">
        <f t="shared" si="0"/>
        <v>42545</v>
      </c>
      <c r="D25" s="60" t="s">
        <v>51</v>
      </c>
    </row>
    <row r="26" spans="1:9" x14ac:dyDescent="0.2">
      <c r="A26" s="56">
        <v>11</v>
      </c>
      <c r="B26" s="59">
        <v>42546</v>
      </c>
      <c r="C26" s="58">
        <f t="shared" si="0"/>
        <v>42546</v>
      </c>
      <c r="D26" s="60" t="s">
        <v>53</v>
      </c>
    </row>
    <row r="27" spans="1:9" x14ac:dyDescent="0.2">
      <c r="A27" s="56">
        <v>12</v>
      </c>
      <c r="B27" s="59">
        <v>42679</v>
      </c>
      <c r="C27" s="58">
        <f t="shared" si="0"/>
        <v>42679</v>
      </c>
      <c r="D27" s="60" t="s">
        <v>54</v>
      </c>
      <c r="I27" s="64"/>
    </row>
    <row r="28" spans="1:9" x14ac:dyDescent="0.2">
      <c r="A28" s="56">
        <v>13</v>
      </c>
      <c r="B28" s="59">
        <v>42728</v>
      </c>
      <c r="C28" s="58">
        <f t="shared" si="0"/>
        <v>42728</v>
      </c>
      <c r="D28" s="60" t="s">
        <v>55</v>
      </c>
      <c r="I28" s="64"/>
    </row>
    <row r="29" spans="1:9" x14ac:dyDescent="0.2">
      <c r="A29" s="56">
        <v>14</v>
      </c>
      <c r="B29" s="59">
        <v>42729</v>
      </c>
      <c r="C29" s="58">
        <f t="shared" si="0"/>
        <v>42729</v>
      </c>
      <c r="D29" s="60" t="s">
        <v>56</v>
      </c>
      <c r="I29" s="64"/>
    </row>
    <row r="30" spans="1:9" x14ac:dyDescent="0.2">
      <c r="A30" s="56">
        <v>15</v>
      </c>
      <c r="B30" s="59">
        <v>42730</v>
      </c>
      <c r="C30" s="58">
        <f t="shared" si="0"/>
        <v>42730</v>
      </c>
      <c r="D30" s="60" t="s">
        <v>57</v>
      </c>
      <c r="I30" s="64"/>
    </row>
    <row r="31" spans="1:9" x14ac:dyDescent="0.2">
      <c r="A31" s="56">
        <v>16</v>
      </c>
      <c r="B31" s="59">
        <v>42735</v>
      </c>
      <c r="C31" s="58">
        <f t="shared" si="0"/>
        <v>42735</v>
      </c>
      <c r="D31" s="60" t="s">
        <v>58</v>
      </c>
    </row>
    <row r="32" spans="1:9" x14ac:dyDescent="0.2">
      <c r="A32" s="56">
        <v>17</v>
      </c>
      <c r="B32" s="59">
        <v>42736</v>
      </c>
      <c r="C32" s="58">
        <f t="shared" si="0"/>
        <v>42736</v>
      </c>
      <c r="D32" s="60" t="s">
        <v>59</v>
      </c>
    </row>
    <row r="33" spans="1:4" x14ac:dyDescent="0.2">
      <c r="A33" s="56">
        <v>18</v>
      </c>
      <c r="B33" s="59">
        <v>42741</v>
      </c>
      <c r="C33" s="58">
        <f t="shared" si="0"/>
        <v>42741</v>
      </c>
      <c r="D33" s="60" t="s">
        <v>60</v>
      </c>
    </row>
    <row r="34" spans="1:4" x14ac:dyDescent="0.2">
      <c r="A34" s="56">
        <v>19</v>
      </c>
      <c r="B34" s="57"/>
      <c r="C34" s="58" t="str">
        <f t="shared" si="0"/>
        <v/>
      </c>
      <c r="D34" s="60"/>
    </row>
    <row r="35" spans="1:4" x14ac:dyDescent="0.2">
      <c r="A35" s="65">
        <v>20</v>
      </c>
      <c r="B35" s="66"/>
      <c r="C35" s="67" t="str">
        <f t="shared" si="0"/>
        <v/>
      </c>
      <c r="D35" s="68"/>
    </row>
    <row r="37" spans="1:4" x14ac:dyDescent="0.2">
      <c r="A37" s="54" t="s">
        <v>63</v>
      </c>
      <c r="B37" s="62" t="s">
        <v>61</v>
      </c>
    </row>
    <row r="40" spans="1:4" x14ac:dyDescent="0.2">
      <c r="D40" s="62" t="s">
        <v>50</v>
      </c>
    </row>
    <row r="41" spans="1:4" x14ac:dyDescent="0.2">
      <c r="D41" t="s">
        <v>52</v>
      </c>
    </row>
    <row r="44" spans="1:4" ht="26.25" x14ac:dyDescent="0.4">
      <c r="A44" s="95" t="s">
        <v>64</v>
      </c>
      <c r="B44" s="95"/>
      <c r="C44" s="95"/>
      <c r="D44" s="95"/>
    </row>
    <row r="45" spans="1:4" x14ac:dyDescent="0.2">
      <c r="A45" s="54" t="s">
        <v>38</v>
      </c>
      <c r="B45" s="55" t="s">
        <v>0</v>
      </c>
      <c r="C45" s="53" t="s">
        <v>39</v>
      </c>
      <c r="D45" s="55" t="s">
        <v>40</v>
      </c>
    </row>
    <row r="46" spans="1:4" x14ac:dyDescent="0.2">
      <c r="A46" s="56">
        <v>1</v>
      </c>
      <c r="B46" s="59"/>
      <c r="C46" s="58" t="str">
        <f t="shared" ref="C46:C65" si="1">IF(B46&lt;&gt;"",B46,"")</f>
        <v/>
      </c>
      <c r="D46" s="60"/>
    </row>
    <row r="47" spans="1:4" x14ac:dyDescent="0.2">
      <c r="A47" s="56">
        <v>2</v>
      </c>
      <c r="B47" s="59"/>
      <c r="C47" s="58" t="str">
        <f t="shared" si="1"/>
        <v/>
      </c>
      <c r="D47" s="60"/>
    </row>
    <row r="48" spans="1:4" x14ac:dyDescent="0.2">
      <c r="A48" s="56">
        <v>3</v>
      </c>
      <c r="B48" s="59"/>
      <c r="C48" s="58" t="str">
        <f t="shared" si="1"/>
        <v/>
      </c>
      <c r="D48" s="60"/>
    </row>
    <row r="49" spans="1:4" x14ac:dyDescent="0.2">
      <c r="A49" s="56">
        <v>4</v>
      </c>
      <c r="B49" s="59"/>
      <c r="C49" s="58" t="str">
        <f t="shared" si="1"/>
        <v/>
      </c>
      <c r="D49" s="61"/>
    </row>
    <row r="50" spans="1:4" x14ac:dyDescent="0.2">
      <c r="A50" s="56">
        <v>5</v>
      </c>
      <c r="B50" s="59"/>
      <c r="C50" s="58" t="str">
        <f t="shared" si="1"/>
        <v/>
      </c>
      <c r="D50" s="61"/>
    </row>
    <row r="51" spans="1:4" x14ac:dyDescent="0.2">
      <c r="A51" s="56">
        <v>6</v>
      </c>
      <c r="B51" s="59"/>
      <c r="C51" s="58" t="str">
        <f t="shared" si="1"/>
        <v/>
      </c>
      <c r="D51" s="61"/>
    </row>
    <row r="52" spans="1:4" x14ac:dyDescent="0.2">
      <c r="A52" s="56">
        <v>7</v>
      </c>
      <c r="B52" s="59"/>
      <c r="C52" s="58" t="str">
        <f t="shared" si="1"/>
        <v/>
      </c>
      <c r="D52" s="60"/>
    </row>
    <row r="53" spans="1:4" x14ac:dyDescent="0.2">
      <c r="A53" s="56">
        <v>8</v>
      </c>
      <c r="B53" s="59"/>
      <c r="C53" s="58" t="str">
        <f t="shared" si="1"/>
        <v/>
      </c>
      <c r="D53" s="60"/>
    </row>
    <row r="54" spans="1:4" x14ac:dyDescent="0.2">
      <c r="A54" s="56">
        <v>9</v>
      </c>
      <c r="B54" s="59"/>
      <c r="C54" s="58" t="str">
        <f t="shared" si="1"/>
        <v/>
      </c>
      <c r="D54" s="60"/>
    </row>
    <row r="55" spans="1:4" x14ac:dyDescent="0.2">
      <c r="A55" s="56">
        <v>10</v>
      </c>
      <c r="B55" s="59"/>
      <c r="C55" s="58" t="str">
        <f t="shared" si="1"/>
        <v/>
      </c>
      <c r="D55" s="60"/>
    </row>
    <row r="56" spans="1:4" x14ac:dyDescent="0.2">
      <c r="A56" s="56">
        <v>11</v>
      </c>
      <c r="B56" s="59"/>
      <c r="C56" s="58" t="str">
        <f t="shared" si="1"/>
        <v/>
      </c>
      <c r="D56" s="60"/>
    </row>
    <row r="57" spans="1:4" x14ac:dyDescent="0.2">
      <c r="A57" s="56">
        <v>12</v>
      </c>
      <c r="B57" s="59"/>
      <c r="C57" s="58" t="str">
        <f t="shared" si="1"/>
        <v/>
      </c>
      <c r="D57" s="60"/>
    </row>
    <row r="58" spans="1:4" x14ac:dyDescent="0.2">
      <c r="A58" s="56">
        <v>13</v>
      </c>
      <c r="B58" s="59"/>
      <c r="C58" s="58" t="str">
        <f t="shared" si="1"/>
        <v/>
      </c>
      <c r="D58" s="60"/>
    </row>
    <row r="59" spans="1:4" x14ac:dyDescent="0.2">
      <c r="A59" s="56">
        <v>14</v>
      </c>
      <c r="B59" s="59"/>
      <c r="C59" s="58" t="str">
        <f t="shared" si="1"/>
        <v/>
      </c>
      <c r="D59" s="60"/>
    </row>
    <row r="60" spans="1:4" x14ac:dyDescent="0.2">
      <c r="A60" s="56">
        <v>15</v>
      </c>
      <c r="B60" s="59"/>
      <c r="C60" s="58" t="str">
        <f t="shared" si="1"/>
        <v/>
      </c>
      <c r="D60" s="60"/>
    </row>
    <row r="61" spans="1:4" x14ac:dyDescent="0.2">
      <c r="A61" s="56">
        <v>16</v>
      </c>
      <c r="B61" s="59"/>
      <c r="C61" s="58" t="str">
        <f t="shared" si="1"/>
        <v/>
      </c>
      <c r="D61" s="60"/>
    </row>
    <row r="62" spans="1:4" x14ac:dyDescent="0.2">
      <c r="A62" s="56">
        <v>17</v>
      </c>
      <c r="B62" s="59"/>
      <c r="C62" s="58" t="str">
        <f t="shared" si="1"/>
        <v/>
      </c>
      <c r="D62" s="63"/>
    </row>
    <row r="63" spans="1:4" x14ac:dyDescent="0.2">
      <c r="A63" s="56">
        <v>18</v>
      </c>
      <c r="B63" s="59"/>
      <c r="C63" s="58" t="str">
        <f t="shared" si="1"/>
        <v/>
      </c>
      <c r="D63" s="60"/>
    </row>
    <row r="64" spans="1:4" x14ac:dyDescent="0.2">
      <c r="A64" s="56">
        <v>19</v>
      </c>
      <c r="B64" s="59"/>
      <c r="C64" s="58" t="str">
        <f t="shared" si="1"/>
        <v/>
      </c>
      <c r="D64" s="60"/>
    </row>
    <row r="65" spans="1:4" x14ac:dyDescent="0.2">
      <c r="A65" s="65">
        <v>20</v>
      </c>
      <c r="B65" s="59"/>
      <c r="C65" s="67" t="str">
        <f t="shared" si="1"/>
        <v/>
      </c>
      <c r="D65" s="68"/>
    </row>
    <row r="66" spans="1:4" x14ac:dyDescent="0.2">
      <c r="A66" s="56">
        <v>21</v>
      </c>
      <c r="B66" s="59"/>
      <c r="C66" s="58" t="str">
        <f t="shared" ref="C66:C75" si="2">IF(B66&lt;&gt;"",B66,"")</f>
        <v/>
      </c>
      <c r="D66" s="60"/>
    </row>
    <row r="67" spans="1:4" x14ac:dyDescent="0.2">
      <c r="A67" s="56">
        <v>22</v>
      </c>
      <c r="B67" s="59"/>
      <c r="C67" s="58" t="str">
        <f t="shared" si="2"/>
        <v/>
      </c>
      <c r="D67" s="60"/>
    </row>
    <row r="68" spans="1:4" x14ac:dyDescent="0.2">
      <c r="A68" s="56">
        <v>23</v>
      </c>
      <c r="B68" s="59"/>
      <c r="C68" s="58" t="str">
        <f t="shared" si="2"/>
        <v/>
      </c>
      <c r="D68" s="60"/>
    </row>
    <row r="69" spans="1:4" x14ac:dyDescent="0.2">
      <c r="A69" s="56">
        <v>24</v>
      </c>
      <c r="B69" s="59"/>
      <c r="C69" s="58" t="str">
        <f t="shared" si="2"/>
        <v/>
      </c>
      <c r="D69" s="61"/>
    </row>
    <row r="70" spans="1:4" x14ac:dyDescent="0.2">
      <c r="A70" s="56">
        <v>25</v>
      </c>
      <c r="B70" s="59"/>
      <c r="C70" s="58" t="str">
        <f t="shared" si="2"/>
        <v/>
      </c>
      <c r="D70" s="61"/>
    </row>
    <row r="71" spans="1:4" x14ac:dyDescent="0.2">
      <c r="A71" s="56">
        <v>26</v>
      </c>
      <c r="B71" s="59"/>
      <c r="C71" s="58" t="str">
        <f t="shared" si="2"/>
        <v/>
      </c>
      <c r="D71" s="61"/>
    </row>
    <row r="72" spans="1:4" x14ac:dyDescent="0.2">
      <c r="A72" s="56">
        <v>27</v>
      </c>
      <c r="B72" s="59"/>
      <c r="C72" s="58" t="str">
        <f t="shared" si="2"/>
        <v/>
      </c>
      <c r="D72" s="60"/>
    </row>
    <row r="73" spans="1:4" x14ac:dyDescent="0.2">
      <c r="A73" s="56">
        <v>28</v>
      </c>
      <c r="B73" s="59"/>
      <c r="C73" s="58" t="str">
        <f t="shared" si="2"/>
        <v/>
      </c>
      <c r="D73" s="60"/>
    </row>
    <row r="74" spans="1:4" x14ac:dyDescent="0.2">
      <c r="A74" s="56">
        <v>29</v>
      </c>
      <c r="B74" s="59"/>
      <c r="C74" s="58" t="str">
        <f t="shared" si="2"/>
        <v/>
      </c>
      <c r="D74" s="60"/>
    </row>
    <row r="75" spans="1:4" x14ac:dyDescent="0.2">
      <c r="A75" s="56">
        <v>30</v>
      </c>
      <c r="B75" s="59"/>
      <c r="C75" s="58" t="str">
        <f t="shared" si="2"/>
        <v/>
      </c>
      <c r="D75" s="60"/>
    </row>
  </sheetData>
  <mergeCells count="3">
    <mergeCell ref="A14:D14"/>
    <mergeCell ref="A1:D1"/>
    <mergeCell ref="A44:D44"/>
  </mergeCells>
  <hyperlinks>
    <hyperlink ref="D40" r:id="rId1"/>
    <hyperlink ref="B37" r:id="rId2"/>
  </hyperlinks>
  <pageMargins left="0.7" right="0.7" top="0.75" bottom="0.75" header="0.3" footer="0.3"/>
  <drawing r:id="rId3"/>
  <legacyDrawing r:id="rId4"/>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JMG Parent CT" ma:contentTypeID="0x010100E318433C7CAD3243AF564124B9527D8D00DAB231049F2067419911E64DFFE6AB0B" ma:contentTypeVersion="65" ma:contentTypeDescription="Content Types for JM Gothenburg (JMG)" ma:contentTypeScope="" ma:versionID="37d8531801ae3e93b8d6685547eafc73">
  <xsd:schema xmlns:xsd="http://www.w3.org/2001/XMLSchema" xmlns:xs="http://www.w3.org/2001/XMLSchema" xmlns:p="http://schemas.microsoft.com/office/2006/metadata/properties" xmlns:ns1="http://schemas.microsoft.com/sharepoint/v3" xmlns:ns2="828c9a8a-99bf-4fd9-b573-158e7e6213f5" xmlns:ns3="4bba6ae9-1688-4b59-8ae8-de7cefb824ed" xmlns:ns4="a124ae34-414f-4377-8436-0797e59542fd" targetNamespace="http://schemas.microsoft.com/office/2006/metadata/properties" ma:root="true" ma:fieldsID="4e62edfd5228a745a82247f39198919c" ns1:_="" ns2:_="" ns3:_="" ns4:_="">
    <xsd:import namespace="http://schemas.microsoft.com/sharepoint/v3"/>
    <xsd:import namespace="828c9a8a-99bf-4fd9-b573-158e7e6213f5"/>
    <xsd:import namespace="4bba6ae9-1688-4b59-8ae8-de7cefb824ed"/>
    <xsd:import namespace="a124ae34-414f-4377-8436-0797e59542fd"/>
    <xsd:element name="properties">
      <xsd:complexType>
        <xsd:sequence>
          <xsd:element name="documentManagement">
            <xsd:complexType>
              <xsd:all>
                <xsd:element ref="ns2:JMG_x0020_Description" minOccurs="0"/>
                <xsd:element ref="ns2:Doc_x0020_Class"/>
                <xsd:element ref="ns2:JMG_x0020_Section" minOccurs="0"/>
                <xsd:element ref="ns2:JMG_x0020_Project" minOccurs="0"/>
                <xsd:element ref="ns2:Doc_x0020_Security"/>
                <xsd:element ref="ns2:Old_x0020_file_x0020_name" minOccurs="0"/>
                <xsd:element ref="ns2:_dlc_DocIdUrl" minOccurs="0"/>
                <xsd:element ref="ns2:_dlc_DocIdPersistId" minOccurs="0"/>
                <xsd:element ref="ns2:_dlc_DocId" minOccurs="0"/>
                <xsd:element ref="ns2:Doc_x0020_name_x0020_copy" minOccurs="0"/>
                <xsd:element ref="ns1:_dlc_Exempt" minOccurs="0"/>
                <xsd:element ref="ns3:DLCPolicyLabelValue" minOccurs="0"/>
                <xsd:element ref="ns3:DLCPolicyLabelClientValue" minOccurs="0"/>
                <xsd:element ref="ns3:DLCPolicyLabelLock" minOccurs="0"/>
                <xsd:element ref="ns4:Approvers"/>
                <xsd:element ref="ns4:Approval_x0020_Type"/>
                <xsd:element ref="ns3:Review_x0020_Interva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dlc_Exempt" ma:index="18"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28c9a8a-99bf-4fd9-b573-158e7e6213f5" elementFormDefault="qualified">
    <xsd:import namespace="http://schemas.microsoft.com/office/2006/documentManagement/types"/>
    <xsd:import namespace="http://schemas.microsoft.com/office/infopath/2007/PartnerControls"/>
    <xsd:element name="JMG_x0020_Description" ma:index="2" nillable="true" ma:displayName="Doc Description" ma:internalName="JMG_x0020_Description">
      <xsd:simpleType>
        <xsd:restriction base="dms:Text">
          <xsd:maxLength value="255"/>
        </xsd:restriction>
      </xsd:simpleType>
    </xsd:element>
    <xsd:element name="Doc_x0020_Class" ma:index="3" ma:displayName="Doc Class" ma:description="JMG Document Class column with a look-up / drop down containing defined JMG Classes (SOP, WIS, MM, etc...)" ma:list="{e1cb9f3e-ba7b-4387-a97a-6ff83ad2c382}" ma:internalName="Doc_x0020_Class" ma:showField="Title" ma:web="828c9a8a-99bf-4fd9-b573-158e7e6213f5">
      <xsd:simpleType>
        <xsd:restriction base="dms:Lookup"/>
      </xsd:simpleType>
    </xsd:element>
    <xsd:element name="JMG_x0020_Section" ma:index="4" nillable="true" ma:displayName="JMG Section" ma:description="JMG Section, e.g. JMG for whole site or e.g. IT for IT group only" ma:list="{1b0a24c9-e17d-40e7-97e2-11a22228f78f}" ma:internalName="JMG_x0020_Section" ma:showField="Title" ma:web="828c9a8a-99bf-4fd9-b573-158e7e6213f5" ma:requiredMultiChoice="true">
      <xsd:complexType>
        <xsd:complexContent>
          <xsd:extension base="dms:MultiChoiceLookup">
            <xsd:sequence>
              <xsd:element name="Value" type="dms:Lookup" maxOccurs="unbounded" minOccurs="0" nillable="true"/>
            </xsd:sequence>
          </xsd:extension>
        </xsd:complexContent>
      </xsd:complexType>
    </xsd:element>
    <xsd:element name="JMG_x0020_Project" ma:index="5" nillable="true" ma:displayName="JMG Project" ma:list="{862eb881-6ae0-49c3-a7a0-82f0f43fde9d}" ma:internalName="JMG_x0020_Project" ma:showField="LinkTitleNoMenu" ma:web="828c9a8a-99bf-4fd9-b573-158e7e6213f5">
      <xsd:simpleType>
        <xsd:restriction base="dms:Lookup"/>
      </xsd:simpleType>
    </xsd:element>
    <xsd:element name="Doc_x0020_Security" ma:index="6" ma:displayName="Doc Security" ma:default="Public" ma:description="Choose security / access level" ma:format="RadioButtons" ma:internalName="Doc_x0020_Security">
      <xsd:simpleType>
        <xsd:restriction base="dms:Choice">
          <xsd:enumeration value="Public"/>
          <xsd:enumeration value="Sensitive"/>
        </xsd:restriction>
      </xsd:simpleType>
    </xsd:element>
    <xsd:element name="Old_x0020_file_x0020_name" ma:index="7" nillable="true" ma:displayName="Uploaded document name" ma:description="Previous file name from network gets copied to this column by an automated Workflow." ma:internalName="Old_x0020_file_x0020_name" ma:readOnly="false">
      <xsd:simpleType>
        <xsd:restriction base="dms:Text">
          <xsd:maxLength value="255"/>
        </xsd:restriction>
      </xsd:simpleType>
    </xsd:element>
    <xsd:element name="_dlc_DocIdUrl" ma:index="8"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9" nillable="true" ma:displayName="Persist ID" ma:description="Keep ID on add." ma:hidden="true" ma:internalName="_dlc_DocIdPersistId" ma:readOnly="true">
      <xsd:simpleType>
        <xsd:restriction base="dms:Boolean"/>
      </xsd:simpleType>
    </xsd:element>
    <xsd:element name="_dlc_DocId" ma:index="16" nillable="true" ma:displayName="Document ID Value" ma:description="The value of the document ID assigned to this item." ma:internalName="_dlc_DocId" ma:readOnly="true">
      <xsd:simpleType>
        <xsd:restriction base="dms:Text"/>
      </xsd:simpleType>
    </xsd:element>
    <xsd:element name="Doc_x0020_name_x0020_copy" ma:index="17" nillable="true" ma:displayName="Doc name copy" ma:internalName="Doc_x0020_name_x0020_copy" ma:readOnly="fals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bba6ae9-1688-4b59-8ae8-de7cefb824ed" elementFormDefault="qualified">
    <xsd:import namespace="http://schemas.microsoft.com/office/2006/documentManagement/types"/>
    <xsd:import namespace="http://schemas.microsoft.com/office/infopath/2007/PartnerControls"/>
    <xsd:element name="DLCPolicyLabelValue" ma:index="19" nillable="true" ma:displayName="Label" ma:description="Stores the current value of the label." ma:internalName="DLCPolicyLabelValue" ma:readOnly="true">
      <xsd:simpleType>
        <xsd:restriction base="dms:Note">
          <xsd:maxLength value="255"/>
        </xsd:restriction>
      </xsd:simpleType>
    </xsd:element>
    <xsd:element name="DLCPolicyLabelClientValue" ma:index="20" nillable="true" ma:displayName="Client Label Value" ma:description="Stores the last label value computed on the client." ma:hidden="true" ma:internalName="DLCPolicyLabelClientValue" ma:readOnly="false">
      <xsd:simpleType>
        <xsd:restriction base="dms:Note"/>
      </xsd:simpleType>
    </xsd:element>
    <xsd:element name="DLCPolicyLabelLock" ma:index="21" nillable="true" ma:displayName="Label Locked" ma:description="Indicates whether the label should be updated when item properties are modified." ma:hidden="true" ma:internalName="DLCPolicyLabelLock" ma:readOnly="false">
      <xsd:simpleType>
        <xsd:restriction base="dms:Text"/>
      </xsd:simpleType>
    </xsd:element>
    <xsd:element name="Review_x0020_Interval" ma:index="27" nillable="true" ma:displayName="Review Interval" ma:default="12" ma:description="No of month between reviews" ma:format="Dropdown" ma:internalName="Review_x0020_Interval">
      <xsd:simpleType>
        <xsd:restriction base="dms:Choice">
          <xsd:enumeration value="3"/>
          <xsd:enumeration value="6"/>
          <xsd:enumeration value="12"/>
          <xsd:enumeration value="24"/>
        </xsd:restriction>
      </xsd:simpleType>
    </xsd:element>
  </xsd:schema>
  <xsd:schema xmlns:xsd="http://www.w3.org/2001/XMLSchema" xmlns:xs="http://www.w3.org/2001/XMLSchema" xmlns:dms="http://schemas.microsoft.com/office/2006/documentManagement/types" xmlns:pc="http://schemas.microsoft.com/office/infopath/2007/PartnerControls" targetNamespace="a124ae34-414f-4377-8436-0797e59542fd" elementFormDefault="qualified">
    <xsd:import namespace="http://schemas.microsoft.com/office/2006/documentManagement/types"/>
    <xsd:import namespace="http://schemas.microsoft.com/office/infopath/2007/PartnerControls"/>
    <xsd:element name="Approvers" ma:index="22" ma:displayName="Approvers" ma:description="Choose a person (or several) to review and approve your document." ma:SharePointGroup="7" ma:internalName="Approvers" ma:readOnly="false" ma:showField="ImnName">
      <xsd:complexType>
        <xsd:complexContent>
          <xsd:extension base="dms:UserMulti">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Approval_x0020_Type" ma:index="23" ma:displayName="Approval Type" ma:default="Single Approver" ma:description="Single Approver: the document will be approved by one of the named Approvers. All Approvers: the document will require approval by all named Approvers." ma:internalName="Approval_x0020_Type" ma:readOnly="false">
      <xsd:simpleType>
        <xsd:restriction base="dms:Choice">
          <xsd:enumeration value="Single Approver"/>
          <xsd:enumeration value="All Approver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26" ma:displayName="Author"/>
        <xsd:element ref="dcterms:created" minOccurs="0" maxOccurs="1"/>
        <xsd:element ref="dc:identifier" minOccurs="0" maxOccurs="1"/>
        <xsd:element name="contentType" minOccurs="0" maxOccurs="1" type="xsd:string" ma:index="10" ma:displayName="Content Type"/>
        <xsd:element ref="dc:title"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p:Policy xmlns:p="office.server.policy" id="" local="true">
  <p:Name>JMG Parent CT</p:Name>
  <p:Description/>
  <p:Statement/>
  <p:PolicyItems>
    <p:PolicyItem featureId="Microsoft.Office.RecordsManagement.PolicyFeatures.PolicyLabel" staticId="0x010100E318433C7CAD3243AF564124B9527D8D00DAB231049F2067419911E64DFFE6AB0B|1593741326" UniqueId="69d3ae56-aa77-446b-bb76-34d45d7886b0">
      <p:Name>Labels</p:Name>
      <p:Description>Generates labels that can be inserted in Microsoft Office documents to ensure that document properties or other important information are included when documents are printed. Labels can also be used to search for documents.</p:Description>
      <p:CustomData>
        <label>
          <properties>
            <font>Calibri</font>
            <fontsize>12</fontsize>
          </properties>
          <segment type="metadata">_UIVersionString</segment>
        </label>
      </p:CustomData>
    </p:PolicyItem>
  </p:PolicyItems>
</p:Policy>
</file>

<file path=customXml/item6.xml><?xml version="1.0" encoding="utf-8"?>
<p:properties xmlns:p="http://schemas.microsoft.com/office/2006/metadata/properties" xmlns:xsi="http://www.w3.org/2001/XMLSchema-instance" xmlns:pc="http://schemas.microsoft.com/office/infopath/2007/PartnerControls">
  <documentManagement>
    <Approval_x0020_Type xmlns="a124ae34-414f-4377-8436-0797e59542fd">Single Approver</Approval_x0020_Type>
    <DLCPolicyLabelLock xmlns="4bba6ae9-1688-4b59-8ae8-de7cefb824ed" xsi:nil="true"/>
    <Doc_x0020_Security xmlns="828c9a8a-99bf-4fd9-b573-158e7e6213f5">Public</Doc_x0020_Security>
    <JMG_x0020_Description xmlns="828c9a8a-99bf-4fd9-b573-158e7e6213f5">Mall för vår tidrapportering.</JMG_x0020_Description>
    <Doc_x0020_name_x0020_copy xmlns="828c9a8a-99bf-4fd9-b573-158e7e6213f5">JMG_267</Doc_x0020_name_x0020_copy>
    <Old_x0020_file_x0020_name xmlns="828c9a8a-99bf-4fd9-b573-158e7e6213f5">JMG_FRM_007.xls</Old_x0020_file_x0020_name>
    <Review_x0020_Interval xmlns="4bba6ae9-1688-4b59-8ae8-de7cefb824ed">12</Review_x0020_Interval>
    <Doc_x0020_Class xmlns="828c9a8a-99bf-4fd9-b573-158e7e6213f5">20</Doc_x0020_Class>
    <DLCPolicyLabelClientValue xmlns="4bba6ae9-1688-4b59-8ae8-de7cefb824ed">{_UIVersionString}</DLCPolicyLabelClientValue>
    <JMG_x0020_Project xmlns="828c9a8a-99bf-4fd9-b573-158e7e6213f5">1</JMG_x0020_Project>
    <Approvers xmlns="a124ae34-414f-4377-8436-0797e59542fd">
      <UserInfo>
        <DisplayName>ENVIRONMENTAL\enemar01</DisplayName>
        <AccountId>152</AccountId>
        <AccountType/>
      </UserInfo>
    </Approvers>
    <JMG_x0020_Section xmlns="828c9a8a-99bf-4fd9-b573-158e7e6213f5">
      <Value>4</Value>
      <Value>16</Value>
      <Value>9</Value>
    </JMG_x0020_Section>
  </documentManagement>
</p:properties>
</file>

<file path=customXml/item7.xml><?xml version="1.0" encoding="utf-8"?>
<?mso-contentType ?>
<FormUrls xmlns="http://schemas.microsoft.com/sharepoint/v3/contenttype/forms/url">
  <New>New ...</New>
</FormUrls>
</file>

<file path=customXml/itemProps1.xml><?xml version="1.0" encoding="utf-8"?>
<ds:datastoreItem xmlns:ds="http://schemas.openxmlformats.org/officeDocument/2006/customXml" ds:itemID="{6187468C-10A2-45AB-A371-BFA6B9140B06}">
  <ds:schemaRefs>
    <ds:schemaRef ds:uri="http://schemas.microsoft.com/sharepoint/events"/>
  </ds:schemaRefs>
</ds:datastoreItem>
</file>

<file path=customXml/itemProps2.xml><?xml version="1.0" encoding="utf-8"?>
<ds:datastoreItem xmlns:ds="http://schemas.openxmlformats.org/officeDocument/2006/customXml" ds:itemID="{13B2DF60-6F2A-4D74-AB06-931F00779C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28c9a8a-99bf-4fd9-b573-158e7e6213f5"/>
    <ds:schemaRef ds:uri="4bba6ae9-1688-4b59-8ae8-de7cefb824ed"/>
    <ds:schemaRef ds:uri="a124ae34-414f-4377-8436-0797e59542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1961D5-0B35-46DD-8A9D-9A1E737DDF22}">
  <ds:schemaRefs>
    <ds:schemaRef ds:uri="http://schemas.microsoft.com/office/2006/metadata/longProperties"/>
  </ds:schemaRefs>
</ds:datastoreItem>
</file>

<file path=customXml/itemProps4.xml><?xml version="1.0" encoding="utf-8"?>
<ds:datastoreItem xmlns:ds="http://schemas.openxmlformats.org/officeDocument/2006/customXml" ds:itemID="{81581585-61CB-4C27-B755-8C8030A6B11D}">
  <ds:schemaRefs>
    <ds:schemaRef ds:uri="http://schemas.microsoft.com/sharepoint/v3/contenttype/forms"/>
  </ds:schemaRefs>
</ds:datastoreItem>
</file>

<file path=customXml/itemProps5.xml><?xml version="1.0" encoding="utf-8"?>
<ds:datastoreItem xmlns:ds="http://schemas.openxmlformats.org/officeDocument/2006/customXml" ds:itemID="{EC00A0DE-FA91-4789-A064-96770E0EF267}">
  <ds:schemaRefs>
    <ds:schemaRef ds:uri="office.server.policy"/>
  </ds:schemaRefs>
</ds:datastoreItem>
</file>

<file path=customXml/itemProps6.xml><?xml version="1.0" encoding="utf-8"?>
<ds:datastoreItem xmlns:ds="http://schemas.openxmlformats.org/officeDocument/2006/customXml" ds:itemID="{4A61C9A5-4CDE-477F-B344-323772AEEB6D}">
  <ds:schemaRefs>
    <ds:schemaRef ds:uri="http://schemas.microsoft.com/sharepoint/v3"/>
    <ds:schemaRef ds:uri="http://purl.org/dc/terms/"/>
    <ds:schemaRef ds:uri="a124ae34-414f-4377-8436-0797e59542fd"/>
    <ds:schemaRef ds:uri="http://purl.org/dc/elements/1.1/"/>
    <ds:schemaRef ds:uri="828c9a8a-99bf-4fd9-b573-158e7e6213f5"/>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4bba6ae9-1688-4b59-8ae8-de7cefb824ed"/>
    <ds:schemaRef ds:uri="http://schemas.microsoft.com/office/2006/metadata/properties"/>
    <ds:schemaRef ds:uri="http://www.w3.org/XML/1998/namespace"/>
  </ds:schemaRefs>
</ds:datastoreItem>
</file>

<file path=customXml/itemProps7.xml><?xml version="1.0" encoding="utf-8"?>
<ds:datastoreItem xmlns:ds="http://schemas.openxmlformats.org/officeDocument/2006/customXml" ds:itemID="{0E9F3AC1-85B9-4B75-9010-74B2248129BA}">
  <ds:schemaRefs>
    <ds:schemaRef ds:uri="http://schemas.microsoft.com/sharepoint/v3/contenttype/forms/ur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2016</vt:lpstr>
      <vt:lpstr>Ledigt</vt:lpstr>
      <vt:lpstr>'2016'!Print_Titles</vt:lpstr>
      <vt:lpstr>rATK</vt:lpstr>
      <vt:lpstr>rHelger</vt:lpstr>
      <vt:lpstr>rSemester</vt:lpstr>
    </vt:vector>
  </TitlesOfParts>
  <Company>ET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Tidrapport</dc:title>
  <dc:creator>Cicci Rooth</dc:creator>
  <cp:lastModifiedBy>Björn Johansson</cp:lastModifiedBy>
  <cp:lastPrinted>2016-01-11T10:02:17Z</cp:lastPrinted>
  <dcterms:created xsi:type="dcterms:W3CDTF">2004-10-18T12:23:54Z</dcterms:created>
  <dcterms:modified xsi:type="dcterms:W3CDTF">2016-07-01T11:41:15Z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
    <vt:lpwstr>4QH3WRVZY3MH-60-267</vt:lpwstr>
  </property>
  <property fmtid="{D5CDD505-2E9C-101B-9397-08002B2CF9AE}" pid="3" name="_dlc_DocIdItemGuid">
    <vt:lpwstr>3087f42e-f4cc-43f8-be90-8266ca6188a5</vt:lpwstr>
  </property>
  <property fmtid="{D5CDD505-2E9C-101B-9397-08002B2CF9AE}" pid="4" name="_dlc_DocIdUrl">
    <vt:lpwstr>http://icat.jmadir.com/Operations/Gothenburg/_layouts/DocIdRedir.aspx?ID=4QH3WRVZY3MH-60-267, 4QH3WRVZY3MH-60-267</vt:lpwstr>
  </property>
  <property fmtid="{D5CDD505-2E9C-101B-9397-08002B2CF9AE}" pid="5" name="DLCPolicyLabelValue">
    <vt:lpwstr>2.0</vt:lpwstr>
  </property>
  <property fmtid="{D5CDD505-2E9C-101B-9397-08002B2CF9AE}" pid="6" name="WorkflowCreationPath">
    <vt:lpwstr>38309c30-debf-410c-bd44-9c5a9a608018,4;38309c30-debf-410c-bd44-9c5a9a608018,4;38309c30-debf-410c-bd44-9c5a9a608018,4;</vt:lpwstr>
  </property>
  <property fmtid="{D5CDD505-2E9C-101B-9397-08002B2CF9AE}" pid="7" name="display_urn:schemas-microsoft-com:office:office#Approvers">
    <vt:lpwstr>Martin Ene</vt:lpwstr>
  </property>
</Properties>
</file>