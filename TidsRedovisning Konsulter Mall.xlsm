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90" windowWidth="19035" windowHeight="12525"/>
  </bookViews>
  <sheets>
    <sheet name="Faktureringsrutin" sheetId="4" r:id="rId1"/>
    <sheet name="Konsultens Namn" sheetId="2" r:id="rId2"/>
    <sheet name="DropDownList" sheetId="3" r:id="rId3"/>
  </sheets>
  <definedNames>
    <definedName name="_xlnm._FilterDatabase" localSheetId="1" hidden="1">'Konsultens Namn'!$A$2:$C$29</definedName>
    <definedName name="ddlProjekt">DropDownList!$I$2:$I$5</definedName>
    <definedName name="_xlnm.Print_Titles" localSheetId="1">'Konsultens Namn'!$1:$2</definedName>
  </definedNames>
  <calcPr calcId="145621"/>
</workbook>
</file>

<file path=xl/calcChain.xml><?xml version="1.0" encoding="utf-8"?>
<calcChain xmlns="http://schemas.openxmlformats.org/spreadsheetml/2006/main">
  <c r="G3" i="2" l="1"/>
  <c r="H3" i="2" s="1"/>
  <c r="C30" i="2"/>
  <c r="G30" i="2"/>
  <c r="H30" i="2"/>
  <c r="C31" i="2"/>
  <c r="G31" i="2"/>
  <c r="H31" i="2" s="1"/>
  <c r="C32" i="2"/>
  <c r="G32" i="2"/>
  <c r="H32" i="2"/>
  <c r="C33" i="2"/>
  <c r="G33" i="2"/>
  <c r="H33" i="2" s="1"/>
  <c r="B31" i="2"/>
  <c r="B30" i="2"/>
  <c r="B3" i="2"/>
  <c r="B33" i="2"/>
  <c r="B32" i="2"/>
  <c r="G4" i="2" l="1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I1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G1" i="2"/>
  <c r="B10" i="2"/>
  <c r="B18" i="2"/>
  <c r="B26" i="2"/>
  <c r="B9" i="2"/>
  <c r="B17" i="2"/>
  <c r="B25" i="2"/>
  <c r="B4" i="2"/>
  <c r="B12" i="2"/>
  <c r="B20" i="2"/>
  <c r="B28" i="2"/>
  <c r="B11" i="2"/>
  <c r="B19" i="2"/>
  <c r="B27" i="2"/>
  <c r="B6" i="2"/>
  <c r="B14" i="2"/>
  <c r="B22" i="2"/>
  <c r="B5" i="2"/>
  <c r="B13" i="2"/>
  <c r="B21" i="2"/>
  <c r="B29" i="2"/>
  <c r="B8" i="2"/>
  <c r="B16" i="2"/>
  <c r="B24" i="2"/>
  <c r="B7" i="2"/>
  <c r="B15" i="2"/>
  <c r="B23" i="2"/>
  <c r="H1" i="2" l="1"/>
</calcChain>
</file>

<file path=xl/comments1.xml><?xml version="1.0" encoding="utf-8"?>
<comments xmlns="http://schemas.openxmlformats.org/spreadsheetml/2006/main">
  <authors>
    <author>Björn Johansson</author>
  </authors>
  <commentList>
    <comment ref="B2" authorId="0">
      <text>
        <r>
          <rPr>
            <b/>
            <sz val="14"/>
            <color indexed="81"/>
            <rFont val="Tahoma"/>
            <family val="2"/>
          </rPr>
          <t>För att visa vecko nummer krävs att macro är på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hh:mm</t>
        </r>
      </text>
    </comment>
  </commentList>
</comments>
</file>

<file path=xl/sharedStrings.xml><?xml version="1.0" encoding="utf-8"?>
<sst xmlns="http://schemas.openxmlformats.org/spreadsheetml/2006/main" count="19" uniqueCount="18">
  <si>
    <t>Datum</t>
  </si>
  <si>
    <t>Började</t>
  </si>
  <si>
    <t>Slutade</t>
  </si>
  <si>
    <t>dag</t>
  </si>
  <si>
    <t>Vecka</t>
  </si>
  <si>
    <t>Restid (h)</t>
  </si>
  <si>
    <t>Resa (km)</t>
  </si>
  <si>
    <t>Kommentar</t>
  </si>
  <si>
    <t>Arbete/projekt</t>
  </si>
  <si>
    <t>Sum (h):</t>
  </si>
  <si>
    <t>Arbetstid 
(tt:mm)</t>
  </si>
  <si>
    <t>Dagtid 
(h)</t>
  </si>
  <si>
    <t>Kvällstid
Öt2 (h)</t>
  </si>
  <si>
    <t>Lunch</t>
  </si>
  <si>
    <t>Proj1</t>
  </si>
  <si>
    <t>Proj2</t>
  </si>
  <si>
    <t>Proj3</t>
  </si>
  <si>
    <t>Proj4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</si>
</sst>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ddd"/>
    <numFmt numFmtId="166" formatCode="h:mm"/>
    <numFmt numFmtId="167" formatCode="#,##0.0"/>
  </numFmts>
  <fonts count="6" x14ac:knownFonts="1"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Fill="1"/>
    <xf numFmtId="166" fontId="0" fillId="0" borderId="0" xfId="0" applyNumberFormat="1" applyFill="1"/>
    <xf numFmtId="0" fontId="0" fillId="0" borderId="0" xfId="0" applyFill="1"/>
    <xf numFmtId="49" fontId="0" fillId="0" borderId="0" xfId="0" applyNumberFormat="1" applyFill="1"/>
    <xf numFmtId="20" fontId="1" fillId="0" borderId="1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center"/>
    </xf>
    <xf numFmtId="164" fontId="1" fillId="0" borderId="3" xfId="0" applyNumberFormat="1" applyFont="1" applyFill="1" applyBorder="1" applyAlignment="1">
      <alignment horizontal="center"/>
    </xf>
    <xf numFmtId="49" fontId="1" fillId="0" borderId="4" xfId="0" applyNumberFormat="1" applyFont="1" applyFill="1" applyBorder="1" applyAlignment="1">
      <alignment horizontal="center"/>
    </xf>
    <xf numFmtId="14" fontId="1" fillId="0" borderId="5" xfId="0" applyNumberFormat="1" applyFont="1" applyFill="1" applyBorder="1" applyAlignment="1">
      <alignment horizontal="center"/>
    </xf>
    <xf numFmtId="1" fontId="1" fillId="0" borderId="6" xfId="0" applyNumberFormat="1" applyFont="1" applyFill="1" applyBorder="1" applyAlignment="1">
      <alignment horizontal="center"/>
    </xf>
    <xf numFmtId="1" fontId="2" fillId="0" borderId="0" xfId="0" applyNumberFormat="1" applyFont="1" applyFill="1"/>
    <xf numFmtId="165" fontId="2" fillId="0" borderId="0" xfId="0" applyNumberFormat="1" applyFont="1" applyFill="1"/>
    <xf numFmtId="0" fontId="1" fillId="0" borderId="7" xfId="0" applyFont="1" applyFill="1" applyBorder="1" applyAlignment="1">
      <alignment horizontal="center"/>
    </xf>
    <xf numFmtId="1" fontId="5" fillId="0" borderId="8" xfId="0" applyNumberFormat="1" applyFont="1" applyFill="1" applyBorder="1" applyAlignment="1">
      <alignment horizontal="center"/>
    </xf>
    <xf numFmtId="0" fontId="5" fillId="0" borderId="8" xfId="0" applyFont="1" applyFill="1" applyBorder="1" applyAlignment="1">
      <alignment horizontal="center"/>
    </xf>
    <xf numFmtId="0" fontId="5" fillId="0" borderId="0" xfId="0" applyFont="1" applyFill="1"/>
    <xf numFmtId="0" fontId="5" fillId="0" borderId="9" xfId="0" applyFont="1" applyFill="1" applyBorder="1" applyAlignment="1">
      <alignment horizontal="center"/>
    </xf>
    <xf numFmtId="0" fontId="5" fillId="0" borderId="10" xfId="0" applyFont="1" applyFill="1" applyBorder="1" applyAlignment="1">
      <alignment horizontal="center"/>
    </xf>
    <xf numFmtId="167" fontId="5" fillId="2" borderId="0" xfId="0" applyNumberFormat="1" applyFont="1" applyFill="1"/>
    <xf numFmtId="167" fontId="1" fillId="0" borderId="2" xfId="0" applyNumberFormat="1" applyFont="1" applyFill="1" applyBorder="1" applyAlignment="1">
      <alignment horizontal="center"/>
    </xf>
    <xf numFmtId="167" fontId="0" fillId="0" borderId="0" xfId="0" applyNumberFormat="1" applyFill="1"/>
    <xf numFmtId="0" fontId="5" fillId="0" borderId="0" xfId="0" applyNumberFormat="1" applyFont="1" applyFill="1"/>
    <xf numFmtId="167" fontId="5" fillId="3" borderId="0" xfId="0" applyNumberFormat="1" applyFont="1" applyFill="1"/>
    <xf numFmtId="167" fontId="1" fillId="0" borderId="10" xfId="0" applyNumberFormat="1" applyFont="1" applyFill="1" applyBorder="1" applyAlignment="1">
      <alignment horizontal="center" wrapText="1"/>
    </xf>
    <xf numFmtId="165" fontId="5" fillId="0" borderId="11" xfId="0" applyNumberFormat="1" applyFont="1" applyFill="1" applyBorder="1" applyAlignment="1">
      <alignment horizontal="center"/>
    </xf>
    <xf numFmtId="165" fontId="1" fillId="0" borderId="12" xfId="0" applyNumberFormat="1" applyFont="1" applyFill="1" applyBorder="1" applyAlignment="1">
      <alignment horizontal="center"/>
    </xf>
    <xf numFmtId="167" fontId="1" fillId="0" borderId="13" xfId="0" applyNumberFormat="1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wrapText="1"/>
    </xf>
    <xf numFmtId="20" fontId="1" fillId="0" borderId="5" xfId="0" applyNumberFormat="1" applyFont="1" applyFill="1" applyBorder="1" applyAlignment="1">
      <alignment horizontal="center"/>
    </xf>
    <xf numFmtId="166" fontId="1" fillId="0" borderId="14" xfId="0" applyNumberFormat="1" applyFont="1" applyFill="1" applyBorder="1" applyAlignment="1">
      <alignment horizontal="center"/>
    </xf>
    <xf numFmtId="0" fontId="5" fillId="0" borderId="15" xfId="0" applyFont="1" applyFill="1" applyBorder="1" applyAlignment="1">
      <alignment horizontal="center"/>
    </xf>
    <xf numFmtId="20" fontId="1" fillId="0" borderId="6" xfId="0" applyNumberFormat="1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17858</xdr:colOff>
      <xdr:row>5</xdr:row>
      <xdr:rowOff>138111</xdr:rowOff>
    </xdr:from>
    <xdr:to>
      <xdr:col>8</xdr:col>
      <xdr:colOff>577452</xdr:colOff>
      <xdr:row>48</xdr:row>
      <xdr:rowOff>102577</xdr:rowOff>
    </xdr:to>
    <xdr:sp macro="" textlink="">
      <xdr:nvSpPr>
        <xdr:cNvPr id="2" name="TextBox 1"/>
        <xdr:cNvSpPr txBox="1"/>
      </xdr:nvSpPr>
      <xdr:spPr>
        <a:xfrm>
          <a:off x="625993" y="944073"/>
          <a:ext cx="4816536" cy="6895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Lathund,</a:t>
          </a:r>
          <a:r>
            <a:rPr lang="en-US" sz="16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Som används internt</a:t>
          </a:r>
          <a:endParaRPr lang="sv-SE" sz="1600">
            <a:effectLst/>
          </a:endParaRPr>
        </a:p>
        <a:p>
          <a:r>
            <a:rPr lang="en-US" sz="1100" b="0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(Fyll i "xxx" med namn, telefon och epost om mallen sparas på JM's nätverk.)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Beställare:</a:t>
          </a:r>
          <a:r>
            <a:rPr lang="en-US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xxx</a:t>
          </a:r>
          <a:endParaRPr lang="en-US" sz="1400" b="0" i="1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Attesterare (av kostnader): </a:t>
          </a:r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xxx</a:t>
          </a:r>
          <a:endParaRPr lang="sv-SE" sz="11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Konsult</a:t>
          </a:r>
          <a:r>
            <a:rPr lang="en-US" sz="14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xxx</a:t>
          </a:r>
        </a:p>
        <a:p>
          <a:r>
            <a:rPr lang="en-US" sz="1400" b="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Reskontra</a:t>
          </a:r>
          <a:r>
            <a:rPr lang="en-US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xxx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Inköpsansvarig: </a:t>
          </a:r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xxx</a:t>
          </a:r>
          <a:endParaRPr lang="sv-SE" sz="11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u="sng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Allmänt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Denna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Excelmall är tänkt att kunna användas som faktureringsunderlag.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Om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inget annat är avtalat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faktureraras arbetade timmar </a:t>
          </a:r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månadsvis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 efterskott.</a:t>
          </a:r>
          <a:endParaRPr lang="sv-SE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Materiel, resor etc. hanteras ofta separat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och detta avtalas från fall till fall.</a:t>
          </a:r>
          <a:endParaRPr lang="sv-SE">
            <a:effectLst/>
          </a:endParaRPr>
        </a:p>
        <a:p>
          <a:endParaRPr lang="en-US" sz="1100" b="1" u="sng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u="sng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Att</a:t>
          </a:r>
          <a:r>
            <a:rPr lang="en-US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göras av JM v</a:t>
          </a:r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 start av uppdrag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Inköpsanvarig säkerställer att gällande avtal finns</a:t>
          </a:r>
        </a:p>
        <a:p>
          <a:r>
            <a:rPr lang="en-US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Rekvisition</a:t>
          </a:r>
          <a:r>
            <a:rPr lang="en-US" sz="110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skapas av beställaren i Palette.</a:t>
          </a:r>
        </a:p>
        <a:p>
          <a:r>
            <a:rPr lang="en-US" sz="110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# 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Rekvisition</a:t>
          </a:r>
          <a:r>
            <a:rPr lang="en-US" sz="110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a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ttesteras av </a:t>
          </a:r>
          <a:r>
            <a:rPr lang="en-US" sz="110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attesteraren i Palette. 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Beställare mejlar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beställning till leverantören.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u="sng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Vid månadsslut</a:t>
          </a:r>
          <a:r>
            <a:rPr lang="en-US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av JM</a:t>
          </a:r>
          <a:endParaRPr lang="sv-SE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Beställaren granskar tidrapporten,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som mejlats av leverantören.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# Om OK, </a:t>
          </a:r>
          <a:r>
            <a:rPr lang="en-US" sz="1100" u="sng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bekräftar</a:t>
          </a:r>
          <a:r>
            <a:rPr lang="en-US" sz="1100" u="sng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 beställaren leveransen*</a:t>
          </a:r>
          <a:r>
            <a:rPr lang="en-US" sz="11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 till attesteraren via mejl. (Exempelvis genom att med kommentar vidarebefordra leverantörens tidrapportsmejl).</a:t>
          </a:r>
        </a:p>
        <a:p>
          <a:r>
            <a:rPr lang="en-US" sz="1100" i="1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(* om papper föredras bekräftas tiden genom att skriva ut den på papper och signera med penna).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Rapporterad tid inlevereras i Palette av beställaren</a:t>
          </a:r>
          <a:endParaRPr lang="en-US" sz="1100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Attesteraren bekräftar leveransen (likt beställaren) och vidarebeordrar till reskontra. (papper eller mejl likt ovan)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Levererade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timmar periodiseras av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reskontra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Om möjligt, matchas fakturan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med inleverans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och beställning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av reskontra.</a:t>
          </a:r>
        </a:p>
        <a:p>
          <a:r>
            <a:rPr lang="en-US" sz="11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# Om inte, matchas </a:t>
          </a:r>
          <a:r>
            <a:rPr lang="en-US" sz="110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fakturan</a:t>
          </a:r>
          <a:r>
            <a:rPr lang="en-US" sz="11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 med inleverans</a:t>
          </a:r>
          <a:r>
            <a:rPr lang="en-US" sz="110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 och beställning</a:t>
          </a:r>
          <a:r>
            <a:rPr lang="en-US" sz="11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av beställaren och attesteraren.</a:t>
          </a:r>
        </a:p>
        <a:p>
          <a:r>
            <a:rPr lang="en-US" sz="11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# Fakturan för och slutattesteras av beställaren resp. attesteraren.</a:t>
          </a:r>
          <a:endParaRPr lang="en-US">
            <a:solidFill>
              <a:srgbClr val="00B050"/>
            </a:solidFill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/Björn J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2016-07-11</a:t>
          </a:r>
          <a:endParaRPr lang="en-US">
            <a:effectLst/>
          </a:endParaRPr>
        </a:p>
      </xdr:txBody>
    </xdr:sp>
    <xdr:clientData/>
  </xdr:twoCellAnchor>
  <xdr:twoCellAnchor>
    <xdr:from>
      <xdr:col>9</xdr:col>
      <xdr:colOff>68207</xdr:colOff>
      <xdr:row>6</xdr:row>
      <xdr:rowOff>1700</xdr:rowOff>
    </xdr:from>
    <xdr:to>
      <xdr:col>17</xdr:col>
      <xdr:colOff>20582</xdr:colOff>
      <xdr:row>32</xdr:row>
      <xdr:rowOff>5784</xdr:rowOff>
    </xdr:to>
    <xdr:sp macro="" textlink="">
      <xdr:nvSpPr>
        <xdr:cNvPr id="3" name="TextBox 2"/>
        <xdr:cNvSpPr txBox="1"/>
      </xdr:nvSpPr>
      <xdr:spPr>
        <a:xfrm>
          <a:off x="5533176" y="966106"/>
          <a:ext cx="4810125" cy="41831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Lathund, som</a:t>
          </a:r>
          <a:r>
            <a:rPr lang="en-US" sz="16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skickas till </a:t>
          </a:r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leverantören</a:t>
          </a:r>
          <a:endParaRPr lang="en-US" sz="1600" b="1" u="sng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u="sng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Att</a:t>
          </a:r>
          <a:r>
            <a:rPr lang="en-US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göras av JM v</a:t>
          </a:r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 start av uppdrag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Inköpsanvarig säkerställer att gällande avtal finns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Rekvisition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skapas av beställaren.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Rekvisition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ttesteras av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attesterare. 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Beställare mejlar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beställning till leverantören .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>
            <a:effectLst/>
          </a:endParaRPr>
        </a:p>
        <a:p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Görs dagligen av leverantören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Konsulten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yller i arbetstider .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Om flera uppdrag löper parallellt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och o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 så är överenskommet skall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Arbete/projekt </a:t>
          </a:r>
          <a:r>
            <a:rPr lang="en-US" sz="1100" b="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också</a:t>
          </a:r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fyllas i.</a:t>
          </a:r>
          <a:r>
            <a:rPr lang="en-US" sz="1100" b="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Vid</a:t>
          </a:r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behov skapa fler rader för samma dag.</a:t>
          </a:r>
          <a:endParaRPr lang="en-US" sz="1100" b="0" u="non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b="0" u="none">
            <a:effectLst/>
          </a:endParaRPr>
        </a:p>
        <a:p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Vid månadsslut</a:t>
          </a:r>
          <a:r>
            <a:rPr lang="en-US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av leverantören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Konsulten mejlar en kopia av denna "tidrapport" till </a:t>
          </a:r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ekonomi@matthey.com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Beställaren och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Attesteraren. </a:t>
          </a:r>
          <a:r>
            <a:rPr lang="en-US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(Detta görs med fördel samtidigt som underlagen till den fakturering  rapporterar  i leverantörens egna system.)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Konsulten mejlar fakturan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till </a:t>
          </a:r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ekonomi@matthey.com</a:t>
          </a:r>
          <a:endParaRPr lang="en-US" sz="1100" b="1" u="sng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u="sng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/Björn J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2016-07-11</a:t>
          </a:r>
          <a:endParaRPr lang="en-US">
            <a:effectLst/>
          </a:endParaRPr>
        </a:p>
      </xdr:txBody>
    </xdr:sp>
    <xdr:clientData/>
  </xdr:twoCellAnchor>
  <xdr:twoCellAnchor>
    <xdr:from>
      <xdr:col>1</xdr:col>
      <xdr:colOff>30107</xdr:colOff>
      <xdr:row>1</xdr:row>
      <xdr:rowOff>46944</xdr:rowOff>
    </xdr:from>
    <xdr:to>
      <xdr:col>15</xdr:col>
      <xdr:colOff>95250</xdr:colOff>
      <xdr:row>5</xdr:row>
      <xdr:rowOff>153865</xdr:rowOff>
    </xdr:to>
    <xdr:sp macro="" textlink="">
      <xdr:nvSpPr>
        <xdr:cNvPr id="4" name="TextBox 3"/>
        <xdr:cNvSpPr txBox="1"/>
      </xdr:nvSpPr>
      <xdr:spPr>
        <a:xfrm>
          <a:off x="638242" y="208136"/>
          <a:ext cx="8579027" cy="7516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Lathund - Rutiner</a:t>
          </a:r>
          <a:r>
            <a:rPr lang="en-US" sz="18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för </a:t>
          </a:r>
          <a:r>
            <a:rPr lang="en-US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Beställning ,</a:t>
          </a:r>
          <a:r>
            <a:rPr lang="en-US" sz="18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Tidrapportering och Fakturering av konsultuppdrag.</a:t>
          </a:r>
          <a:endParaRPr lang="sv-SE" sz="2400">
            <a:effectLst/>
          </a:endParaRPr>
        </a:p>
        <a:p>
          <a:r>
            <a:rPr lang="en-US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Blå text är nyheter</a:t>
          </a:r>
        </a:p>
        <a:p>
          <a:r>
            <a:rPr lang="en-US" sz="1100" b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Grön text är potentiella rationaliseringar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182335</xdr:colOff>
      <xdr:row>1</xdr:row>
      <xdr:rowOff>95250</xdr:rowOff>
    </xdr:from>
    <xdr:to>
      <xdr:col>5</xdr:col>
      <xdr:colOff>544286</xdr:colOff>
      <xdr:row>1</xdr:row>
      <xdr:rowOff>748393</xdr:rowOff>
    </xdr:to>
    <xdr:sp macro="" textlink="" fLocksText="0">
      <xdr:nvSpPr>
        <xdr:cNvPr id="2" name="TextBox 1"/>
        <xdr:cNvSpPr txBox="1"/>
      </xdr:nvSpPr>
      <xdr:spPr>
        <a:xfrm>
          <a:off x="182335" y="299357"/>
          <a:ext cx="2661558" cy="6531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800"/>
            <a:t>Name: Konsult</a:t>
          </a:r>
          <a:endParaRPr lang="sv-SE" sz="1800" baseline="0"/>
        </a:p>
        <a:p>
          <a:r>
            <a:rPr lang="sv-SE" sz="1800"/>
            <a:t>Företag: Konsult AB</a:t>
          </a:r>
        </a:p>
        <a:p>
          <a:endParaRPr lang="sv-SE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130" zoomScaleNormal="130" workbookViewId="0">
      <selection activeCell="K41" sqref="K41"/>
    </sheetView>
  </sheetViews>
  <sheetFormatPr defaultRowHeight="12.75" x14ac:dyDescent="0.2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K33"/>
  <sheetViews>
    <sheetView showZeros="0" zoomScale="115" zoomScaleNormal="11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4" sqref="B4"/>
    </sheetView>
  </sheetViews>
  <sheetFormatPr defaultRowHeight="12.75" x14ac:dyDescent="0.2"/>
  <cols>
    <col min="1" max="1" width="12.85546875" style="1" customWidth="1"/>
    <col min="2" max="2" width="10.140625" style="12" customWidth="1"/>
    <col min="3" max="3" width="5.140625" style="13" bestFit="1" customWidth="1"/>
    <col min="4" max="4" width="9.140625" style="3" bestFit="1" customWidth="1"/>
    <col min="5" max="5" width="9.140625" style="3" customWidth="1"/>
    <col min="6" max="6" width="8.85546875" style="3" bestFit="1" customWidth="1"/>
    <col min="7" max="7" width="10.28515625" style="3" bestFit="1" customWidth="1"/>
    <col min="8" max="8" width="11.28515625" style="22" bestFit="1" customWidth="1"/>
    <col min="9" max="9" width="10.85546875" style="22" bestFit="1" customWidth="1"/>
    <col min="10" max="10" width="11" style="3" bestFit="1" customWidth="1"/>
    <col min="11" max="11" width="10.85546875" style="3" bestFit="1" customWidth="1"/>
    <col min="12" max="12" width="15.42578125" style="3" bestFit="1" customWidth="1"/>
    <col min="13" max="13" width="23" style="4" customWidth="1"/>
    <col min="14" max="14" width="17.7109375" style="3" customWidth="1"/>
    <col min="15" max="16384" width="9.140625" style="3"/>
  </cols>
  <sheetData>
    <row r="1" spans="1:37" ht="23.25" customHeight="1" thickBot="1" x14ac:dyDescent="0.25">
      <c r="F1" s="17" t="s">
        <v>9</v>
      </c>
      <c r="G1" s="23">
        <f>SUBTOTAL(109,G3:G692)*24</f>
        <v>0</v>
      </c>
      <c r="H1" s="20">
        <f>SUBTOTAL(109,H3:H692)</f>
        <v>0</v>
      </c>
      <c r="I1" s="24">
        <f>SUBTOTAL(109,I3:I692)</f>
        <v>0</v>
      </c>
    </row>
    <row r="2" spans="1:37" ht="90.75" customHeight="1" thickTop="1" x14ac:dyDescent="0.25">
      <c r="A2" s="14" t="s">
        <v>0</v>
      </c>
      <c r="B2" s="15" t="s">
        <v>4</v>
      </c>
      <c r="C2" s="26" t="s">
        <v>3</v>
      </c>
      <c r="D2" s="29" t="s">
        <v>1</v>
      </c>
      <c r="E2" s="33" t="s">
        <v>13</v>
      </c>
      <c r="F2" s="16" t="s">
        <v>2</v>
      </c>
      <c r="G2" s="30" t="s">
        <v>10</v>
      </c>
      <c r="H2" s="28" t="s">
        <v>11</v>
      </c>
      <c r="I2" s="25" t="s">
        <v>12</v>
      </c>
      <c r="J2" s="19" t="s">
        <v>5</v>
      </c>
      <c r="K2" s="16" t="s">
        <v>6</v>
      </c>
      <c r="L2" s="16" t="s">
        <v>8</v>
      </c>
      <c r="M2" s="18" t="s">
        <v>7</v>
      </c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spans="1:37" ht="15.75" x14ac:dyDescent="0.25">
      <c r="A3" s="10">
        <v>40695</v>
      </c>
      <c r="B3" s="11">
        <f>[0]!IsoWeekNumber(A3)</f>
        <v>22</v>
      </c>
      <c r="C3" s="27">
        <f t="shared" ref="C3:C29" si="0">WEEKDAY(A3)</f>
        <v>4</v>
      </c>
      <c r="D3" s="31"/>
      <c r="E3" s="34">
        <v>3.125E-2</v>
      </c>
      <c r="F3" s="5"/>
      <c r="G3" s="32">
        <f t="shared" ref="G3" si="1">IF(F3-D3&lt;=0,0,F3-D3-E3)</f>
        <v>0</v>
      </c>
      <c r="H3" s="21">
        <f t="shared" ref="H3" si="2">G3*24-I3</f>
        <v>0</v>
      </c>
      <c r="I3" s="21"/>
      <c r="J3" s="6"/>
      <c r="K3" s="7"/>
      <c r="L3" s="8"/>
      <c r="M3" s="9"/>
    </row>
    <row r="4" spans="1:37" ht="15.75" x14ac:dyDescent="0.25">
      <c r="A4" s="10">
        <v>40696</v>
      </c>
      <c r="B4" s="11">
        <f>[0]!IsoWeekNumber(A4)</f>
        <v>22</v>
      </c>
      <c r="C4" s="27">
        <f t="shared" si="0"/>
        <v>5</v>
      </c>
      <c r="D4" s="31"/>
      <c r="E4" s="34">
        <v>3.125E-2</v>
      </c>
      <c r="F4" s="5"/>
      <c r="G4" s="32">
        <f t="shared" ref="G4:G29" si="3">IF(F4-D4&lt;=0,0,F4-D4-E4)</f>
        <v>0</v>
      </c>
      <c r="H4" s="21">
        <f t="shared" ref="H4:H29" si="4">G4*24-I4</f>
        <v>0</v>
      </c>
      <c r="I4" s="21"/>
      <c r="J4" s="6"/>
      <c r="K4" s="7"/>
      <c r="L4" s="8"/>
      <c r="M4" s="9"/>
    </row>
    <row r="5" spans="1:37" ht="15.75" x14ac:dyDescent="0.25">
      <c r="A5" s="10">
        <v>40697</v>
      </c>
      <c r="B5" s="11">
        <f>[0]!IsoWeekNumber(A5)</f>
        <v>22</v>
      </c>
      <c r="C5" s="27">
        <f t="shared" si="0"/>
        <v>6</v>
      </c>
      <c r="D5" s="31"/>
      <c r="E5" s="34">
        <v>3.125E-2</v>
      </c>
      <c r="F5" s="5"/>
      <c r="G5" s="32">
        <f t="shared" si="3"/>
        <v>0</v>
      </c>
      <c r="H5" s="21">
        <f t="shared" si="4"/>
        <v>0</v>
      </c>
      <c r="I5" s="21"/>
      <c r="J5" s="6"/>
      <c r="K5" s="7"/>
      <c r="L5" s="8"/>
      <c r="M5" s="9"/>
    </row>
    <row r="6" spans="1:37" ht="15.75" x14ac:dyDescent="0.25">
      <c r="A6" s="10">
        <v>40698</v>
      </c>
      <c r="B6" s="11">
        <f>[0]!IsoWeekNumber(A6)</f>
        <v>22</v>
      </c>
      <c r="C6" s="27">
        <f t="shared" si="0"/>
        <v>7</v>
      </c>
      <c r="D6" s="31"/>
      <c r="E6" s="34">
        <v>3.125E-2</v>
      </c>
      <c r="F6" s="5"/>
      <c r="G6" s="32">
        <f t="shared" si="3"/>
        <v>0</v>
      </c>
      <c r="H6" s="21">
        <f t="shared" si="4"/>
        <v>0</v>
      </c>
      <c r="I6" s="21"/>
      <c r="J6" s="6"/>
      <c r="K6" s="7"/>
      <c r="L6" s="8"/>
      <c r="M6" s="9"/>
    </row>
    <row r="7" spans="1:37" ht="15.75" x14ac:dyDescent="0.25">
      <c r="A7" s="10">
        <v>40699</v>
      </c>
      <c r="B7" s="11">
        <f>[0]!IsoWeekNumber(A7)</f>
        <v>22</v>
      </c>
      <c r="C7" s="27">
        <f t="shared" si="0"/>
        <v>1</v>
      </c>
      <c r="D7" s="31"/>
      <c r="E7" s="34">
        <v>3.125E-2</v>
      </c>
      <c r="F7" s="5"/>
      <c r="G7" s="32">
        <f t="shared" si="3"/>
        <v>0</v>
      </c>
      <c r="H7" s="21">
        <f t="shared" si="4"/>
        <v>0</v>
      </c>
      <c r="I7" s="21"/>
      <c r="J7" s="6"/>
      <c r="K7" s="7"/>
      <c r="L7" s="8"/>
      <c r="M7" s="9"/>
    </row>
    <row r="8" spans="1:37" ht="15.75" x14ac:dyDescent="0.25">
      <c r="A8" s="10">
        <v>40700</v>
      </c>
      <c r="B8" s="11">
        <f>[0]!IsoWeekNumber(A8)</f>
        <v>23</v>
      </c>
      <c r="C8" s="27">
        <f t="shared" si="0"/>
        <v>2</v>
      </c>
      <c r="D8" s="31"/>
      <c r="E8" s="34">
        <v>3.125E-2</v>
      </c>
      <c r="F8" s="5"/>
      <c r="G8" s="32">
        <f t="shared" si="3"/>
        <v>0</v>
      </c>
      <c r="H8" s="21">
        <f t="shared" si="4"/>
        <v>0</v>
      </c>
      <c r="I8" s="21"/>
      <c r="J8" s="6"/>
      <c r="K8" s="7"/>
      <c r="L8" s="8"/>
      <c r="M8" s="9"/>
    </row>
    <row r="9" spans="1:37" ht="15.75" x14ac:dyDescent="0.25">
      <c r="A9" s="10">
        <v>40701</v>
      </c>
      <c r="B9" s="11">
        <f>[0]!IsoWeekNumber(A9)</f>
        <v>23</v>
      </c>
      <c r="C9" s="27">
        <f t="shared" si="0"/>
        <v>3</v>
      </c>
      <c r="D9" s="31"/>
      <c r="E9" s="34">
        <v>3.125E-2</v>
      </c>
      <c r="F9" s="5"/>
      <c r="G9" s="32">
        <f t="shared" si="3"/>
        <v>0</v>
      </c>
      <c r="H9" s="21">
        <f t="shared" si="4"/>
        <v>0</v>
      </c>
      <c r="I9" s="21"/>
      <c r="J9" s="6"/>
      <c r="K9" s="7"/>
      <c r="L9" s="8"/>
      <c r="M9" s="9"/>
    </row>
    <row r="10" spans="1:37" ht="15.75" x14ac:dyDescent="0.25">
      <c r="A10" s="10">
        <v>40702</v>
      </c>
      <c r="B10" s="11">
        <f>[0]!IsoWeekNumber(A10)</f>
        <v>23</v>
      </c>
      <c r="C10" s="27">
        <f t="shared" si="0"/>
        <v>4</v>
      </c>
      <c r="D10" s="31"/>
      <c r="E10" s="34">
        <v>3.125E-2</v>
      </c>
      <c r="F10" s="5"/>
      <c r="G10" s="32">
        <f t="shared" si="3"/>
        <v>0</v>
      </c>
      <c r="H10" s="21">
        <f t="shared" si="4"/>
        <v>0</v>
      </c>
      <c r="I10" s="21"/>
      <c r="J10" s="6"/>
      <c r="K10" s="7"/>
      <c r="L10" s="8"/>
      <c r="M10" s="9"/>
    </row>
    <row r="11" spans="1:37" ht="15.75" x14ac:dyDescent="0.25">
      <c r="A11" s="10">
        <v>40703</v>
      </c>
      <c r="B11" s="11">
        <f>[0]!IsoWeekNumber(A11)</f>
        <v>23</v>
      </c>
      <c r="C11" s="27">
        <f t="shared" si="0"/>
        <v>5</v>
      </c>
      <c r="D11" s="31"/>
      <c r="E11" s="34">
        <v>3.125E-2</v>
      </c>
      <c r="F11" s="5"/>
      <c r="G11" s="32">
        <f t="shared" si="3"/>
        <v>0</v>
      </c>
      <c r="H11" s="21">
        <f t="shared" si="4"/>
        <v>0</v>
      </c>
      <c r="I11" s="21"/>
      <c r="J11" s="6"/>
      <c r="K11" s="7"/>
      <c r="L11" s="8"/>
      <c r="M11" s="9"/>
    </row>
    <row r="12" spans="1:37" ht="15.75" x14ac:dyDescent="0.25">
      <c r="A12" s="10">
        <v>40704</v>
      </c>
      <c r="B12" s="11">
        <f>[0]!IsoWeekNumber(A12)</f>
        <v>23</v>
      </c>
      <c r="C12" s="27">
        <f t="shared" si="0"/>
        <v>6</v>
      </c>
      <c r="D12" s="31"/>
      <c r="E12" s="34">
        <v>3.125E-2</v>
      </c>
      <c r="F12" s="5"/>
      <c r="G12" s="32">
        <f t="shared" si="3"/>
        <v>0</v>
      </c>
      <c r="H12" s="21">
        <f t="shared" si="4"/>
        <v>0</v>
      </c>
      <c r="I12" s="21"/>
      <c r="J12" s="6"/>
      <c r="K12" s="7"/>
      <c r="L12" s="8"/>
      <c r="M12" s="9"/>
    </row>
    <row r="13" spans="1:37" ht="15.75" x14ac:dyDescent="0.25">
      <c r="A13" s="10">
        <v>40705</v>
      </c>
      <c r="B13" s="11">
        <f>[0]!IsoWeekNumber(A13)</f>
        <v>23</v>
      </c>
      <c r="C13" s="27">
        <f t="shared" si="0"/>
        <v>7</v>
      </c>
      <c r="D13" s="31"/>
      <c r="E13" s="34">
        <v>3.125E-2</v>
      </c>
      <c r="F13" s="5"/>
      <c r="G13" s="32">
        <f t="shared" si="3"/>
        <v>0</v>
      </c>
      <c r="H13" s="21">
        <f t="shared" si="4"/>
        <v>0</v>
      </c>
      <c r="I13" s="21"/>
      <c r="J13" s="6"/>
      <c r="K13" s="7"/>
      <c r="L13" s="8"/>
      <c r="M13" s="9"/>
    </row>
    <row r="14" spans="1:37" ht="15.75" x14ac:dyDescent="0.25">
      <c r="A14" s="10">
        <v>40706</v>
      </c>
      <c r="B14" s="11">
        <f>[0]!IsoWeekNumber(A14)</f>
        <v>23</v>
      </c>
      <c r="C14" s="27">
        <f t="shared" si="0"/>
        <v>1</v>
      </c>
      <c r="D14" s="31"/>
      <c r="E14" s="34">
        <v>3.125E-2</v>
      </c>
      <c r="F14" s="5"/>
      <c r="G14" s="32">
        <f t="shared" si="3"/>
        <v>0</v>
      </c>
      <c r="H14" s="21">
        <f t="shared" si="4"/>
        <v>0</v>
      </c>
      <c r="I14" s="21"/>
      <c r="J14" s="6"/>
      <c r="K14" s="7"/>
      <c r="L14" s="8"/>
      <c r="M14" s="9"/>
    </row>
    <row r="15" spans="1:37" ht="15.75" x14ac:dyDescent="0.25">
      <c r="A15" s="10">
        <v>40707</v>
      </c>
      <c r="B15" s="11">
        <f>[0]!IsoWeekNumber(A15)</f>
        <v>24</v>
      </c>
      <c r="C15" s="27">
        <f t="shared" si="0"/>
        <v>2</v>
      </c>
      <c r="D15" s="31"/>
      <c r="E15" s="34">
        <v>3.125E-2</v>
      </c>
      <c r="F15" s="5"/>
      <c r="G15" s="32">
        <f t="shared" si="3"/>
        <v>0</v>
      </c>
      <c r="H15" s="21">
        <f t="shared" si="4"/>
        <v>0</v>
      </c>
      <c r="I15" s="21"/>
      <c r="J15" s="6"/>
      <c r="K15" s="7"/>
      <c r="L15" s="8"/>
      <c r="M15" s="9"/>
    </row>
    <row r="16" spans="1:37" ht="15.75" x14ac:dyDescent="0.25">
      <c r="A16" s="10">
        <v>40708</v>
      </c>
      <c r="B16" s="11">
        <f>[0]!IsoWeekNumber(A16)</f>
        <v>24</v>
      </c>
      <c r="C16" s="27">
        <f t="shared" si="0"/>
        <v>3</v>
      </c>
      <c r="D16" s="31"/>
      <c r="E16" s="34">
        <v>3.125E-2</v>
      </c>
      <c r="F16" s="5"/>
      <c r="G16" s="32">
        <f t="shared" si="3"/>
        <v>0</v>
      </c>
      <c r="H16" s="21">
        <f t="shared" si="4"/>
        <v>0</v>
      </c>
      <c r="I16" s="21"/>
      <c r="J16" s="6"/>
      <c r="K16" s="7"/>
      <c r="L16" s="8"/>
      <c r="M16" s="9"/>
    </row>
    <row r="17" spans="1:13" ht="15.75" x14ac:dyDescent="0.25">
      <c r="A17" s="10">
        <v>40709</v>
      </c>
      <c r="B17" s="11">
        <f>[0]!IsoWeekNumber(A17)</f>
        <v>24</v>
      </c>
      <c r="C17" s="27">
        <f t="shared" si="0"/>
        <v>4</v>
      </c>
      <c r="D17" s="31"/>
      <c r="E17" s="34">
        <v>3.125E-2</v>
      </c>
      <c r="F17" s="5"/>
      <c r="G17" s="32">
        <f t="shared" si="3"/>
        <v>0</v>
      </c>
      <c r="H17" s="21">
        <f t="shared" si="4"/>
        <v>0</v>
      </c>
      <c r="I17" s="21"/>
      <c r="J17" s="6"/>
      <c r="K17" s="7"/>
      <c r="L17" s="8"/>
      <c r="M17" s="9"/>
    </row>
    <row r="18" spans="1:13" ht="15.75" x14ac:dyDescent="0.25">
      <c r="A18" s="10">
        <v>40710</v>
      </c>
      <c r="B18" s="11">
        <f>[0]!IsoWeekNumber(A18)</f>
        <v>24</v>
      </c>
      <c r="C18" s="27">
        <f t="shared" si="0"/>
        <v>5</v>
      </c>
      <c r="D18" s="31"/>
      <c r="E18" s="34">
        <v>3.125E-2</v>
      </c>
      <c r="F18" s="5"/>
      <c r="G18" s="32">
        <f t="shared" si="3"/>
        <v>0</v>
      </c>
      <c r="H18" s="21">
        <f t="shared" si="4"/>
        <v>0</v>
      </c>
      <c r="I18" s="21"/>
      <c r="J18" s="6"/>
      <c r="K18" s="7"/>
      <c r="L18" s="8"/>
      <c r="M18" s="9"/>
    </row>
    <row r="19" spans="1:13" ht="15.75" x14ac:dyDescent="0.25">
      <c r="A19" s="10">
        <v>40711</v>
      </c>
      <c r="B19" s="11">
        <f>[0]!IsoWeekNumber(A19)</f>
        <v>24</v>
      </c>
      <c r="C19" s="27">
        <f t="shared" si="0"/>
        <v>6</v>
      </c>
      <c r="D19" s="31"/>
      <c r="E19" s="34">
        <v>3.125E-2</v>
      </c>
      <c r="F19" s="5"/>
      <c r="G19" s="32">
        <f t="shared" si="3"/>
        <v>0</v>
      </c>
      <c r="H19" s="21">
        <f t="shared" si="4"/>
        <v>0</v>
      </c>
      <c r="I19" s="21"/>
      <c r="J19" s="6"/>
      <c r="K19" s="7"/>
      <c r="L19" s="8"/>
      <c r="M19" s="9"/>
    </row>
    <row r="20" spans="1:13" ht="15.75" x14ac:dyDescent="0.25">
      <c r="A20" s="10">
        <v>40712</v>
      </c>
      <c r="B20" s="11">
        <f>[0]!IsoWeekNumber(A20)</f>
        <v>24</v>
      </c>
      <c r="C20" s="27">
        <f t="shared" si="0"/>
        <v>7</v>
      </c>
      <c r="D20" s="31"/>
      <c r="E20" s="34">
        <v>3.125E-2</v>
      </c>
      <c r="F20" s="5"/>
      <c r="G20" s="32">
        <f t="shared" si="3"/>
        <v>0</v>
      </c>
      <c r="H20" s="21">
        <f t="shared" si="4"/>
        <v>0</v>
      </c>
      <c r="I20" s="21"/>
      <c r="J20" s="6"/>
      <c r="K20" s="7"/>
      <c r="L20" s="8"/>
      <c r="M20" s="9"/>
    </row>
    <row r="21" spans="1:13" ht="15.75" x14ac:dyDescent="0.25">
      <c r="A21" s="10">
        <v>40713</v>
      </c>
      <c r="B21" s="11">
        <f>[0]!IsoWeekNumber(A21)</f>
        <v>24</v>
      </c>
      <c r="C21" s="27">
        <f t="shared" si="0"/>
        <v>1</v>
      </c>
      <c r="D21" s="31"/>
      <c r="E21" s="34">
        <v>3.125E-2</v>
      </c>
      <c r="F21" s="5"/>
      <c r="G21" s="32">
        <f t="shared" si="3"/>
        <v>0</v>
      </c>
      <c r="H21" s="21">
        <f t="shared" si="4"/>
        <v>0</v>
      </c>
      <c r="I21" s="21"/>
      <c r="J21" s="6"/>
      <c r="K21" s="7"/>
      <c r="L21" s="8"/>
      <c r="M21" s="9"/>
    </row>
    <row r="22" spans="1:13" ht="15.75" x14ac:dyDescent="0.25">
      <c r="A22" s="10">
        <v>40714</v>
      </c>
      <c r="B22" s="11">
        <f>[0]!IsoWeekNumber(A22)</f>
        <v>25</v>
      </c>
      <c r="C22" s="27">
        <f t="shared" si="0"/>
        <v>2</v>
      </c>
      <c r="D22" s="31"/>
      <c r="E22" s="34">
        <v>3.125E-2</v>
      </c>
      <c r="F22" s="5"/>
      <c r="G22" s="32">
        <f t="shared" si="3"/>
        <v>0</v>
      </c>
      <c r="H22" s="21">
        <f t="shared" si="4"/>
        <v>0</v>
      </c>
      <c r="I22" s="21"/>
      <c r="J22" s="6"/>
      <c r="K22" s="7"/>
      <c r="L22" s="8"/>
      <c r="M22" s="9"/>
    </row>
    <row r="23" spans="1:13" ht="15.75" x14ac:dyDescent="0.25">
      <c r="A23" s="10">
        <v>40715</v>
      </c>
      <c r="B23" s="11">
        <f>[0]!IsoWeekNumber(A23)</f>
        <v>25</v>
      </c>
      <c r="C23" s="27">
        <f t="shared" si="0"/>
        <v>3</v>
      </c>
      <c r="D23" s="31"/>
      <c r="E23" s="34">
        <v>3.125E-2</v>
      </c>
      <c r="F23" s="5"/>
      <c r="G23" s="32">
        <f t="shared" si="3"/>
        <v>0</v>
      </c>
      <c r="H23" s="21">
        <f t="shared" si="4"/>
        <v>0</v>
      </c>
      <c r="I23" s="21"/>
      <c r="J23" s="6"/>
      <c r="K23" s="7"/>
      <c r="L23" s="8"/>
      <c r="M23" s="9"/>
    </row>
    <row r="24" spans="1:13" ht="15.75" x14ac:dyDescent="0.25">
      <c r="A24" s="10">
        <v>40716</v>
      </c>
      <c r="B24" s="11">
        <f>[0]!IsoWeekNumber(A24)</f>
        <v>25</v>
      </c>
      <c r="C24" s="27">
        <f t="shared" si="0"/>
        <v>4</v>
      </c>
      <c r="D24" s="31"/>
      <c r="E24" s="34">
        <v>3.125E-2</v>
      </c>
      <c r="F24" s="5"/>
      <c r="G24" s="32">
        <f t="shared" si="3"/>
        <v>0</v>
      </c>
      <c r="H24" s="21">
        <f t="shared" si="4"/>
        <v>0</v>
      </c>
      <c r="I24" s="21"/>
      <c r="J24" s="6"/>
      <c r="K24" s="7"/>
      <c r="L24" s="8"/>
      <c r="M24" s="9"/>
    </row>
    <row r="25" spans="1:13" ht="15.75" x14ac:dyDescent="0.25">
      <c r="A25" s="10">
        <v>40717</v>
      </c>
      <c r="B25" s="11">
        <f>[0]!IsoWeekNumber(A25)</f>
        <v>25</v>
      </c>
      <c r="C25" s="27">
        <f t="shared" si="0"/>
        <v>5</v>
      </c>
      <c r="D25" s="31"/>
      <c r="E25" s="34">
        <v>3.125E-2</v>
      </c>
      <c r="F25" s="5"/>
      <c r="G25" s="32">
        <f t="shared" si="3"/>
        <v>0</v>
      </c>
      <c r="H25" s="21">
        <f t="shared" si="4"/>
        <v>0</v>
      </c>
      <c r="I25" s="21"/>
      <c r="J25" s="6"/>
      <c r="K25" s="7"/>
      <c r="L25" s="8"/>
      <c r="M25" s="9"/>
    </row>
    <row r="26" spans="1:13" ht="15.75" x14ac:dyDescent="0.25">
      <c r="A26" s="10">
        <v>40718</v>
      </c>
      <c r="B26" s="11">
        <f>[0]!IsoWeekNumber(A26)</f>
        <v>25</v>
      </c>
      <c r="C26" s="27">
        <f t="shared" si="0"/>
        <v>6</v>
      </c>
      <c r="D26" s="31"/>
      <c r="E26" s="34">
        <v>3.125E-2</v>
      </c>
      <c r="F26" s="5"/>
      <c r="G26" s="32">
        <f t="shared" si="3"/>
        <v>0</v>
      </c>
      <c r="H26" s="21">
        <f t="shared" si="4"/>
        <v>0</v>
      </c>
      <c r="I26" s="21"/>
      <c r="J26" s="6"/>
      <c r="K26" s="7"/>
      <c r="L26" s="8"/>
      <c r="M26" s="9"/>
    </row>
    <row r="27" spans="1:13" ht="15.75" x14ac:dyDescent="0.25">
      <c r="A27" s="10">
        <v>40719</v>
      </c>
      <c r="B27" s="11">
        <f>[0]!IsoWeekNumber(A27)</f>
        <v>25</v>
      </c>
      <c r="C27" s="27">
        <f t="shared" si="0"/>
        <v>7</v>
      </c>
      <c r="D27" s="31"/>
      <c r="E27" s="34">
        <v>3.125E-2</v>
      </c>
      <c r="F27" s="5"/>
      <c r="G27" s="32">
        <f t="shared" si="3"/>
        <v>0</v>
      </c>
      <c r="H27" s="21">
        <f t="shared" si="4"/>
        <v>0</v>
      </c>
      <c r="I27" s="21"/>
      <c r="J27" s="6"/>
      <c r="K27" s="7"/>
      <c r="L27" s="8"/>
      <c r="M27" s="9"/>
    </row>
    <row r="28" spans="1:13" ht="15.75" x14ac:dyDescent="0.25">
      <c r="A28" s="10">
        <v>40720</v>
      </c>
      <c r="B28" s="11">
        <f>[0]!IsoWeekNumber(A28)</f>
        <v>25</v>
      </c>
      <c r="C28" s="27">
        <f t="shared" si="0"/>
        <v>1</v>
      </c>
      <c r="D28" s="31"/>
      <c r="E28" s="34">
        <v>3.125E-2</v>
      </c>
      <c r="F28" s="5"/>
      <c r="G28" s="32">
        <f t="shared" si="3"/>
        <v>0</v>
      </c>
      <c r="H28" s="21">
        <f t="shared" si="4"/>
        <v>0</v>
      </c>
      <c r="I28" s="21"/>
      <c r="J28" s="6"/>
      <c r="K28" s="7"/>
      <c r="L28" s="8"/>
      <c r="M28" s="9"/>
    </row>
    <row r="29" spans="1:13" ht="15.75" x14ac:dyDescent="0.25">
      <c r="A29" s="10">
        <v>40721</v>
      </c>
      <c r="B29" s="11">
        <f>[0]!IsoWeekNumber(A29)</f>
        <v>26</v>
      </c>
      <c r="C29" s="27">
        <f t="shared" si="0"/>
        <v>2</v>
      </c>
      <c r="D29" s="31"/>
      <c r="E29" s="34">
        <v>3.125E-2</v>
      </c>
      <c r="F29" s="5"/>
      <c r="G29" s="32">
        <f t="shared" si="3"/>
        <v>0</v>
      </c>
      <c r="H29" s="21">
        <f t="shared" si="4"/>
        <v>0</v>
      </c>
      <c r="I29" s="21"/>
      <c r="J29" s="6"/>
      <c r="K29" s="7"/>
      <c r="L29" s="8"/>
      <c r="M29" s="9"/>
    </row>
    <row r="30" spans="1:13" ht="15.75" x14ac:dyDescent="0.25">
      <c r="A30" s="10">
        <v>40722</v>
      </c>
      <c r="B30" s="11">
        <f>[0]!IsoWeekNumber(A30)</f>
        <v>26</v>
      </c>
      <c r="C30" s="27">
        <f t="shared" ref="C30:C33" si="5">WEEKDAY(A30)</f>
        <v>3</v>
      </c>
      <c r="D30" s="31"/>
      <c r="E30" s="34">
        <v>7.2916666666666699E-2</v>
      </c>
      <c r="F30" s="5"/>
      <c r="G30" s="32">
        <f t="shared" ref="G30:G33" si="6">IF(F30-D30&lt;=0,0,F30-D30-E30)</f>
        <v>0</v>
      </c>
      <c r="H30" s="21">
        <f t="shared" ref="H30:H33" si="7">G30*24-I30</f>
        <v>0</v>
      </c>
      <c r="I30" s="21"/>
      <c r="J30" s="6"/>
      <c r="K30" s="7"/>
      <c r="L30" s="8"/>
      <c r="M30" s="9"/>
    </row>
    <row r="31" spans="1:13" ht="15.75" x14ac:dyDescent="0.25">
      <c r="A31" s="10">
        <v>40723</v>
      </c>
      <c r="B31" s="11">
        <f>[0]!IsoWeekNumber(A31)</f>
        <v>26</v>
      </c>
      <c r="C31" s="27">
        <f t="shared" si="5"/>
        <v>4</v>
      </c>
      <c r="D31" s="31"/>
      <c r="E31" s="34">
        <v>0.114583333333333</v>
      </c>
      <c r="F31" s="5"/>
      <c r="G31" s="32">
        <f t="shared" si="6"/>
        <v>0</v>
      </c>
      <c r="H31" s="21">
        <f t="shared" si="7"/>
        <v>0</v>
      </c>
      <c r="I31" s="21"/>
      <c r="J31" s="6"/>
      <c r="K31" s="7"/>
      <c r="L31" s="8"/>
      <c r="M31" s="9"/>
    </row>
    <row r="32" spans="1:13" ht="15.75" x14ac:dyDescent="0.25">
      <c r="A32" s="10">
        <v>40724</v>
      </c>
      <c r="B32" s="11">
        <f>[0]!IsoWeekNumber(A32)</f>
        <v>26</v>
      </c>
      <c r="C32" s="27">
        <f t="shared" si="5"/>
        <v>5</v>
      </c>
      <c r="D32" s="31"/>
      <c r="E32" s="34">
        <v>0.15625</v>
      </c>
      <c r="F32" s="5"/>
      <c r="G32" s="32">
        <f t="shared" si="6"/>
        <v>0</v>
      </c>
      <c r="H32" s="21">
        <f t="shared" si="7"/>
        <v>0</v>
      </c>
      <c r="I32" s="21"/>
      <c r="J32" s="6"/>
      <c r="K32" s="7"/>
      <c r="L32" s="8"/>
      <c r="M32" s="9"/>
    </row>
    <row r="33" spans="1:13" ht="15.75" x14ac:dyDescent="0.25">
      <c r="A33" s="10">
        <v>40725</v>
      </c>
      <c r="B33" s="11">
        <f>[0]!IsoWeekNumber(A33)</f>
        <v>26</v>
      </c>
      <c r="C33" s="27">
        <f t="shared" si="5"/>
        <v>6</v>
      </c>
      <c r="D33" s="31"/>
      <c r="E33" s="34">
        <v>0.19791666666666699</v>
      </c>
      <c r="F33" s="5"/>
      <c r="G33" s="32">
        <f t="shared" si="6"/>
        <v>0</v>
      </c>
      <c r="H33" s="21">
        <f t="shared" si="7"/>
        <v>0</v>
      </c>
      <c r="I33" s="21"/>
      <c r="J33" s="6"/>
      <c r="K33" s="7"/>
      <c r="L33" s="8"/>
      <c r="M33" s="9"/>
    </row>
  </sheetData>
  <autoFilter ref="A2:C29"/>
  <phoneticPr fontId="0" type="noConversion"/>
  <conditionalFormatting sqref="C1:C1048576">
    <cfRule type="cellIs" dxfId="0" priority="1" stopIfTrue="1" operator="equal">
      <formula>1</formula>
    </cfRule>
  </conditionalFormatting>
  <dataValidations count="1">
    <dataValidation type="list" allowBlank="1" showInputMessage="1" showErrorMessage="1" sqref="L3:L33">
      <formula1>ddlProjekt</formula1>
    </dataValidation>
  </dataValidations>
  <printOptions horizontalCentered="1"/>
  <pageMargins left="0.39370078740157483" right="0.19685039370078741" top="0.98425196850393704" bottom="0.70866141732283472" header="0.39370078740157483" footer="0.27559055118110237"/>
  <pageSetup paperSize="9" scale="67" fitToHeight="0" orientation="portrait" horizontalDpi="300" verticalDpi="300" r:id="rId1"/>
  <headerFooter alignWithMargins="0">
    <oddHeader>&amp;C&amp;18Johnson Matthey AB
Konsultredovisning</oddHeader>
    <oddFooter>&amp;L&amp;9&amp;Z&amp;F \ &amp;A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I1:I6"/>
  <sheetViews>
    <sheetView workbookViewId="0">
      <selection activeCell="I6" sqref="I6"/>
    </sheetView>
  </sheetViews>
  <sheetFormatPr defaultRowHeight="12.75" x14ac:dyDescent="0.2"/>
  <cols>
    <col min="9" max="9" width="15.42578125" bestFit="1" customWidth="1"/>
  </cols>
  <sheetData>
    <row r="1" spans="9:9" ht="15" x14ac:dyDescent="0.2">
      <c r="I1" s="36" t="s">
        <v>8</v>
      </c>
    </row>
    <row r="2" spans="9:9" ht="15.75" x14ac:dyDescent="0.25">
      <c r="I2" s="35" t="s">
        <v>14</v>
      </c>
    </row>
    <row r="3" spans="9:9" ht="15.75" x14ac:dyDescent="0.25">
      <c r="I3" s="35" t="s">
        <v>15</v>
      </c>
    </row>
    <row r="4" spans="9:9" ht="15.75" x14ac:dyDescent="0.25">
      <c r="I4" s="35" t="s">
        <v>16</v>
      </c>
    </row>
    <row r="5" spans="9:9" ht="15.75" x14ac:dyDescent="0.25">
      <c r="I5" s="35" t="s">
        <v>17</v>
      </c>
    </row>
    <row r="6" spans="9:9" ht="15.75" x14ac:dyDescent="0.25">
      <c r="I6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Faktureringsrutin</vt:lpstr>
      <vt:lpstr>Konsultens Namn</vt:lpstr>
      <vt:lpstr>DropDownList</vt:lpstr>
      <vt:lpstr>ddlProjekt</vt:lpstr>
      <vt:lpstr>'Konsultens Namn'!Print_Titles</vt:lpstr>
    </vt:vector>
  </TitlesOfParts>
  <Company>Johnson Matthey AB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magnub</dc:creator>
  <cp:lastModifiedBy>Björn Johansson</cp:lastModifiedBy>
  <cp:lastPrinted>2014-10-02T11:37:17Z</cp:lastPrinted>
  <dcterms:created xsi:type="dcterms:W3CDTF">2008-10-28T17:12:22Z</dcterms:created>
  <dcterms:modified xsi:type="dcterms:W3CDTF">2016-07-11T13:57:54Z</dcterms:modified>
</cp:coreProperties>
</file>